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jardi\projects\postgresql-xls-integration\"/>
    </mc:Choice>
  </mc:AlternateContent>
  <xr:revisionPtr revIDLastSave="0" documentId="13_ncr:1_{FEBAEE34-4A43-4864-A634-D1462614FBFB}" xr6:coauthVersionLast="47" xr6:coauthVersionMax="47" xr10:uidLastSave="{00000000-0000-0000-0000-000000000000}"/>
  <bookViews>
    <workbookView xWindow="28680" yWindow="-120" windowWidth="29040" windowHeight="15720" xr2:uid="{05E6C5A0-7147-4ACB-A5C3-F7A1309D5382}"/>
  </bookViews>
  <sheets>
    <sheet name="README" sheetId="2" r:id="rId1"/>
    <sheet name="USAGE" sheetId="1" r:id="rId2"/>
    <sheet name="USAGE_2D" sheetId="3" r:id="rId3"/>
    <sheet name="USAGE_2D_2" sheetId="5" r:id="rId4"/>
    <sheet name="USAGE_2D_3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 a="1"/>
  <c r="D3" i="1"/>
  <c r="D4" i="1" a="1"/>
  <c r="D4" i="1"/>
  <c r="D5" i="1" a="1"/>
  <c r="D5" i="1"/>
  <c r="D2" i="1" a="1"/>
  <c r="A5" i="6" a="1"/>
  <c r="A5" i="3" a="1"/>
  <c r="A5" i="5" a="1"/>
  <c r="C115" i="2" a="1"/>
  <c r="C110" i="2" a="1"/>
  <c r="C107" i="2" a="1"/>
  <c r="C105" i="2" a="1"/>
  <c r="R4" i="1" a="1"/>
  <c r="R3" i="1" a="1"/>
  <c r="R2" i="1" a="1"/>
  <c r="C100" i="2" a="1"/>
  <c r="C97" i="2" a="1"/>
  <c r="C95" i="2" a="1"/>
  <c r="A5" i="6" l="1"/>
  <c r="A5" i="3"/>
  <c r="A5" i="5"/>
  <c r="C115" i="2"/>
  <c r="C110" i="2"/>
  <c r="C107" i="2"/>
  <c r="C105" i="2"/>
  <c r="R2" i="1"/>
  <c r="R3" i="1"/>
  <c r="R4" i="1"/>
  <c r="C100" i="2"/>
  <c r="C97" i="2"/>
  <c r="C95" i="2"/>
  <c r="D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<sst xmlns="http://schemas.openxmlformats.org/spreadsheetml/2006/main" count="945" uniqueCount="177">
  <si>
    <t>PDX</t>
  </si>
  <si>
    <t>BRAM</t>
  </si>
  <si>
    <t>p_empavi</t>
  </si>
  <si>
    <t>p_erpcodave</t>
  </si>
  <si>
    <t>p_fch</t>
  </si>
  <si>
    <t>Function</t>
  </si>
  <si>
    <t>BRMCD</t>
  </si>
  <si>
    <t>'2025-10-01','2025-10-10',0,999,0,9.999);</t>
  </si>
  <si>
    <t>ok</t>
  </si>
  <si>
    <t>select api_xls.f_pla_get_data_stock('PDX','SALIDAS_QTY','BRAM', CURRENT_DATE::DATE,</t>
  </si>
  <si>
    <t>select api_xls.f_pla_get_data_stock('PDX','ENTRADAS_QTY','BRAM', CURRENT_DATE::DATE,</t>
  </si>
  <si>
    <t>CURRENT_DATE::DATE,CURRENT_DATE::DATE,0,999,0,9.999);</t>
  </si>
  <si>
    <t>select api_xls.f_pla_get_data_stock('PDX','STOCK_QTY','BRAM', CURRENT_DATE::DATE,</t>
  </si>
  <si>
    <t>TEST LLAMADA</t>
  </si>
  <si>
    <t>SALIDAS_PM -&gt; Peso Medio Salidas</t>
  </si>
  <si>
    <t>SALIDAS_KG -&gt; Kg Salidas</t>
  </si>
  <si>
    <t>SALIDAS_QTY -&gt; Cantidad Salidas</t>
  </si>
  <si>
    <t>Bloque Salidas</t>
  </si>
  <si>
    <t xml:space="preserve">ENTRADAS_QTY -&gt; Cantidad Entradas  </t>
  </si>
  <si>
    <t>Bloque entradas</t>
  </si>
  <si>
    <t>STOCK_PM -&gt; Peso Medio Stock</t>
  </si>
  <si>
    <t>STOCK_KG -&gt; Kg Stock</t>
  </si>
  <si>
    <t xml:space="preserve">STOCK_QTY -&gt; Cantidad Stock  </t>
  </si>
  <si>
    <t>Bloque Stock</t>
  </si>
  <si>
    <t>Tipos de Peticiones</t>
  </si>
  <si>
    <t>3 decimals</t>
  </si>
  <si>
    <t>X</t>
  </si>
  <si>
    <t>--     @p_peso_final DECIMAL     : Peso unitario máximo para el filtro.</t>
  </si>
  <si>
    <t>--     @p_peso_inicial DECIMAL   : Peso unitario mínimo para el filtro.</t>
  </si>
  <si>
    <t>--     @p_DiaVida_final INTEGER  : Días de vida máximo para el filtro.</t>
  </si>
  <si>
    <t>--     @p_DiaVida_inicial INTEGER: Días de vida mínimo para el filtro.</t>
  </si>
  <si>
    <t>today</t>
  </si>
  <si>
    <t>--     @p_fch_final DATE         : Fecha de fin del rango (usada para Entradas/Salidas).</t>
  </si>
  <si>
    <t>--     @p_fch_inicial DATE       : Fecha de inicio del rango (usada para Entradas/Salidas).</t>
  </si>
  <si>
    <t>--     @p_fecha_dato DATE        : Fecha de stock específica (usada solo para métricas de Stock).</t>
  </si>
  <si>
    <t>--     @p_producto_venta TEXT    : Código ERP del producto de venta (AVE).</t>
  </si>
  <si>
    <t>--     @p_peticion TEXT          : Tipo de cálculo requerido (ej: 'STOCK_QTY', 'SALIDAS_PM').</t>
  </si>
  <si>
    <t>--     @p_unidad_operacional TEXT : Código ERP de la empresa para buscar la UOP.</t>
  </si>
  <si>
    <t>Default</t>
  </si>
  <si>
    <t>GetSalidasAvi</t>
  </si>
  <si>
    <t>GetEntradaAvi</t>
  </si>
  <si>
    <t>GetStockAvi</t>
  </si>
  <si>
    <t>Parámetros de la función PostgreSQL</t>
  </si>
  <si>
    <t>Parametros 3 funciones en Excel</t>
  </si>
  <si>
    <t>ENTRADAS</t>
  </si>
  <si>
    <t>STOCK</t>
  </si>
  <si>
    <t>api_xls.f_pla_get_data_stock</t>
  </si>
  <si>
    <t>FUNCION POSTGRES</t>
  </si>
  <si>
    <t>STOCK_QTY</t>
  </si>
  <si>
    <t>ENTRADAS_QTY</t>
  </si>
  <si>
    <t>SALIDAS_QTY</t>
  </si>
  <si>
    <t>Result</t>
  </si>
  <si>
    <t>GetStockData</t>
  </si>
  <si>
    <t>.</t>
  </si>
  <si>
    <t>Empresa</t>
  </si>
  <si>
    <t>Dato</t>
  </si>
  <si>
    <t>Producto Venta</t>
  </si>
  <si>
    <t>Fecha Stock</t>
  </si>
  <si>
    <t>Desde Fecha</t>
  </si>
  <si>
    <t>Hasta Fecha</t>
  </si>
  <si>
    <t>Desde días de Vida</t>
  </si>
  <si>
    <t>Hasta Días de Vida</t>
  </si>
  <si>
    <t>Peso Inicial</t>
  </si>
  <si>
    <t>Peso Final</t>
  </si>
  <si>
    <t>TOR</t>
  </si>
  <si>
    <t>GRJ_STOCK_QTY</t>
  </si>
  <si>
    <t>GetSetStockAvi</t>
  </si>
  <si>
    <t>FUNCIONES EXCEL  -&gt;JSON</t>
  </si>
  <si>
    <t>GetSetStockAvi  -&gt; Datos Stock</t>
  </si>
  <si>
    <t>GetSetEntradaAvi -&gt; Datos Entrada Granja</t>
  </si>
  <si>
    <t>GetSetSalidasAvi -&gt; Datos Salida Granja</t>
  </si>
  <si>
    <t>Ejemplos:</t>
  </si>
  <si>
    <t>select api_xls.f_pla_get_set_data_stock('TOR','GRJ_STOCK_QTY','BRAM', CURRENT_DATE::DATE,</t>
  </si>
  <si>
    <t>Presentación de los datos devueltos:</t>
  </si>
  <si>
    <t>Iniciar la presentación tres filas por debajo de la casilla del grup "data"</t>
  </si>
  <si>
    <t>Primera linea -&gt; Pintar el nombre de las claves del json</t>
  </si>
  <si>
    <t>Líneas Restantes -&gt; Pintar los valores de la clave</t>
  </si>
  <si>
    <t>Borrar 5 lineas por debajo de la última fila presentada,</t>
  </si>
  <si>
    <t>Ejemplo json:</t>
  </si>
  <si>
    <t xml:space="preserve">{"status" : 0, "message" : "OK", "parameters" : {"unidad_operacional" : "TOR", "peticion" : "GRJ_STOCK_QTY", "fecha_dato" : "2025-10-16", "coduop_interno" : 20, "codave_interno" : 5}, "data" : [{"fecha_stock":"2025-10-16","granja_lote_nave_art":"20399T-GRANJA TONIC-L:39-N:1-A:3001-POLLO AMARILLO MACHO","articulo":"POLLO AMARILLO MACHO","gst_codave":5,"producto_venta":"Broiler Amarillo","dias_vida":51,"fecha_entrada":"2025-08-26","cantidad_entrada":0,"estado":"Pre-Finalizado","peso_real":4.12103,"peso_real_rev":4.19291,"peso_matadero":null,"peso_granja":null,"peso_teorico":3.83400,"peso_avicontrol":null,"cantidad_entrada":14600.000,"stock_inicial":-5806.000,"ventas_acumuladas":-19940.000,"bajas_acumuladas":466.000,"bajas_teoricas":466.000,"stock_nave":-4632.000,"kilos_nave":-20023.690,"capacidad_nave":-1,"densidad_nave":-12.4525435323383085,"kgm2_nave":-12.4525435323383085,"capacidad_nave":0.00000,"m2_nave":1608.00000,"granja":"20399T-GRANJA TONIC"}, </t>
  </si>
  <si>
    <t xml:space="preserve"> {"fecha_stock":"2025-10-16","granja_lote_nave_art":"20388T-GRANJA CAMAR-L:38-N:2-A:3001-POLLO AMARILLO MACHO","articulo":"POLLO AMARILLO MACHO","gst_codave":5,"producto_venta":"Broiler Amarillo","dias_vida":52,"fecha_entrada":"2025-08-25","cantidad_entrada":0,"estado":"Pre-Finalizado","peso_real":4.07691,"peso_real_rev":4.11921,"peso_matadero":null,"peso_granja":null,"peso_teorico":3.92600,"peso_avicontrol":null,"cantidad_entrada":16000.000,"stock_inicial":-13156.000,"ventas_acumuladas":-28632.000,"bajas_acumuladas":524.000,"bajas_teoricas":524.000,"stock_nave":-9939.000,"kilos_nave":-42703.593,"capacidad_nave":-0.30118181818181818182,"densidad_nave":-22.0690403100775194,"kgm2_nave":-22.0690403100775194,"capacidad_nave":-0.30118,"m2_nave":1935.00000,"granja":"20388T-GRANJA CAMAR"}, </t>
  </si>
  <si>
    <t xml:space="preserve"> {"fecha_stock":"2025-10-16","granja_lote_nave_art":"20260T-DUARRI-MANONELLES SCP naus 1,2,3,4-L:38-N:1-A:3001-POLLO AMARILLO MACHO","articulo":"POLLO AMARILLO MACHO","gst_codave":5,"producto_venta":"Broiler Amarillo","dias_vida":48,"fecha_entrada":"2025-08-29","cantidad_entrada":0,"estado":"Pre-Finalizado","peso_real":4.04626,"peso_real_rev":4.09019,"peso_matadero":null,"peso_granja":null,"peso_teorico":3.55200,"peso_avicontrol":null,"cantidad_entrada":9000.000,"stock_inicial":120.000,"ventas_acumuladas":-8593.000,"bajas_acumuladas":287.000,"bajas_teoricas":287.000,"stock_nave":363.000,"kilos_nave":1246.646,"capacidad_nave":0.02268750000000000000,"densidad_nave":1.0493653198653199,"kgm2_nave":1.0493653198653199,"capacidad_nave":0.02269,"m2_nave":1188.00000,"granja":"20260T-DUARRI-MANONELLES SCP naus 1,2,3,4"}, </t>
  </si>
  <si>
    <t xml:space="preserve"> {"fecha_stock":"2025-10-16","granja_lote_nave_art":"20358T-CA L.IGNASI-L:38-N:2-A:3001-POLLO AMARILLO MACHO","articulo":"POLLO AMARILLO MACHO","gst_codave":5,"producto_venta":"Broiler Amarillo","dias_vida":51,"fecha_entrada":"2025-08-26","cantidad_entrada":0,"estado":"Pre-Finalizado","peso_real":3.92142,"peso_real_rev":3.94701,"peso_matadero":null,"peso_granja":null,"peso_teorico":3.83400,"peso_avicontrol":null,"cantidad_entrada":17200.000,"stock_inicial":-4621.000,"ventas_acumuladas":-21269.000,"bajas_acumuladas":552.000,"bajas_teoricas":552.000,"stock_nave":-6975.000,"kilos_nave":-25763.425,"capacidad_nave":-0.18355263157894736842,"densidad_nave":-13.1714851738241309,"kgm2_nave":-13.1714851738241309,"capacidad_nave":-0.18355,"m2_nave":1956.00000,"granja":"20358T-CA L.IGNASI"}, </t>
  </si>
  <si>
    <t xml:space="preserve"> {"fecha_stock":"2025-10-16","granja_lote_nave_art":"20416T-PUJANTELL-AVICOLA-L:31-N:1-A:3001-POLLO AMARILLO MACHO","articulo":"POLLO AMARILLO MACHO","gst_codave":5,"producto_venta":"Broiler Amarillo","dias_vida":49,"fecha_entrada":"2025-08-28","cantidad_entrada":0,"estado":"Pre-Finalizado","peso_real":3.89229,"peso_real_rev":3.90586,"peso_matadero":null,"peso_granja":null,"peso_teorico":3.64700,"peso_avicontrol":null,"cantidad_entrada":22000.000,"stock_inicial":385.000,"ventas_acumuladas":-20728.000,"bajas_acumuladas":719.000,"bajas_teoricas":719.000,"stock_nave":275.000,"kilos_nave":1164.761,"capacidad_nave":0.00639534883720930233,"densidad_nave":0.49146033755274261603,"kgm2_nave":0.49146033755274261603,"capacidad_nave":0.00640,"m2_nave":2370.00000,"granja":"20416T-PUJANTELL-AVICOLA"}, </t>
  </si>
  <si>
    <t xml:space="preserve"> {"fecha_stock":"2025-10-16","granja_lote_nave_art":"20260T-DUARRI-MANONELLES SCP naus 1,2,3,4-L:38-N:4-A:3001-POLLO AMARILLO MACHO","articulo":"POLLO AMARILLO MACHO","gst_codave":5,"producto_venta":"Broiler Amarillo","dias_vida":48,"fecha_entrada":"2025-08-29","cantidad_entrada":0,"estado":"Pre-Finalizado","peso_real":3.88245,"peso_real_rev":3.90133,"peso_matadero":null,"peso_granja":null,"peso_teorico":3.55200,"peso_avicontrol":null,"cantidad_entrada":4700.000,"stock_inicial":0.000,"ventas_acumuladas":-4471.000,"bajas_acumuladas":109.000,"bajas_teoricas":109.000,"stock_nave":0.000,"kilos_nave":0.000,"capacidad_nave":0.00000000000000000000,"densidad_nave":0.00000000000000000000,"kgm2_nave":0.00000000000000000000,"capacidad_nave":0.00000,"m2_nave":407.00000,"granja":"20260T-DUARRI-MANONELLES SCP naus 1,2,3,4"}, </t>
  </si>
  <si>
    <t xml:space="preserve"> {"fecha_stock":"2025-10-16","granja_lote_nave_art":"20260T-DUARRI-MANONELLES SCP naus 1,2,3,4-L:38-N:2-A:3001-POLLO AMARILLO MACHO","articulo":"POLLO AMARILLO MACHO","gst_codave":5,"producto_venta":"Broiler Amarillo","dias_vida":48,"fecha_entrada":"2025-08-29","cantidad_entrada":0,"estado":"Pre-Finalizado","peso_real":3.85944,"peso_real_rev":3.86798,"peso_matadero":null,"peso_granja":null,"peso_teorico":3.55200,"peso_avicontrol":null,"cantidad_entrada":16500.000,"stock_inicial":1530.000,"ventas_acumuladas":-14427.000,"bajas_acumuladas":535.000,"bajas_teoricas":535.000,"stock_nave":727.000,"kilos_nave":3090.243,"capacidad_nave":0.02203030303030303030,"densidad_nave":1.5170559646539028,"kgm2_nave":1.5170559646539028,"capacidad_nave":0.02203,"m2_nave":2037.00000,"granja":"20260T-DUARRI-MANONELLES SCP naus 1,2,3,4"}, </t>
  </si>
  <si>
    <t xml:space="preserve"> {"fecha_stock":"2025-10-16","granja_lote_nave_art":"20358T-CA L.IGNASI-L:38-N:1-A:3001-POLLO AMARILLO MACHO","articulo":"POLLO AMARILLO MACHO","gst_codave":5,"producto_venta":"Broiler Amarillo","dias_vida":51,"fecha_entrada":"2025-08-26","cantidad_entrada":0,"estado":"Abierto","peso_real":3.66413,"peso_real_rev":3.48776,"peso_matadero":null,"peso_granja":null,"peso_teorico":3.83400,"peso_avicontrol":null,"cantidad_entrada":16800.000,"stock_inicial":-1157.000,"ventas_acumuladas":-17762.000,"bajas_acumuladas":195.000,"bajas_teoricas":195.000,"stock_nave":4344.000,"kilos_nave":14355.687,"capacidad_nave":0.12066666666666666667,"densidad_nave":7.6197914012738854,"kgm2_nave":7.6197914012738854,"capacidad_nave":0.12067,"m2_nave":1884.00000,"granja":"20358T-CA L.IGNASI"}, </t>
  </si>
  <si>
    <t xml:space="preserve"> {"fecha_stock":"2025-10-16","granja_lote_nave_art":"20388T-GRANJA CAMAR-L:38-N:1-A:3001-POLLO AMARILLO MACHO","articulo":"POLLO AMARILLO MACHO","gst_codave":5,"producto_venta":"Broiler Amarillo","dias_vida":52,"fecha_entrada":"2025-08-25","cantidad_entrada":0,"estado":"Pre-Finalizado","peso_real":3.63802,"peso_real_rev":3.58951,"peso_matadero":null,"peso_granja":null,"peso_teorico":3.92600,"peso_avicontrol":null,"cantidad_entrada":15500.000,"stock_inicial":-11813.000,"ventas_acumuladas":-26825.000,"bajas_acumuladas":488.000,"bajas_teoricas":488.000,"stock_nave":-23239.000,"kilos_nave":-82672.711,"capacidad_nave":-0.72621875000000000000,"densidad_nave":-44.9308211956521739,"kgm2_nave":-44.9308211956521739,"capacidad_nave":-0.72622,"m2_nave":1840.00000,"granja":"20388T-GRANJA CAMAR"}, </t>
  </si>
  <si>
    <t xml:space="preserve"> {"fecha_stock":"2025-10-16","granja_lote_nave_art":"20268T-CIRERA-L:37-N:3-A:3001-POLLO AMARILLO MACHO","articulo":"POLLO AMARILLO MACHO","gst_codave":5,"producto_venta":"Broiler Amarillo","dias_vida":49,"fecha_entrada":"2025-08-28","cantidad_entrada":0,"estado":"Pre-Finalizado","peso_real":3.61606,"peso_real_rev":3.61343,"peso_matadero":null,"peso_granja":null,"peso_teorico":3.64700,"peso_avicontrol":null,"cantidad_entrada":15000.000,"stock_inicial":-258.000,"ventas_acumuladas":-14450.000,"bajas_acumuladas":808.000,"bajas_teoricas":477.000,"stock_nave":-825.000,"kilos_nave":-2650.692,"capacidad_nave":-0.02844827586206896552,"densidad_nave":-1.6241985294117647,"kgm2_nave":-1.6241985294117647,"capacidad_nave":-0.02845,"m2_nave":1632.00000,"granja":"20268T-CIRERA"}, </t>
  </si>
  <si>
    <t xml:space="preserve"> {"fecha_stock":"2025-10-16","granja_lote_nave_art":"20260T-DUARRI-MANONELLES SCP naus 1,2,3,4-L:38-N:3-A:3001-POLLO AMARILLO MACHO","articulo":"POLLO AMARILLO MACHO","gst_codave":5,"producto_venta":"Broiler Amarillo","dias_vida":48,"fecha_entrada":"2025-08-29","cantidad_entrada":0,"estado":"Pre-Finalizado","peso_real":3.51988,"peso_real_rev":3.51804,"peso_matadero":null,"peso_granja":null,"peso_teorico":3.55200,"peso_avicontrol":null,"cantidad_entrada":9800.000,"stock_inicial":0.000,"ventas_acumuladas":-9421.000,"bajas_acumuladas":304.000,"bajas_teoricas":304.000,"stock_nave":431.000,"kilos_nave":1378.709,"capacidad_nave":0.02155000000000000000,"densidad_nave":1.1723715986394558,"kgm2_nave":1.1723715986394558,"capacidad_nave":0.02155,"m2_nave":1176.00000,"granja":"20260T-DUARRI-MANONELLES SCP naus 1,2,3,4"}, </t>
  </si>
  <si>
    <t xml:space="preserve"> {"fecha_stock":"2025-10-16","granja_lote_nave_art":"20268T-CIRERA-L:37-N:1-A:3003-POLLO AMARILLO MIXTO","articulo":"POLLO AMARILLO MIXTO","gst_codave":5,"producto_venta":"Broiler Amarillo","dias_vida":49,"fecha_entrada":"2025-08-28","cantidad_entrada":0,"estado":"Pre-Finalizado","peso_real":3.51455,"peso_real_rev":3.53188,"peso_matadero":null,"peso_granja":null,"peso_teorico":3.36100,"peso_avicontrol":null,"cantidad_entrada":27000.000,"stock_inicial":294.000,"ventas_acumuladas":-25848.000,"bajas_acumuladas":858.000,"bajas_teoricas":858.000,"stock_nave":294.000,"kilos_nave":1033.278,"capacidad_nave":0.01013793103448275862,"densidad_nave":0.63313602941176470588,"kgm2_nave":0.63313602941176470588,"capacidad_nave":0.01014,"m2_nave":1632.00000,"granja":"20268T-CIRERA"}, </t>
  </si>
  <si>
    <t xml:space="preserve"> {"fecha_stock":"2025-10-16","granja_lote_nave_art":"20260T-DUARRI-MANONELLES SCP naus 1,2,3,4-L:38-N:2-A:3002-POLLO AMARILLO HEMBRAS","articulo":"POLLO AMARILLO HEMBRAS","gst_codave":5,"producto_venta":"Broiler Amarillo","dias_vida":48,"fecha_entrada":"2025-08-29","cantidad_entrada":0,"estado":"Pre-Finalizado","peso_real":3.50523,"peso_real_rev":3.54979,"peso_matadero":null,"peso_granja":null,"peso_teorico":2.95200,"peso_avicontrol":null,"cantidad_entrada":16200.000,"stock_inicial":-803.000,"ventas_acumuladas":-16467.000,"bajas_acumuladas":536.000,"bajas_teoricas":536.000,"stock_nave":727.000,"kilos_nave":3090.243,"capacidad_nave":0.02203030303030303030,"densidad_nave":1.5170559646539028,"kgm2_nave":1.5170559646539028,"capacidad_nave":0.02203,"m2_nave":2037.00000,"granja":"20260T-DUARRI-MANONELLES SCP naus 1,2,3,4"}, </t>
  </si>
  <si>
    <t xml:space="preserve"> {"fecha_stock":"2025-10-16","granja_lote_nave_art":"20427T-MARIA PRAT NOGUERA-L:23-N:3-A:3002-POLLO AMARILLO HEMBRAS","articulo":"POLLO AMARILLO HEMBRAS","gst_codave":5,"producto_venta":"Broiler Amarillo","dias_vida":55,"fecha_entrada":"2025-08-22","cantidad_entrada":0,"estado":"Pre-Finalizado","peso_real":3.48322,"peso_real_rev":3.45074,"peso_matadero":null,"peso_granja":null,"peso_teorico":3.43500,"peso_avicontrol":null,"cantidad_entrada":13500.000,"stock_inicial":190.000,"ventas_acumuladas":-13109.000,"bajas_acumuladas":448.000,"bajas_teoricas":448.000,"stock_nave":190.000,"kilos_nave":661.812,"capacidad_nave":0.00703703703703703704,"densidad_nave":0.41966518706404565631,"kgm2_nave":0.41966518706404565631,"capacidad_nave":-0.01126,"m2_nave":1577.00000,"granja":"20427T-MARIA PRAT NOGUERA"}, </t>
  </si>
  <si>
    <t xml:space="preserve"> {"fecha_stock":"2025-10-16","granja_lote_nave_art":"20388T-GRANJA CAMAR-L:38-N:1-A:3002-POLLO AMARILLO HEMBRAS","articulo":"POLLO AMARILLO HEMBRAS","gst_codave":5,"producto_venta":"Broiler Amarillo","dias_vida":52,"fecha_entrada":"2025-08-25","cantidad_entrada":0,"estado":"Pre-Finalizado","peso_real":3.47425,"peso_real_rev":3.51088,"peso_matadero":null,"peso_granja":null,"peso_teorico":3.23400,"peso_avicontrol":null,"cantidad_entrada":15500.000,"stock_inicial":-11426.000,"ventas_acumuladas":-26433.000,"bajas_acumuladas":493.000,"bajas_teoricas":493.000,"stock_nave":-23239.000,"kilos_nave":-82672.711,"capacidad_nave":-0.72621875000000000000,"densidad_nave":-44.9308211956521739,"kgm2_nave":-44.9308211956521739,"capacidad_nave":-0.72622,"m2_nave":1840.00000,"granja":"20388T-GRANJA CAMAR"}, </t>
  </si>
  <si>
    <t xml:space="preserve"> {"fecha_stock":"2025-10-16","granja_lote_nave_art":"20388T-GRANJA CAMAR-L:38-N:2-A:3002-POLLO AMARILLO HEMBRAS","articulo":"POLLO AMARILLO HEMBRAS","gst_codave":5,"producto_venta":"Broiler Amarillo","dias_vida":52,"fecha_entrada":"2025-08-25","cantidad_entrada":0,"estado":"Pre-Finalizado","peso_real":3.39827,"peso_real_rev":3.42331,"peso_matadero":null,"peso_granja":null,"peso_teorico":3.23400,"peso_avicontrol":null,"cantidad_entrada":16000.000,"stock_inicial":3217.000,"ventas_acumuladas":-12253.000,"bajas_acumuladas":530.000,"bajas_teoricas":530.000,"stock_nave":-9939.000,"kilos_nave":-42703.593,"capacidad_nave":-0.30118181818181818182,"densidad_nave":-22.0690403100775194,"kgm2_nave":-22.0690403100775194,"capacidad_nave":-0.30118,"m2_nave":1935.00000,"granja":"20388T-GRANJA CAMAR"}, </t>
  </si>
  <si>
    <t xml:space="preserve"> {"fecha_stock":"2025-10-16","granja_lote_nave_art":"20358T-CA L.IGNASI-L:38-N:4-A:3002-POLLO AMARILLO HEMBRAS","articulo":"POLLO AMARILLO HEMBRAS","gst_codave":5,"producto_venta":"Broiler Amarillo","dias_vida":55,"fecha_entrada":"2025-08-22","cantidad_entrada":0,"estado":"Pre-Finalizado","peso_real":3.39611,"peso_real_rev":3.28483,"peso_matadero":null,"peso_granja":null,"peso_teorico":3.43500,"peso_avicontrol":null,"cantidad_entrada":18500.000,"stock_inicial":-242.000,"ventas_acumuladas":-18154.000,"bajas_acumuladas":588.000,"bajas_teoricas":588.000,"stock_nave":-242.000,"kilos_nave":-821.859,"capacidad_nave":-0.00636842105263157895,"densidad_nave":-0.41092950000000000000,"kgm2_nave":-0.41092950000000000000,"capacidad_nave":-0.00637,"m2_nave":2000.00000,"granja":"20358T-CA L.IGNASI"}, </t>
  </si>
  <si>
    <t xml:space="preserve"> {"fecha_stock":"2025-10-16","granja_lote_nave_art":"20358T-CA L.IGNASI-L:38-N:1-A:3002-POLLO AMARILLO HEMBRAS","articulo":"POLLO AMARILLO HEMBRAS","gst_codave":5,"producto_venta":"Broiler Amarillo","dias_vida":51,"fecha_entrada":"2025-08-26","cantidad_entrada":0,"estado":"Abierto","peso_real":3.38031,"peso_real_rev":3.40164,"peso_matadero":null,"peso_granja":null,"peso_teorico":3.16500,"peso_avicontrol":null,"cantidad_entrada":16800.000,"stock_inicial":5501.000,"ventas_acumuladas":-11016.000,"bajas_acumuladas":206.000,"bajas_teoricas":206.000,"stock_nave":4344.000,"kilos_nave":14355.687,"capacidad_nave":0.12066666666666666667,"densidad_nave":7.6197914012738854,"kgm2_nave":7.6197914012738854,"capacidad_nave":0.12067,"m2_nave":1884.00000,"granja":"20358T-CA L.IGNASI"}, </t>
  </si>
  <si>
    <t xml:space="preserve"> {"fecha_stock":"2025-10-16","granja_lote_nave_art":"20432T-CASANOVA DEL PUIG (Cal Tiet)-L:21-N:1-A:3001-POLLO AMARILLO MACHO","articulo":"POLLO AMARILLO MACHO","gst_codave":5,"producto_venta":"Broiler Amarillo","dias_vida":44,"fecha_entrada":"2025-09-02","cantidad_entrada":0,"estado":"Abierto","peso_real":3.34800,"peso_real_rev":3.35388,"peso_matadero":null,"peso_granja":null,"peso_teorico":3.16400,"peso_avicontrol":null,"cantidad_entrada":15500.000,"stock_inicial":2704.000,"ventas_acumuladas":-12308.000,"bajas_acumuladas":488.000,"bajas_teoricas":488.000,"stock_nave":18663.000,"kilos_nave":53658.397,"capacidad_nave":0.58873817034700315457,"densidad_nave":30.4877255681818182,"kgm2_nave":30.4877255681818182,"capacidad_nave":0.58874,"m2_nave":1760.00000,"granja":"20432T-CASANOVA DEL PUIG (Cal Tiet)"}, </t>
  </si>
  <si>
    <t xml:space="preserve"> {"fecha_stock":"2025-10-16","granja_lote_nave_art":"20399T-GRANJA TONIC-L:39-N:1-A:3002-POLLO AMARILLO HEMBRAS","articulo":"POLLO AMARILLO HEMBRAS","gst_codave":5,"producto_venta":"Broiler Amarillo","dias_vida":51,"fecha_entrada":"2025-08-26","cantidad_entrada":0,"estado":"Pre-Finalizado","peso_real":3.32454,"peso_real_rev":3.37474,"peso_matadero":null,"peso_granja":null,"peso_teorico":3.16500,"peso_avicontrol":null,"cantidad_entrada":14700.000,"stock_inicial":1174.000,"ventas_acumuladas":-13390.000,"bajas_acumuladas":476.000,"bajas_teoricas":476.000,"stock_nave":-4632.000,"kilos_nave":-20023.690,"capacidad_nave":-1,"densidad_nave":-12.4525435323383085,"kgm2_nave":-12.4525435323383085,"capacidad_nave":0.00000,"m2_nave":1608.00000,"granja":"20399T-GRANJA TONIC"}, </t>
  </si>
  <si>
    <t xml:space="preserve"> {"fecha_stock":"2025-10-16","granja_lote_nave_art":"20228T-DE FEBRER ROSAS JOSEP M.-L:39-N:2-A:3001-POLLO AMARILLO MACHO","articulo":"POLLO AMARILLO MACHO","gst_codave":5,"producto_venta":"Broiler Amarillo","dias_vida":45,"fecha_entrada":"2025-09-01","cantidad_entrada":0,"estado":"Pre-Finalizado","peso_real":3.27849,"peso_real_rev":3.28381,"peso_matadero":null,"peso_granja":null,"peso_teorico":3.26200,"peso_avicontrol":null,"cantidad_entrada":16500.000,"stock_inicial":-252.000,"ventas_acumuladas":-16182.000,"bajas_acumuladas":570.000,"bajas_teoricas":535.000,"stock_nave":-433.000,"kilos_nave":-1021.116,"capacidad_nave":-0.01237142857142857143,"densidad_nave":-0.56728666666666666667,"kgm2_nave":-0.56728666666666666667,"capacidad_nave":-0.01237,"m2_nave":1800.00000,"granja":"20228T-DE FEBRER ROSAS JOSEP M."}, </t>
  </si>
  <si>
    <t xml:space="preserve"> {"fecha_stock":"2025-10-16","granja_lote_nave_art":"20396T-CAL FITÓ-L:40-N:2-A:3001-POLLO AMARILLO MACHO","articulo":"POLLO AMARILLO MACHO","gst_codave":5,"producto_venta":"Broiler Amarillo","dias_vida":42,"fecha_entrada":"2025-09-04","cantidad_entrada":0,"estado":"Pre-Finalizado","peso_real":3.27000,"peso_real_rev":3.28039,"peso_matadero":null,"peso_granja":null,"peso_teorico":2.96600,"peso_avicontrol":null,"cantidad_entrada":17200.000,"stock_inicial":16648.000,"ventas_acumuladas":0.000,"bajas_acumuladas":552.000,"bajas_teoricas":552.000,"stock_nave":-1273.000,"kilos_nave":10753.476,"capacidad_nave":-0.03822822822822822823,"densidad_nave":6.3442336283185841,"kgm2_nave":6.3442336283185841,"capacidad_nave":-0.03823,"m2_nave":1695.00000,"granja":"20396T-CAL FITÓ"}, </t>
  </si>
  <si>
    <t xml:space="preserve"> {"fecha_stock":"2025-10-16","granja_lote_nave_art":"20358T-CA L.IGNASI-L:38-N:2-A:3002-POLLO AMARILLO HEMBRAS","articulo":"POLLO AMARILLO HEMBRAS","gst_codave":5,"producto_venta":"Broiler Amarillo","dias_vida":51,"fecha_entrada":"2025-08-26","cantidad_entrada":0,"estado":"Pre-Finalizado","peso_real":3.24662,"peso_real_rev":3.26227,"peso_matadero":null,"peso_granja":null,"peso_teorico":3.16500,"peso_avicontrol":null,"cantidad_entrada":17200.000,"stock_inicial":-2354.000,"ventas_acumuladas":-18996.000,"bajas_acumuladas":558.000,"bajas_teoricas":558.000,"stock_nave":-6975.000,"kilos_nave":-25763.425,"capacidad_nave":-0.18355263157894736842,"densidad_nave":-13.1714851738241309,"kgm2_nave":-13.1714851738241309,"capacidad_nave":-0.18355,"m2_nave":1956.00000,"granja":"20358T-CA L.IGNASI"}, </t>
  </si>
  <si>
    <t xml:space="preserve"> {"fecha_stock":"2025-10-16","granja_lote_nave_art":"20358T-CA L.IGNASI-L:38-N:3-A:3002-POLLO AMARILLO HEMBRAS","articulo":"POLLO AMARILLO HEMBRAS","gst_codave":5,"producto_venta":"Broiler Amarillo","dias_vida":55,"fecha_entrada":"2025-08-22","cantidad_entrada":0,"estado":"Pre-Finalizado","peso_real":3.23728,"peso_real_rev":3.19915,"peso_matadero":null,"peso_granja":null,"peso_teorico":3.43500,"peso_avicontrol":null,"cantidad_entrada":18500.000,"stock_inicial":-101.000,"ventas_acumuladas":-18133.000,"bajas_acumuladas":468.000,"bajas_teoricas":468.000,"stock_nave":-101.000,"kilos_nave":-326.965,"capacidad_nave":-0.00265789473684210526,"densidad_nave":-0.16381012024048096192,"kgm2_nave":-0.16381012024048096192,"capacidad_nave":-0.00266,"m2_nave":1996.00000,"granja":"20358T-CA L.IGNASI"}]}</t>
  </si>
  <si>
    <t>Funciones Postgres</t>
  </si>
  <si>
    <t>Parámetros</t>
  </si>
  <si>
    <t>Devuelve</t>
  </si>
  <si>
    <t>Propósito</t>
  </si>
  <si>
    <t>Entre fechas</t>
  </si>
  <si>
    <t>decimal</t>
  </si>
  <si>
    <t>Calcular cantidad total entre fechas</t>
  </si>
  <si>
    <t>NEW</t>
  </si>
  <si>
    <t>Entre semanas</t>
  </si>
  <si>
    <t>Fecha/granja</t>
  </si>
  <si>
    <t xml:space="preserve">Calcular cantidad total entre fechas </t>
  </si>
  <si>
    <t>api_xls.f_pla_get_set_data_stock</t>
  </si>
  <si>
    <t>Fecha</t>
  </si>
  <si>
    <t>json</t>
  </si>
  <si>
    <t>Calcular traspasar listados completos al Excel</t>
  </si>
  <si>
    <t>ENTRE FECHAS</t>
  </si>
  <si>
    <t>SALIDAS</t>
  </si>
  <si>
    <t>SEMANA CONCRETA</t>
  </si>
  <si>
    <t>GetStockAviSem</t>
  </si>
  <si>
    <t>GetEntradaAviSem</t>
  </si>
  <si>
    <t>GetSalidasAviSem</t>
  </si>
  <si>
    <t>--     @p_any        : Integer con el año</t>
  </si>
  <si>
    <t>year</t>
  </si>
  <si>
    <t>--     @p_sem       : Semana del año</t>
  </si>
  <si>
    <t>Week</t>
  </si>
  <si>
    <t>FECHA Y GRANJA</t>
  </si>
  <si>
    <t>Parametros 1 Función</t>
  </si>
  <si>
    <t>GetStockAviGrj</t>
  </si>
  <si>
    <t>TOR'</t>
  </si>
  <si>
    <t>STOCK_QTY'</t>
  </si>
  <si>
    <t>2025-11-14'</t>
  </si>
  <si>
    <t>--     @p_grj       : Granja  (texto)</t>
  </si>
  <si>
    <t>20378T</t>
  </si>
  <si>
    <t>--     @p_lote       : Lote  (texto, cast previo)</t>
  </si>
  <si>
    <t>39</t>
  </si>
  <si>
    <t>--     @p_nave       : Nave  (texto, cast previo)</t>
  </si>
  <si>
    <t>4</t>
  </si>
  <si>
    <t>--     @p_art       : Artículo  (texto, cast previo)</t>
  </si>
  <si>
    <t>3001</t>
  </si>
  <si>
    <t>LISTADOS</t>
  </si>
  <si>
    <t>GetSetEntradaAvi</t>
  </si>
  <si>
    <t>GetSetSalidasAvi</t>
  </si>
  <si>
    <t>FUNCIONES EXCEL  -&gt; DECIMAL</t>
  </si>
  <si>
    <t>Ejemplos Peticiones entre días</t>
  </si>
  <si>
    <t>Ejemplos Peticiones semana</t>
  </si>
  <si>
    <t>GetSalidasAviSem("PDX";"SALIDAS_QTY";"BRAM";2025;44;0;999;0;9999)</t>
  </si>
  <si>
    <t>Ejemplos Peticiones Granja</t>
  </si>
  <si>
    <t>select api_xls.f_pla_get_data_stock_grj_v1('TOR','STOCK_PM','2025-10-15','20452T','1','1','3002')</t>
  </si>
  <si>
    <t>-- 1. Otorgar permiso de USO (USAGE) sobre el esquema 'api_xls'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</si>
  <si>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USAGE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</si>
  <si>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-- 2. Otorgar permiso de EJECUCIÓN (EXECUTE) para TODAS las funciones y procedimientos</t>
  </si>
  <si>
    <t>-- que YA EXISTEN en el esquema 'api_xls'.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</si>
  <si>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EXECUTE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ALL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FUNCTIONS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IN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</si>
  <si>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-- 3. Otorgar permiso de USO (USAGE) para todas las SECUENCIAS (si las hay)</t>
  </si>
  <si>
    <t>-- en el esquema 'api_xls' (buena práctica).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</si>
  <si>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USAGE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ALL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SEQUENCES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IN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</si>
  <si>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-- 4. Establecer permisos FUTUROS (Importante para nuevos procedimientos)</t>
  </si>
  <si>
    <t>-- Esto asegura que cualquier nuevo procedimiento/función/secuencia que se cree</t>
  </si>
  <si>
    <t>-- en 'api_xls' también tendrá el permiso de EXECUTE para estos usuarios.</t>
  </si>
  <si>
    <r>
      <t>ALTER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DEFAULT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PRIVILEGES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IN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SCHEMA</t>
    </r>
    <r>
      <rPr>
        <u/>
        <sz val="16"/>
        <color rgb="FF000000"/>
        <rFont val="Courier New"/>
        <family val="3"/>
      </rPr>
      <t xml:space="preserve"> api_xls</t>
    </r>
  </si>
  <si>
    <r>
      <t>GRANT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EXECUTE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ON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FUNCTIONS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TO</t>
    </r>
    <r>
      <rPr>
        <u/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</si>
  <si>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r>
      <t>GRANT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USAGE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ON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SEQUENCES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TO</t>
    </r>
    <r>
      <rPr>
        <u/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</si>
  <si>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Antiguo nombre</t>
  </si>
  <si>
    <t>api_xls.f_pla_get_data_stock_v1</t>
  </si>
  <si>
    <t>api_xls.f_pla_get_data_stock_sem_v1</t>
  </si>
  <si>
    <t>api_xls.f_pla_get_data_stock_grj_v1</t>
  </si>
  <si>
    <t>api_xls.f_pla_get_set_data_stock_v1</t>
  </si>
  <si>
    <t>2025-10-01','2025-10-10',0,999,0,9.999);</t>
  </si>
  <si>
    <t>GetEntradaAvi("PDX";"ENTRADAS_QTY";"BRAM";"01/10/2025";"09/10/2025")</t>
  </si>
  <si>
    <t>GetStockAvi("PDX";"STOCK_QTY";"BRAM";"10/10/2025";0;999;0;9999)</t>
  </si>
  <si>
    <t>GetSalidasAvi("PDX";"SALIDAS_QTY";"BRAM";"01/10/2025";"09/10/2025";0;999;0;9999)</t>
  </si>
  <si>
    <t>GetStockAviGrj("TOR";"STOCK_PM";"2025-10-15";"20452T";"1";"1";"3002")</t>
  </si>
  <si>
    <t>GetEntradaAviSem("PDX";"ENTRADAS_QTY";"BRAM";2025;44)</t>
  </si>
  <si>
    <t>GetStockAviSem("PDX";"SALIDAS_QTY";"BRAM";2025;44;0;999;0;9999)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</si>
</sst>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_ ;\-#,##0\ "/>
  </numFmts>
  <fonts count="18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0"/>
      <color rgb="FF739ECA"/>
      <name val="Consolas"/>
      <family val="3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3" tint="9.9978637043366805E-2"/>
      <name val="Aptos Narrow"/>
      <family val="2"/>
      <scheme val="minor"/>
    </font>
    <font>
      <b/>
      <sz val="16"/>
      <color theme="3" tint="9.9978637043366805E-2"/>
      <name val="Aptos Narrow"/>
      <family val="2"/>
      <scheme val="minor"/>
    </font>
    <font>
      <sz val="16"/>
      <color rgb="FF808080"/>
      <name val="Courier New"/>
      <family val="3"/>
    </font>
    <font>
      <b/>
      <sz val="16"/>
      <color rgb="FF800000"/>
      <name val="Courier New"/>
      <family val="3"/>
    </font>
    <font>
      <sz val="16"/>
      <color rgb="FF000000"/>
      <name val="Courier New"/>
      <family val="3"/>
    </font>
    <font>
      <sz val="16"/>
      <color rgb="FFFF0000"/>
      <name val="Courier New"/>
      <family val="3"/>
    </font>
    <font>
      <b/>
      <u/>
      <sz val="16"/>
      <color rgb="FF800000"/>
      <name val="Courier New"/>
      <family val="3"/>
    </font>
    <font>
      <u/>
      <sz val="16"/>
      <color rgb="FF000000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0" fontId="2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45">
    <xf numFmtId="0" fontId="0" fillId="0" borderId="0" xfId="0"/>
    <xf numFmtId="14" fontId="0" fillId="0" borderId="0" xfId="0" quotePrefix="1" applyNumberFormat="1"/>
    <xf numFmtId="0" fontId="2" fillId="0" borderId="0" xfId="1"/>
    <xf numFmtId="0" fontId="6" fillId="0" borderId="0" xfId="0" applyFont="1"/>
    <xf numFmtId="3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7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164" fontId="0" fillId="0" borderId="0" xfId="0" applyNumberFormat="1" applyAlignment="1">
      <alignment horizontal="left" vertical="top" wrapText="1"/>
    </xf>
    <xf numFmtId="0" fontId="9" fillId="3" borderId="2" xfId="0" applyFont="1" applyFill="1" applyBorder="1" applyAlignment="1">
      <alignment horizontal="left" vertical="top" wrapText="1"/>
    </xf>
    <xf numFmtId="0" fontId="9" fillId="3" borderId="3" xfId="0" applyFont="1" applyFill="1" applyBorder="1" applyAlignment="1">
      <alignment horizontal="left" vertical="top" wrapText="1"/>
    </xf>
    <xf numFmtId="0" fontId="0" fillId="4" borderId="4" xfId="0" applyFill="1" applyBorder="1"/>
    <xf numFmtId="0" fontId="0" fillId="4" borderId="5" xfId="0" applyFill="1" applyBorder="1"/>
    <xf numFmtId="14" fontId="0" fillId="4" borderId="5" xfId="0" applyNumberFormat="1" applyFill="1" applyBorder="1"/>
    <xf numFmtId="0" fontId="4" fillId="2" borderId="1" xfId="1" applyFont="1" applyFill="1" applyBorder="1" applyAlignment="1">
      <alignment horizontal="center"/>
    </xf>
    <xf numFmtId="0" fontId="16" fillId="0" borderId="0" xfId="1" applyFont="1" applyAlignment="1">
      <alignment vertical="center"/>
    </xf>
    <xf numFmtId="0" fontId="2" fillId="8" borderId="0" xfId="1" applyFill="1" applyAlignment="1">
      <alignment vertical="center"/>
    </xf>
    <xf numFmtId="0" fontId="12" fillId="0" borderId="0" xfId="1" applyFont="1" applyAlignment="1">
      <alignment vertical="center"/>
    </xf>
    <xf numFmtId="0" fontId="13" fillId="0" borderId="0" xfId="1" applyFont="1" applyAlignment="1">
      <alignment vertical="center"/>
    </xf>
    <xf numFmtId="0" fontId="3" fillId="0" borderId="0" xfId="1" applyFont="1"/>
    <xf numFmtId="0" fontId="4" fillId="2" borderId="1" xfId="1" applyFont="1" applyFill="1" applyBorder="1" applyAlignment="1">
      <alignment horizontal="left"/>
    </xf>
    <xf numFmtId="0" fontId="2" fillId="0" borderId="1" xfId="1" applyBorder="1" applyAlignment="1">
      <alignment horizontal="center"/>
    </xf>
    <xf numFmtId="0" fontId="2" fillId="0" borderId="1" xfId="1" applyBorder="1"/>
    <xf numFmtId="0" fontId="4" fillId="2" borderId="1" xfId="1" applyFont="1" applyFill="1" applyBorder="1"/>
    <xf numFmtId="0" fontId="4" fillId="0" borderId="0" xfId="1" applyFont="1"/>
    <xf numFmtId="0" fontId="2" fillId="6" borderId="1" xfId="1" applyFill="1" applyBorder="1" applyAlignment="1">
      <alignment horizontal="center"/>
    </xf>
    <xf numFmtId="0" fontId="10" fillId="0" borderId="0" xfId="1" applyFont="1"/>
    <xf numFmtId="0" fontId="2" fillId="0" borderId="0" xfId="1" applyAlignment="1">
      <alignment horizontal="left"/>
    </xf>
    <xf numFmtId="0" fontId="11" fillId="0" borderId="0" xfId="1" applyFont="1"/>
    <xf numFmtId="0" fontId="4" fillId="7" borderId="1" xfId="1" applyFont="1" applyFill="1" applyBorder="1" applyAlignment="1">
      <alignment horizontal="center"/>
    </xf>
    <xf numFmtId="0" fontId="2" fillId="0" borderId="1" xfId="1" applyBorder="1" applyAlignment="1">
      <alignment horizontal="center" wrapText="1"/>
    </xf>
    <xf numFmtId="0" fontId="5" fillId="0" borderId="1" xfId="1" applyFont="1" applyBorder="1"/>
    <xf numFmtId="0" fontId="5" fillId="5" borderId="1" xfId="1" applyFont="1" applyFill="1" applyBorder="1"/>
    <xf numFmtId="0" fontId="2" fillId="5" borderId="1" xfId="1" applyFill="1" applyBorder="1" applyAlignment="1">
      <alignment horizontal="center"/>
    </xf>
    <xf numFmtId="0" fontId="2" fillId="5" borderId="1" xfId="1" applyFill="1" applyBorder="1" applyAlignment="1">
      <alignment horizontal="center" wrapText="1"/>
    </xf>
    <xf numFmtId="0" fontId="2" fillId="5" borderId="1" xfId="1" quotePrefix="1" applyFill="1" applyBorder="1"/>
    <xf numFmtId="0" fontId="2" fillId="5" borderId="1" xfId="1" applyFill="1" applyBorder="1"/>
    <xf numFmtId="0" fontId="2" fillId="5" borderId="1" xfId="1" quotePrefix="1" applyFill="1" applyBorder="1" applyAlignment="1">
      <alignment horizontal="center"/>
    </xf>
    <xf numFmtId="0" fontId="2" fillId="0" borderId="0" xfId="1" quotePrefix="1"/>
    <xf numFmtId="0" fontId="4" fillId="2" borderId="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5" borderId="1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2" fillId="7" borderId="1" xfId="1" applyFill="1" applyBorder="1" applyAlignment="1">
      <alignment horizontal="left"/>
    </xf>
  </cellXfs>
  <cellStyles count="4">
    <cellStyle name="Millares 2" xfId="2" xr:uid="{6C296D83-D875-45F9-8AE8-9220B61BAC5D}"/>
    <cellStyle name="Millares 3" xfId="3" xr:uid="{6AB12E29-EB83-46B9-A873-A191955F3DCC}"/>
    <cellStyle name="Normal" xfId="0" builtinId="0"/>
    <cellStyle name="Normal 2" xfId="1" xr:uid="{4F265D0F-F0F8-41E6-8241-506690B81C08}"/>
  </cellStyles>
  <dxfs count="4">
    <dxf>
      <numFmt numFmtId="164" formatCode="#,##0_ ;\-#,##0\ "/>
    </dxf>
    <dxf>
      <numFmt numFmtId="19" formatCode="dd/mm/yyyy"/>
    </dxf>
    <dxf>
      <numFmt numFmtId="19" formatCode="dd/mm/yyyy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5D0CDB-1B09-4054-ACB4-CCE2938B6586}" name="Tabla1" displayName="Tabla1" ref="F1:R4" totalsRowShown="0" headerRowDxfId="3">
  <autoFilter ref="F1:R4" xr:uid="{7A5D0CDB-1B09-4054-ACB4-CCE2938B6586}"/>
  <tableColumns count="13">
    <tableColumn id="1" xr3:uid="{BD7C8B58-B743-484C-AFF3-7831C4837138}" name="Empresa"/>
    <tableColumn id="2" xr3:uid="{A09A0A58-0C69-4F05-A2E9-CA6EA8C4413F}" name="Dato"/>
    <tableColumn id="3" xr3:uid="{C5B5DC5A-F4D6-4A89-98D1-F53D034FA8A2}" name="Producto Venta"/>
    <tableColumn id="4" xr3:uid="{F516E9ED-D821-4435-9F1A-1EE07EB99D23}" name="Fecha Stock"/>
    <tableColumn id="5" xr3:uid="{ADB3D741-47C8-44B7-8DD4-B8F5E313D993}" name="Desde Fecha" dataDxfId="2"/>
    <tableColumn id="6" xr3:uid="{75C8AA13-6E74-4926-910C-68A49E53F009}" name="Hasta Fecha" dataDxfId="1"/>
    <tableColumn id="7" xr3:uid="{D1B315E7-823F-41F2-8196-97A9DCF7677A}" name="Desde días de Vida"/>
    <tableColumn id="8" xr3:uid="{CD5FEF3A-196D-4D67-B9D1-B3374DDE9AD0}" name="Hasta Días de Vida"/>
    <tableColumn id="9" xr3:uid="{71B6A375-684F-42FD-A348-AEB73ACC0500}" name="Peso Inicial"/>
    <tableColumn id="10" xr3:uid="{30CF6BD8-AF17-42AB-99FA-73F144ABB3E3}" name="Peso Final"/>
    <tableColumn id="11" xr3:uid="{67F9F385-B101-498E-8CF8-5589193BE617}" name="."/>
    <tableColumn id="12" xr3:uid="{DB7FA186-F982-4A2C-8276-17473E4622D3}" name="Function"/>
    <tableColumn id="13" xr3:uid="{1BF1C2DA-74D7-4549-8FC4-08DFAF7C6F6F}" name="Resul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7F2B9-C469-4F71-A07C-3A10360E851D}">
  <sheetPr codeName="Hoja2"/>
  <dimension ref="A3:I216"/>
  <sheetViews>
    <sheetView tabSelected="1" topLeftCell="A91" workbookViewId="0">
      <selection activeCell="E97" sqref="E97"/>
    </sheetView>
  </sheetViews>
  <sheetFormatPr baseColWidth="10" defaultRowHeight="15.75" x14ac:dyDescent="0.25"/>
  <cols>
    <col min="1" max="1" width="10.28515625" style="2" customWidth="1"/>
    <col min="2" max="2" width="91.5703125" style="2" customWidth="1"/>
    <col min="3" max="4" width="20.5703125" style="2" customWidth="1"/>
    <col min="5" max="5" width="21.5703125" style="2" customWidth="1"/>
    <col min="6" max="6" width="14.7109375" style="2" customWidth="1"/>
    <col min="7" max="16384" width="11.42578125" style="2"/>
  </cols>
  <sheetData>
    <row r="3" spans="1:9" ht="24" x14ac:dyDescent="0.4">
      <c r="A3"/>
      <c r="B3" s="27" t="s">
        <v>47</v>
      </c>
      <c r="C3"/>
      <c r="D3"/>
      <c r="E3"/>
      <c r="F3"/>
      <c r="G3"/>
      <c r="H3"/>
      <c r="I3"/>
    </row>
    <row r="4" spans="1:9" ht="24" x14ac:dyDescent="0.4">
      <c r="A4"/>
      <c r="B4" s="27"/>
      <c r="C4"/>
      <c r="D4"/>
      <c r="E4"/>
      <c r="F4"/>
      <c r="G4"/>
      <c r="H4"/>
      <c r="I4"/>
    </row>
    <row r="5" spans="1:9" x14ac:dyDescent="0.25">
      <c r="A5"/>
      <c r="B5" s="24" t="s">
        <v>103</v>
      </c>
      <c r="C5" s="15" t="s">
        <v>104</v>
      </c>
      <c r="D5" s="15" t="s">
        <v>105</v>
      </c>
      <c r="E5" s="15" t="s">
        <v>106</v>
      </c>
      <c r="F5" s="40" t="s">
        <v>165</v>
      </c>
      <c r="G5" s="40"/>
      <c r="H5" s="40"/>
      <c r="I5" s="40"/>
    </row>
    <row r="6" spans="1:9" ht="33.75" x14ac:dyDescent="0.4">
      <c r="A6"/>
      <c r="B6" s="32" t="s">
        <v>166</v>
      </c>
      <c r="C6" s="22" t="s">
        <v>107</v>
      </c>
      <c r="D6" s="22" t="s">
        <v>108</v>
      </c>
      <c r="E6" s="31" t="s">
        <v>109</v>
      </c>
      <c r="F6" s="41" t="s">
        <v>46</v>
      </c>
      <c r="G6" s="41"/>
      <c r="H6" s="41"/>
      <c r="I6" s="41"/>
    </row>
    <row r="7" spans="1:9" ht="33.75" x14ac:dyDescent="0.4">
      <c r="A7" s="34" t="s">
        <v>110</v>
      </c>
      <c r="B7" s="33" t="s">
        <v>167</v>
      </c>
      <c r="C7" s="34" t="s">
        <v>111</v>
      </c>
      <c r="D7" s="34" t="s">
        <v>108</v>
      </c>
      <c r="E7" s="35" t="s">
        <v>109</v>
      </c>
      <c r="F7" s="42"/>
      <c r="G7" s="42"/>
      <c r="H7" s="42"/>
      <c r="I7" s="42"/>
    </row>
    <row r="8" spans="1:9" ht="33.75" x14ac:dyDescent="0.4">
      <c r="A8" s="34" t="s">
        <v>110</v>
      </c>
      <c r="B8" s="33" t="s">
        <v>168</v>
      </c>
      <c r="C8" s="34" t="s">
        <v>112</v>
      </c>
      <c r="D8" s="34" t="s">
        <v>108</v>
      </c>
      <c r="E8" s="35" t="s">
        <v>113</v>
      </c>
      <c r="F8" s="42"/>
      <c r="G8" s="42"/>
      <c r="H8" s="42"/>
      <c r="I8" s="42"/>
    </row>
    <row r="9" spans="1:9" ht="49.5" x14ac:dyDescent="0.4">
      <c r="A9"/>
      <c r="B9" s="32" t="s">
        <v>169</v>
      </c>
      <c r="C9" s="22" t="s">
        <v>115</v>
      </c>
      <c r="D9" s="22" t="s">
        <v>116</v>
      </c>
      <c r="E9" s="31" t="s">
        <v>117</v>
      </c>
      <c r="F9" s="41" t="s">
        <v>114</v>
      </c>
      <c r="G9" s="41"/>
      <c r="H9" s="41"/>
      <c r="I9" s="41"/>
    </row>
    <row r="11" spans="1:9" ht="21" x14ac:dyDescent="0.35">
      <c r="A11"/>
      <c r="B11" s="29" t="s">
        <v>118</v>
      </c>
      <c r="C11"/>
      <c r="D11"/>
      <c r="E11"/>
      <c r="F11"/>
      <c r="G11"/>
      <c r="H11"/>
      <c r="I11"/>
    </row>
    <row r="12" spans="1:9" x14ac:dyDescent="0.25">
      <c r="A12"/>
      <c r="B12"/>
      <c r="C12" s="26" t="s">
        <v>45</v>
      </c>
      <c r="D12" s="26" t="s">
        <v>44</v>
      </c>
      <c r="E12" s="26" t="s">
        <v>119</v>
      </c>
      <c r="F12"/>
      <c r="G12"/>
      <c r="H12"/>
      <c r="I12"/>
    </row>
    <row r="13" spans="1:9" x14ac:dyDescent="0.25">
      <c r="A13"/>
      <c r="B13"/>
      <c r="C13" s="43" t="s">
        <v>43</v>
      </c>
      <c r="D13" s="43"/>
      <c r="E13" s="43"/>
      <c r="F13" s="23"/>
      <c r="G13" s="23"/>
      <c r="H13"/>
      <c r="I13"/>
    </row>
    <row r="14" spans="1:9" x14ac:dyDescent="0.25">
      <c r="A14"/>
      <c r="B14" s="24" t="s">
        <v>42</v>
      </c>
      <c r="C14" s="15" t="s">
        <v>41</v>
      </c>
      <c r="D14" s="15" t="s">
        <v>40</v>
      </c>
      <c r="E14" s="15" t="s">
        <v>39</v>
      </c>
      <c r="F14" s="15" t="s">
        <v>38</v>
      </c>
      <c r="G14" s="23"/>
      <c r="H14"/>
      <c r="I14"/>
    </row>
    <row r="15" spans="1:9" x14ac:dyDescent="0.25">
      <c r="A15"/>
      <c r="B15" s="23" t="s">
        <v>37</v>
      </c>
      <c r="C15" s="22" t="s">
        <v>26</v>
      </c>
      <c r="D15" s="22" t="s">
        <v>26</v>
      </c>
      <c r="E15" s="22" t="s">
        <v>26</v>
      </c>
      <c r="F15" s="22"/>
      <c r="G15" s="23"/>
      <c r="H15"/>
      <c r="I15"/>
    </row>
    <row r="16" spans="1:9" x14ac:dyDescent="0.25">
      <c r="A16"/>
      <c r="B16" s="23" t="s">
        <v>36</v>
      </c>
      <c r="C16" s="22" t="s">
        <v>26</v>
      </c>
      <c r="D16" s="22" t="s">
        <v>26</v>
      </c>
      <c r="E16" s="22" t="s">
        <v>26</v>
      </c>
      <c r="F16" s="22"/>
      <c r="G16" s="23"/>
      <c r="H16"/>
      <c r="I16"/>
    </row>
    <row r="17" spans="2:7" x14ac:dyDescent="0.25">
      <c r="B17" s="23" t="s">
        <v>35</v>
      </c>
      <c r="C17" s="22" t="s">
        <v>26</v>
      </c>
      <c r="D17" s="22" t="s">
        <v>26</v>
      </c>
      <c r="E17" s="22" t="s">
        <v>26</v>
      </c>
      <c r="F17" s="22"/>
      <c r="G17" s="23"/>
    </row>
    <row r="18" spans="2:7" x14ac:dyDescent="0.25">
      <c r="B18" s="23" t="s">
        <v>34</v>
      </c>
      <c r="C18" s="22" t="s">
        <v>26</v>
      </c>
      <c r="D18" s="22"/>
      <c r="E18" s="22"/>
      <c r="F18" s="22" t="s">
        <v>31</v>
      </c>
      <c r="G18" s="23"/>
    </row>
    <row r="19" spans="2:7" x14ac:dyDescent="0.25">
      <c r="B19" s="23" t="s">
        <v>33</v>
      </c>
      <c r="C19" s="22"/>
      <c r="D19" s="22" t="s">
        <v>26</v>
      </c>
      <c r="E19" s="22" t="s">
        <v>26</v>
      </c>
      <c r="F19" s="22" t="s">
        <v>31</v>
      </c>
      <c r="G19" s="23"/>
    </row>
    <row r="20" spans="2:7" x14ac:dyDescent="0.25">
      <c r="B20" s="23" t="s">
        <v>32</v>
      </c>
      <c r="C20" s="22"/>
      <c r="D20" s="22" t="s">
        <v>26</v>
      </c>
      <c r="E20" s="22" t="s">
        <v>26</v>
      </c>
      <c r="F20" s="22" t="s">
        <v>31</v>
      </c>
      <c r="G20" s="23"/>
    </row>
    <row r="21" spans="2:7" x14ac:dyDescent="0.25">
      <c r="B21" s="23" t="s">
        <v>30</v>
      </c>
      <c r="C21" s="22" t="s">
        <v>26</v>
      </c>
      <c r="D21" s="22"/>
      <c r="E21" s="22" t="s">
        <v>26</v>
      </c>
      <c r="F21" s="22">
        <v>0</v>
      </c>
      <c r="G21" s="23"/>
    </row>
    <row r="22" spans="2:7" x14ac:dyDescent="0.25">
      <c r="B22" s="23" t="s">
        <v>29</v>
      </c>
      <c r="C22" s="22" t="s">
        <v>26</v>
      </c>
      <c r="D22" s="22"/>
      <c r="E22" s="22" t="s">
        <v>26</v>
      </c>
      <c r="F22" s="22">
        <v>9999</v>
      </c>
      <c r="G22" s="23"/>
    </row>
    <row r="23" spans="2:7" x14ac:dyDescent="0.25">
      <c r="B23" s="23" t="s">
        <v>28</v>
      </c>
      <c r="C23" s="22" t="s">
        <v>26</v>
      </c>
      <c r="D23" s="22"/>
      <c r="E23" s="22" t="s">
        <v>26</v>
      </c>
      <c r="F23" s="22">
        <v>0</v>
      </c>
      <c r="G23" s="23"/>
    </row>
    <row r="24" spans="2:7" x14ac:dyDescent="0.25">
      <c r="B24" s="23" t="s">
        <v>27</v>
      </c>
      <c r="C24" s="22" t="s">
        <v>26</v>
      </c>
      <c r="D24" s="22"/>
      <c r="E24" s="22" t="s">
        <v>26</v>
      </c>
      <c r="F24" s="22">
        <v>99.998999999999995</v>
      </c>
      <c r="G24" s="22" t="s">
        <v>25</v>
      </c>
    </row>
    <row r="26" spans="2:7" ht="21" x14ac:dyDescent="0.35">
      <c r="B26" s="29" t="s">
        <v>120</v>
      </c>
      <c r="C26" s="26" t="s">
        <v>45</v>
      </c>
      <c r="D26" s="26" t="s">
        <v>44</v>
      </c>
      <c r="E26" s="26" t="s">
        <v>119</v>
      </c>
      <c r="F26"/>
      <c r="G26"/>
    </row>
    <row r="27" spans="2:7" x14ac:dyDescent="0.25">
      <c r="B27"/>
      <c r="C27" s="43" t="s">
        <v>43</v>
      </c>
      <c r="D27" s="43"/>
      <c r="E27" s="43"/>
      <c r="F27" s="23"/>
      <c r="G27" s="23"/>
    </row>
    <row r="28" spans="2:7" x14ac:dyDescent="0.25">
      <c r="B28" s="24" t="s">
        <v>42</v>
      </c>
      <c r="C28" s="15" t="s">
        <v>121</v>
      </c>
      <c r="D28" s="15" t="s">
        <v>122</v>
      </c>
      <c r="E28" s="15" t="s">
        <v>123</v>
      </c>
      <c r="F28" s="15" t="s">
        <v>38</v>
      </c>
      <c r="G28" s="23"/>
    </row>
    <row r="29" spans="2:7" x14ac:dyDescent="0.25">
      <c r="B29" s="23" t="s">
        <v>37</v>
      </c>
      <c r="C29" s="22" t="s">
        <v>26</v>
      </c>
      <c r="D29" s="22" t="s">
        <v>26</v>
      </c>
      <c r="E29" s="22" t="s">
        <v>26</v>
      </c>
      <c r="F29" s="22"/>
      <c r="G29" s="23"/>
    </row>
    <row r="30" spans="2:7" x14ac:dyDescent="0.25">
      <c r="B30" s="23" t="s">
        <v>36</v>
      </c>
      <c r="C30" s="22" t="s">
        <v>26</v>
      </c>
      <c r="D30" s="22" t="s">
        <v>26</v>
      </c>
      <c r="E30" s="22" t="s">
        <v>26</v>
      </c>
      <c r="F30" s="22"/>
      <c r="G30" s="23"/>
    </row>
    <row r="31" spans="2:7" x14ac:dyDescent="0.25">
      <c r="B31" s="23" t="s">
        <v>35</v>
      </c>
      <c r="C31" s="22" t="s">
        <v>26</v>
      </c>
      <c r="D31" s="22" t="s">
        <v>26</v>
      </c>
      <c r="E31" s="22" t="s">
        <v>26</v>
      </c>
      <c r="F31" s="22"/>
      <c r="G31" s="23"/>
    </row>
    <row r="32" spans="2:7" x14ac:dyDescent="0.25">
      <c r="B32" s="36" t="s">
        <v>124</v>
      </c>
      <c r="C32" s="34" t="s">
        <v>26</v>
      </c>
      <c r="D32" s="34" t="s">
        <v>26</v>
      </c>
      <c r="E32" s="34" t="s">
        <v>26</v>
      </c>
      <c r="F32" s="34" t="s">
        <v>125</v>
      </c>
      <c r="G32" s="37"/>
    </row>
    <row r="33" spans="2:7" x14ac:dyDescent="0.25">
      <c r="B33" s="36" t="s">
        <v>126</v>
      </c>
      <c r="C33" s="34" t="s">
        <v>26</v>
      </c>
      <c r="D33" s="34" t="s">
        <v>26</v>
      </c>
      <c r="E33" s="34" t="s">
        <v>26</v>
      </c>
      <c r="F33" s="34" t="s">
        <v>127</v>
      </c>
      <c r="G33" s="37"/>
    </row>
    <row r="34" spans="2:7" x14ac:dyDescent="0.25">
      <c r="B34" s="23" t="s">
        <v>30</v>
      </c>
      <c r="C34" s="22" t="s">
        <v>26</v>
      </c>
      <c r="D34" s="22"/>
      <c r="E34" s="22" t="s">
        <v>26</v>
      </c>
      <c r="F34" s="22">
        <v>0</v>
      </c>
      <c r="G34" s="23"/>
    </row>
    <row r="35" spans="2:7" x14ac:dyDescent="0.25">
      <c r="B35" s="23" t="s">
        <v>29</v>
      </c>
      <c r="C35" s="22" t="s">
        <v>26</v>
      </c>
      <c r="D35" s="22"/>
      <c r="E35" s="22" t="s">
        <v>26</v>
      </c>
      <c r="F35" s="22">
        <v>9999</v>
      </c>
      <c r="G35" s="23"/>
    </row>
    <row r="36" spans="2:7" x14ac:dyDescent="0.25">
      <c r="B36" s="23" t="s">
        <v>28</v>
      </c>
      <c r="C36" s="22" t="s">
        <v>26</v>
      </c>
      <c r="D36" s="22"/>
      <c r="E36" s="22" t="s">
        <v>26</v>
      </c>
      <c r="F36" s="22">
        <v>0</v>
      </c>
      <c r="G36" s="23"/>
    </row>
    <row r="37" spans="2:7" x14ac:dyDescent="0.25">
      <c r="B37" s="23" t="s">
        <v>27</v>
      </c>
      <c r="C37" s="22" t="s">
        <v>26</v>
      </c>
      <c r="D37" s="22"/>
      <c r="E37" s="22" t="s">
        <v>26</v>
      </c>
      <c r="F37" s="22">
        <v>99.998999999999995</v>
      </c>
      <c r="G37" s="22" t="s">
        <v>25</v>
      </c>
    </row>
    <row r="40" spans="2:7" ht="21" x14ac:dyDescent="0.35">
      <c r="B40" s="29" t="s">
        <v>128</v>
      </c>
      <c r="C40" s="26" t="s">
        <v>45</v>
      </c>
      <c r="D40" s="26"/>
      <c r="E40" s="26"/>
      <c r="F40"/>
      <c r="G40"/>
    </row>
    <row r="41" spans="2:7" x14ac:dyDescent="0.25">
      <c r="B41" s="28"/>
      <c r="C41" s="44" t="s">
        <v>129</v>
      </c>
      <c r="D41" s="44"/>
      <c r="E41" s="44"/>
      <c r="F41" s="23"/>
      <c r="G41" s="23"/>
    </row>
    <row r="42" spans="2:7" x14ac:dyDescent="0.25">
      <c r="B42" s="24" t="s">
        <v>42</v>
      </c>
      <c r="C42" s="15" t="s">
        <v>130</v>
      </c>
      <c r="D42" s="30"/>
      <c r="E42" s="30"/>
      <c r="F42" s="15" t="s">
        <v>38</v>
      </c>
      <c r="G42" s="23"/>
    </row>
    <row r="43" spans="2:7" x14ac:dyDescent="0.25">
      <c r="B43" s="37" t="s">
        <v>37</v>
      </c>
      <c r="C43" s="34" t="s">
        <v>26</v>
      </c>
      <c r="D43" s="34"/>
      <c r="E43" s="34"/>
      <c r="F43" s="38" t="s">
        <v>131</v>
      </c>
      <c r="G43" s="37"/>
    </row>
    <row r="44" spans="2:7" x14ac:dyDescent="0.25">
      <c r="B44" s="37" t="s">
        <v>36</v>
      </c>
      <c r="C44" s="34" t="s">
        <v>26</v>
      </c>
      <c r="D44" s="34"/>
      <c r="E44" s="34"/>
      <c r="F44" s="38" t="s">
        <v>132</v>
      </c>
      <c r="G44" s="37"/>
    </row>
    <row r="45" spans="2:7" x14ac:dyDescent="0.25">
      <c r="B45" s="37" t="s">
        <v>34</v>
      </c>
      <c r="C45" s="34" t="s">
        <v>26</v>
      </c>
      <c r="D45" s="34"/>
      <c r="E45" s="34"/>
      <c r="F45" s="38" t="s">
        <v>133</v>
      </c>
      <c r="G45" s="37"/>
    </row>
    <row r="46" spans="2:7" x14ac:dyDescent="0.25">
      <c r="B46" s="36" t="s">
        <v>134</v>
      </c>
      <c r="C46" s="34" t="s">
        <v>26</v>
      </c>
      <c r="D46" s="34"/>
      <c r="E46" s="34"/>
      <c r="F46" s="34" t="s">
        <v>135</v>
      </c>
      <c r="G46" s="37"/>
    </row>
    <row r="47" spans="2:7" x14ac:dyDescent="0.25">
      <c r="B47" s="36" t="s">
        <v>136</v>
      </c>
      <c r="C47" s="34" t="s">
        <v>26</v>
      </c>
      <c r="D47" s="34"/>
      <c r="E47" s="34"/>
      <c r="F47" s="38" t="s">
        <v>137</v>
      </c>
      <c r="G47" s="37"/>
    </row>
    <row r="48" spans="2:7" x14ac:dyDescent="0.25">
      <c r="B48" s="36" t="s">
        <v>138</v>
      </c>
      <c r="C48" s="34" t="s">
        <v>26</v>
      </c>
      <c r="D48" s="34"/>
      <c r="E48" s="34"/>
      <c r="F48" s="38" t="s">
        <v>139</v>
      </c>
      <c r="G48" s="37"/>
    </row>
    <row r="49" spans="2:7" x14ac:dyDescent="0.25">
      <c r="B49" s="36" t="s">
        <v>140</v>
      </c>
      <c r="C49" s="34" t="s">
        <v>26</v>
      </c>
      <c r="D49" s="34"/>
      <c r="E49" s="34"/>
      <c r="F49" s="38" t="s">
        <v>141</v>
      </c>
      <c r="G49" s="37"/>
    </row>
    <row r="53" spans="2:7" ht="21" x14ac:dyDescent="0.35">
      <c r="B53" s="29" t="s">
        <v>142</v>
      </c>
      <c r="C53" s="26" t="s">
        <v>45</v>
      </c>
      <c r="D53" s="26"/>
      <c r="E53" s="26"/>
      <c r="F53"/>
      <c r="G53"/>
    </row>
    <row r="54" spans="2:7" x14ac:dyDescent="0.25">
      <c r="B54"/>
      <c r="C54" s="43" t="s">
        <v>43</v>
      </c>
      <c r="D54" s="43"/>
      <c r="E54" s="43"/>
      <c r="F54" s="23"/>
      <c r="G54" s="23"/>
    </row>
    <row r="55" spans="2:7" x14ac:dyDescent="0.25">
      <c r="B55" s="24" t="s">
        <v>42</v>
      </c>
      <c r="C55" s="15" t="s">
        <v>66</v>
      </c>
      <c r="D55" s="15" t="s">
        <v>143</v>
      </c>
      <c r="E55" s="15" t="s">
        <v>144</v>
      </c>
      <c r="F55" s="15" t="s">
        <v>38</v>
      </c>
      <c r="G55" s="23"/>
    </row>
    <row r="56" spans="2:7" x14ac:dyDescent="0.25">
      <c r="B56" s="23" t="s">
        <v>37</v>
      </c>
      <c r="C56" s="22" t="s">
        <v>26</v>
      </c>
      <c r="D56" s="22" t="s">
        <v>26</v>
      </c>
      <c r="E56" s="22" t="s">
        <v>26</v>
      </c>
      <c r="F56" s="22"/>
      <c r="G56" s="23"/>
    </row>
    <row r="57" spans="2:7" x14ac:dyDescent="0.25">
      <c r="B57" s="23" t="s">
        <v>36</v>
      </c>
      <c r="C57" s="22" t="s">
        <v>26</v>
      </c>
      <c r="D57" s="22" t="s">
        <v>26</v>
      </c>
      <c r="E57" s="22" t="s">
        <v>26</v>
      </c>
      <c r="F57" s="22"/>
      <c r="G57" s="23"/>
    </row>
    <row r="58" spans="2:7" x14ac:dyDescent="0.25">
      <c r="B58" s="23" t="s">
        <v>35</v>
      </c>
      <c r="C58" s="22" t="s">
        <v>26</v>
      </c>
      <c r="D58" s="22" t="s">
        <v>26</v>
      </c>
      <c r="E58" s="22" t="s">
        <v>26</v>
      </c>
      <c r="F58" s="22"/>
      <c r="G58" s="23"/>
    </row>
    <row r="59" spans="2:7" x14ac:dyDescent="0.25">
      <c r="B59" s="23" t="s">
        <v>34</v>
      </c>
      <c r="C59" s="22" t="s">
        <v>26</v>
      </c>
      <c r="D59" s="22"/>
      <c r="E59" s="22"/>
      <c r="F59" s="22" t="s">
        <v>31</v>
      </c>
      <c r="G59" s="23"/>
    </row>
    <row r="60" spans="2:7" x14ac:dyDescent="0.25">
      <c r="B60" s="23" t="s">
        <v>33</v>
      </c>
      <c r="C60" s="22"/>
      <c r="D60" s="22" t="s">
        <v>26</v>
      </c>
      <c r="E60" s="22" t="s">
        <v>26</v>
      </c>
      <c r="F60" s="22" t="s">
        <v>31</v>
      </c>
      <c r="G60" s="23"/>
    </row>
    <row r="61" spans="2:7" x14ac:dyDescent="0.25">
      <c r="B61" s="23" t="s">
        <v>32</v>
      </c>
      <c r="C61" s="22"/>
      <c r="D61" s="22" t="s">
        <v>26</v>
      </c>
      <c r="E61" s="22" t="s">
        <v>26</v>
      </c>
      <c r="F61" s="22" t="s">
        <v>31</v>
      </c>
      <c r="G61" s="23"/>
    </row>
    <row r="62" spans="2:7" x14ac:dyDescent="0.25">
      <c r="B62" s="23" t="s">
        <v>30</v>
      </c>
      <c r="C62" s="22" t="s">
        <v>26</v>
      </c>
      <c r="D62" s="22"/>
      <c r="E62" s="22" t="s">
        <v>26</v>
      </c>
      <c r="F62" s="22">
        <v>0</v>
      </c>
      <c r="G62" s="23"/>
    </row>
    <row r="63" spans="2:7" x14ac:dyDescent="0.25">
      <c r="B63" s="23" t="s">
        <v>29</v>
      </c>
      <c r="C63" s="22" t="s">
        <v>26</v>
      </c>
      <c r="D63" s="22"/>
      <c r="E63" s="22" t="s">
        <v>26</v>
      </c>
      <c r="F63" s="22">
        <v>9999</v>
      </c>
      <c r="G63" s="23"/>
    </row>
    <row r="64" spans="2:7" x14ac:dyDescent="0.25">
      <c r="B64" s="23" t="s">
        <v>28</v>
      </c>
      <c r="C64" s="22" t="s">
        <v>26</v>
      </c>
      <c r="D64" s="22"/>
      <c r="E64" s="22" t="s">
        <v>26</v>
      </c>
      <c r="F64" s="22">
        <v>0</v>
      </c>
      <c r="G64" s="23"/>
    </row>
    <row r="65" spans="2:7" x14ac:dyDescent="0.25">
      <c r="B65" s="23" t="s">
        <v>27</v>
      </c>
      <c r="C65" s="22" t="s">
        <v>26</v>
      </c>
      <c r="D65" s="22"/>
      <c r="E65" s="22" t="s">
        <v>26</v>
      </c>
      <c r="F65" s="22">
        <v>99.998999999999995</v>
      </c>
      <c r="G65" s="22" t="s">
        <v>25</v>
      </c>
    </row>
    <row r="72" spans="2:7" ht="24" x14ac:dyDescent="0.4">
      <c r="B72" s="20" t="s">
        <v>145</v>
      </c>
      <c r="C72"/>
      <c r="D72"/>
      <c r="E72"/>
      <c r="F72"/>
      <c r="G72"/>
    </row>
    <row r="74" spans="2:7" ht="24" x14ac:dyDescent="0.4">
      <c r="B74" s="20" t="s">
        <v>24</v>
      </c>
      <c r="C74"/>
      <c r="D74"/>
      <c r="E74"/>
      <c r="F74"/>
      <c r="G74"/>
    </row>
    <row r="77" spans="2:7" x14ac:dyDescent="0.25">
      <c r="B77" s="2" t="s">
        <v>23</v>
      </c>
      <c r="C77"/>
      <c r="D77"/>
      <c r="E77"/>
      <c r="F77"/>
      <c r="G77"/>
    </row>
    <row r="78" spans="2:7" x14ac:dyDescent="0.25">
      <c r="B78" s="2" t="s">
        <v>22</v>
      </c>
      <c r="C78"/>
      <c r="D78"/>
      <c r="E78"/>
      <c r="F78"/>
      <c r="G78"/>
    </row>
    <row r="79" spans="2:7" x14ac:dyDescent="0.25">
      <c r="B79" s="2" t="s">
        <v>21</v>
      </c>
      <c r="C79"/>
      <c r="D79"/>
      <c r="E79"/>
      <c r="F79"/>
      <c r="G79"/>
    </row>
    <row r="80" spans="2:7" x14ac:dyDescent="0.25">
      <c r="B80" s="2" t="s">
        <v>20</v>
      </c>
      <c r="C80"/>
      <c r="D80"/>
      <c r="E80"/>
      <c r="F80"/>
      <c r="G80"/>
    </row>
    <row r="82" spans="2:3" x14ac:dyDescent="0.25">
      <c r="B82" s="2" t="s">
        <v>19</v>
      </c>
    </row>
    <row r="83" spans="2:3" x14ac:dyDescent="0.25">
      <c r="B83" s="2" t="s">
        <v>18</v>
      </c>
    </row>
    <row r="85" spans="2:3" x14ac:dyDescent="0.25">
      <c r="B85" s="2" t="s">
        <v>17</v>
      </c>
    </row>
    <row r="86" spans="2:3" x14ac:dyDescent="0.25">
      <c r="B86" s="2" t="s">
        <v>16</v>
      </c>
    </row>
    <row r="87" spans="2:3" x14ac:dyDescent="0.25">
      <c r="B87" s="2" t="s">
        <v>15</v>
      </c>
    </row>
    <row r="88" spans="2:3" x14ac:dyDescent="0.25">
      <c r="B88" s="2" t="s">
        <v>14</v>
      </c>
    </row>
    <row r="92" spans="2:3" ht="24" x14ac:dyDescent="0.4">
      <c r="B92" s="20" t="s">
        <v>146</v>
      </c>
    </row>
    <row r="95" spans="2:3" x14ac:dyDescent="0.25">
      <c r="B95" s="21" t="s">
        <v>172</v>
      </c>
      <c r="C95" s="2" cm="1">
        <f t="array" ref="C95">GetStockAvi("PDX","STOCK_QTY","BRAM","10/10/2025",0,999,0,9999)</f>
        <v>2469958</v>
      </c>
    </row>
    <row r="96" spans="2:3" x14ac:dyDescent="0.25">
      <c r="B96" s="28"/>
    </row>
    <row r="97" spans="2:3" x14ac:dyDescent="0.25">
      <c r="B97" s="21" t="s">
        <v>171</v>
      </c>
      <c r="C97" s="2" cm="1">
        <f t="array" ref="C97">GetEntradaAvi("PDX","ENTRADAS_QTY","BRAM","01/10/2025","09/10/2025")</f>
        <v>764996</v>
      </c>
    </row>
    <row r="98" spans="2:3" x14ac:dyDescent="0.25">
      <c r="B98" s="28"/>
    </row>
    <row r="99" spans="2:3" x14ac:dyDescent="0.25">
      <c r="B99" s="28"/>
    </row>
    <row r="100" spans="2:3" x14ac:dyDescent="0.25">
      <c r="B100" s="21" t="s">
        <v>173</v>
      </c>
      <c r="C100" s="2" cm="1">
        <f t="array" ref="C100">GetSalidasAvi("PDX","SALIDAS_QTY","BRAM","01/10/2025","09/10/2025",0,999,0,9999)</f>
        <v>-778274</v>
      </c>
    </row>
    <row r="103" spans="2:3" ht="24" x14ac:dyDescent="0.4">
      <c r="B103" s="20" t="s">
        <v>147</v>
      </c>
    </row>
    <row r="105" spans="2:3" x14ac:dyDescent="0.25">
      <c r="B105" s="21" t="s">
        <v>176</v>
      </c>
      <c r="C105" s="2" cm="1">
        <f t="array" ref="C105">GetStockAviSem("PDX","SALIDAS_QTY","BRAM",2025,44,0,999,0,9999)</f>
        <v>-398077</v>
      </c>
    </row>
    <row r="106" spans="2:3" x14ac:dyDescent="0.25">
      <c r="B106" s="28"/>
    </row>
    <row r="107" spans="2:3" x14ac:dyDescent="0.25">
      <c r="B107" s="21" t="s">
        <v>175</v>
      </c>
      <c r="C107" s="2" cm="1">
        <f t="array" ref="C107">GetEntradaAviSem("PDX","ENTRADAS_QTY","BRAM",2025,44)</f>
        <v>1685210</v>
      </c>
    </row>
    <row r="108" spans="2:3" x14ac:dyDescent="0.25">
      <c r="B108" s="28"/>
    </row>
    <row r="109" spans="2:3" x14ac:dyDescent="0.25">
      <c r="B109" s="28"/>
    </row>
    <row r="110" spans="2:3" x14ac:dyDescent="0.25">
      <c r="B110" s="21" t="s">
        <v>148</v>
      </c>
      <c r="C110" s="2" cm="1">
        <f t="array" ref="C110">GetSalidasAviSem("PDX","SALIDAS_QTY","BRAM",2025,44,0,999,0,9999)</f>
        <v>-398077</v>
      </c>
    </row>
    <row r="113" spans="2:3" ht="24" x14ac:dyDescent="0.4">
      <c r="B113" s="20" t="s">
        <v>149</v>
      </c>
      <c r="C113"/>
    </row>
    <row r="115" spans="2:3" x14ac:dyDescent="0.25">
      <c r="B115" s="21" t="s">
        <v>174</v>
      </c>
      <c r="C115" cm="1">
        <f t="array" ref="C115">GetStockAviGrj("TOR","STOCK_PM","2025-10-15","20452T","1","1","3002")</f>
        <v>0.95199999999999996</v>
      </c>
    </row>
    <row r="117" spans="2:3" ht="24" x14ac:dyDescent="0.4">
      <c r="B117" s="20" t="s">
        <v>13</v>
      </c>
      <c r="C117"/>
    </row>
    <row r="119" spans="2:3" x14ac:dyDescent="0.25">
      <c r="B119" s="2" t="s">
        <v>12</v>
      </c>
      <c r="C119" s="2" t="s">
        <v>8</v>
      </c>
    </row>
    <row r="120" spans="2:3" x14ac:dyDescent="0.25">
      <c r="B120" s="2" t="s">
        <v>11</v>
      </c>
      <c r="C120"/>
    </row>
    <row r="122" spans="2:3" x14ac:dyDescent="0.25">
      <c r="B122" s="2" t="s">
        <v>10</v>
      </c>
      <c r="C122" s="2" t="s">
        <v>8</v>
      </c>
    </row>
    <row r="123" spans="2:3" x14ac:dyDescent="0.25">
      <c r="B123" s="2" t="s">
        <v>7</v>
      </c>
      <c r="C123"/>
    </row>
    <row r="125" spans="2:3" x14ac:dyDescent="0.25">
      <c r="B125" s="2" t="s">
        <v>9</v>
      </c>
      <c r="C125" s="2" t="s">
        <v>8</v>
      </c>
    </row>
    <row r="126" spans="2:3" x14ac:dyDescent="0.25">
      <c r="B126" s="2" t="s">
        <v>7</v>
      </c>
      <c r="C126"/>
    </row>
    <row r="128" spans="2:3" x14ac:dyDescent="0.25">
      <c r="B128" s="2" t="s">
        <v>150</v>
      </c>
      <c r="C128"/>
    </row>
    <row r="131" spans="2:2" ht="24" x14ac:dyDescent="0.4">
      <c r="B131" s="20" t="s">
        <v>67</v>
      </c>
    </row>
    <row r="133" spans="2:2" x14ac:dyDescent="0.25">
      <c r="B133" s="21" t="s">
        <v>68</v>
      </c>
    </row>
    <row r="134" spans="2:2" x14ac:dyDescent="0.25">
      <c r="B134" s="21" t="s">
        <v>69</v>
      </c>
    </row>
    <row r="135" spans="2:2" x14ac:dyDescent="0.25">
      <c r="B135" s="21" t="s">
        <v>70</v>
      </c>
    </row>
    <row r="139" spans="2:2" x14ac:dyDescent="0.25">
      <c r="B139" s="25" t="s">
        <v>71</v>
      </c>
    </row>
    <row r="142" spans="2:2" x14ac:dyDescent="0.25">
      <c r="B142" s="2" t="s">
        <v>72</v>
      </c>
    </row>
    <row r="143" spans="2:2" x14ac:dyDescent="0.25">
      <c r="B143" s="39" t="s">
        <v>170</v>
      </c>
    </row>
    <row r="146" spans="2:2" x14ac:dyDescent="0.25">
      <c r="B146" s="25" t="s">
        <v>73</v>
      </c>
    </row>
    <row r="148" spans="2:2" x14ac:dyDescent="0.25">
      <c r="B148" s="2" t="s">
        <v>74</v>
      </c>
    </row>
    <row r="150" spans="2:2" x14ac:dyDescent="0.25">
      <c r="B150" s="2" t="s">
        <v>75</v>
      </c>
    </row>
    <row r="151" spans="2:2" x14ac:dyDescent="0.25">
      <c r="B151" s="2" t="s">
        <v>76</v>
      </c>
    </row>
    <row r="153" spans="2:2" x14ac:dyDescent="0.25">
      <c r="B153" s="2" t="s">
        <v>77</v>
      </c>
    </row>
    <row r="156" spans="2:2" x14ac:dyDescent="0.25">
      <c r="B156" s="25" t="s">
        <v>78</v>
      </c>
    </row>
    <row r="160" spans="2:2" x14ac:dyDescent="0.25">
      <c r="B160" s="2" t="s">
        <v>79</v>
      </c>
    </row>
    <row r="161" spans="2:2" x14ac:dyDescent="0.25">
      <c r="B161" s="2" t="s">
        <v>80</v>
      </c>
    </row>
    <row r="162" spans="2:2" x14ac:dyDescent="0.25">
      <c r="B162" s="2" t="s">
        <v>81</v>
      </c>
    </row>
    <row r="163" spans="2:2" x14ac:dyDescent="0.25">
      <c r="B163" s="2" t="s">
        <v>82</v>
      </c>
    </row>
    <row r="164" spans="2:2" x14ac:dyDescent="0.25">
      <c r="B164" s="2" t="s">
        <v>83</v>
      </c>
    </row>
    <row r="165" spans="2:2" x14ac:dyDescent="0.25">
      <c r="B165" s="2" t="s">
        <v>84</v>
      </c>
    </row>
    <row r="166" spans="2:2" x14ac:dyDescent="0.25">
      <c r="B166" s="2" t="s">
        <v>85</v>
      </c>
    </row>
    <row r="167" spans="2:2" x14ac:dyDescent="0.25">
      <c r="B167" s="2" t="s">
        <v>86</v>
      </c>
    </row>
    <row r="168" spans="2:2" x14ac:dyDescent="0.25">
      <c r="B168" s="2" t="s">
        <v>87</v>
      </c>
    </row>
    <row r="169" spans="2:2" x14ac:dyDescent="0.25">
      <c r="B169" s="2" t="s">
        <v>88</v>
      </c>
    </row>
    <row r="170" spans="2:2" x14ac:dyDescent="0.25">
      <c r="B170" s="2" t="s">
        <v>89</v>
      </c>
    </row>
    <row r="171" spans="2:2" x14ac:dyDescent="0.25">
      <c r="B171" s="2" t="s">
        <v>90</v>
      </c>
    </row>
    <row r="172" spans="2:2" x14ac:dyDescent="0.25">
      <c r="B172" s="2" t="s">
        <v>91</v>
      </c>
    </row>
    <row r="173" spans="2:2" x14ac:dyDescent="0.25">
      <c r="B173" s="2" t="s">
        <v>92</v>
      </c>
    </row>
    <row r="174" spans="2:2" x14ac:dyDescent="0.25">
      <c r="B174" s="2" t="s">
        <v>93</v>
      </c>
    </row>
    <row r="175" spans="2:2" x14ac:dyDescent="0.25">
      <c r="B175" s="2" t="s">
        <v>94</v>
      </c>
    </row>
    <row r="176" spans="2:2" x14ac:dyDescent="0.25">
      <c r="B176" s="2" t="s">
        <v>95</v>
      </c>
    </row>
    <row r="177" spans="2:2" x14ac:dyDescent="0.25">
      <c r="B177" s="2" t="s">
        <v>96</v>
      </c>
    </row>
    <row r="178" spans="2:2" x14ac:dyDescent="0.25">
      <c r="B178" s="2" t="s">
        <v>97</v>
      </c>
    </row>
    <row r="179" spans="2:2" x14ac:dyDescent="0.25">
      <c r="B179" s="2" t="s">
        <v>98</v>
      </c>
    </row>
    <row r="180" spans="2:2" x14ac:dyDescent="0.25">
      <c r="B180" s="2" t="s">
        <v>99</v>
      </c>
    </row>
    <row r="181" spans="2:2" x14ac:dyDescent="0.25">
      <c r="B181" s="2" t="s">
        <v>100</v>
      </c>
    </row>
    <row r="182" spans="2:2" x14ac:dyDescent="0.25">
      <c r="B182" s="2" t="s">
        <v>101</v>
      </c>
    </row>
    <row r="183" spans="2:2" x14ac:dyDescent="0.25">
      <c r="B183" s="2" t="s">
        <v>102</v>
      </c>
    </row>
    <row r="198" spans="2:2" ht="21" x14ac:dyDescent="0.25">
      <c r="B198" s="18" t="s">
        <v>151</v>
      </c>
    </row>
    <row r="199" spans="2:2" ht="21" x14ac:dyDescent="0.25">
      <c r="B199" s="19" t="s">
        <v>152</v>
      </c>
    </row>
    <row r="200" spans="2:2" x14ac:dyDescent="0.25">
      <c r="B200" s="17"/>
    </row>
    <row r="201" spans="2:2" ht="21" x14ac:dyDescent="0.25">
      <c r="B201" s="18" t="s">
        <v>153</v>
      </c>
    </row>
    <row r="202" spans="2:2" ht="21" x14ac:dyDescent="0.25">
      <c r="B202" s="18" t="s">
        <v>154</v>
      </c>
    </row>
    <row r="203" spans="2:2" ht="21" x14ac:dyDescent="0.25">
      <c r="B203" s="19" t="s">
        <v>155</v>
      </c>
    </row>
    <row r="204" spans="2:2" x14ac:dyDescent="0.25">
      <c r="B204" s="17"/>
    </row>
    <row r="205" spans="2:2" ht="21" x14ac:dyDescent="0.25">
      <c r="B205" s="18" t="s">
        <v>156</v>
      </c>
    </row>
    <row r="206" spans="2:2" ht="21" x14ac:dyDescent="0.25">
      <c r="B206" s="18" t="s">
        <v>157</v>
      </c>
    </row>
    <row r="207" spans="2:2" ht="21" x14ac:dyDescent="0.25">
      <c r="B207" s="19" t="s">
        <v>158</v>
      </c>
    </row>
    <row r="208" spans="2:2" x14ac:dyDescent="0.25">
      <c r="B208" s="17"/>
    </row>
    <row r="209" spans="2:2" ht="21" x14ac:dyDescent="0.25">
      <c r="B209" s="18" t="s">
        <v>159</v>
      </c>
    </row>
    <row r="210" spans="2:2" ht="21" x14ac:dyDescent="0.25">
      <c r="B210" s="18" t="s">
        <v>160</v>
      </c>
    </row>
    <row r="211" spans="2:2" ht="21" x14ac:dyDescent="0.25">
      <c r="B211" s="18" t="s">
        <v>161</v>
      </c>
    </row>
    <row r="212" spans="2:2" ht="21" x14ac:dyDescent="0.25">
      <c r="B212" s="16" t="s">
        <v>162</v>
      </c>
    </row>
    <row r="213" spans="2:2" ht="21" x14ac:dyDescent="0.25">
      <c r="B213" s="16" t="s">
        <v>163</v>
      </c>
    </row>
    <row r="214" spans="2:2" x14ac:dyDescent="0.25">
      <c r="B214" s="17"/>
    </row>
    <row r="215" spans="2:2" ht="21" x14ac:dyDescent="0.25">
      <c r="B215" s="16" t="s">
        <v>162</v>
      </c>
    </row>
    <row r="216" spans="2:2" ht="21" x14ac:dyDescent="0.25">
      <c r="B216" s="16" t="s">
        <v>164</v>
      </c>
    </row>
  </sheetData>
  <mergeCells count="8">
    <mergeCell ref="C27:E27"/>
    <mergeCell ref="C41:E41"/>
    <mergeCell ref="C54:E54"/>
    <mergeCell ref="F5:I5"/>
    <mergeCell ref="F6:I6"/>
    <mergeCell ref="F7:I8"/>
    <mergeCell ref="F9:I9"/>
    <mergeCell ref="C13:E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268AF-0FFC-40FB-80B4-B3275E0D9CC5}">
  <sheetPr codeName="Hoja1"/>
  <dimension ref="A1:V10000"/>
  <sheetViews>
    <sheetView workbookViewId="0">
      <selection activeCell="D3" sqref="D3"/>
    </sheetView>
  </sheetViews>
  <sheetFormatPr baseColWidth="10" defaultRowHeight="15" x14ac:dyDescent="0.25"/>
  <cols>
    <col min="2" max="2" width="13" customWidth="1"/>
    <col min="3" max="3" width="13.5703125" customWidth="1"/>
    <col min="4" max="4" width="13.28515625" customWidth="1"/>
    <col min="5" max="5" width="139.42578125" customWidth="1"/>
    <col min="6" max="6" width="10.140625" bestFit="1" customWidth="1"/>
    <col min="7" max="7" width="14.42578125" bestFit="1" customWidth="1"/>
    <col min="8" max="8" width="10.28515625" bestFit="1" customWidth="1"/>
    <col min="9" max="9" width="10.28515625" customWidth="1"/>
    <col min="12" max="12" width="9.7109375" bestFit="1" customWidth="1"/>
    <col min="13" max="13" width="9.85546875" bestFit="1" customWidth="1"/>
    <col min="14" max="14" width="8.7109375" bestFit="1" customWidth="1"/>
    <col min="15" max="15" width="7.7109375" bestFit="1" customWidth="1"/>
    <col min="16" max="16" width="7.28515625" customWidth="1"/>
    <col min="17" max="17" width="15.5703125" customWidth="1"/>
    <col min="18" max="18" width="13.85546875" style="6" customWidth="1"/>
    <col min="19" max="19" width="5.85546875" customWidth="1"/>
  </cols>
  <sheetData>
    <row r="1" spans="1:22" s="8" customFormat="1" ht="45" customHeight="1" x14ac:dyDescent="0.25">
      <c r="A1" s="7" t="s">
        <v>2</v>
      </c>
      <c r="B1" s="7" t="s">
        <v>3</v>
      </c>
      <c r="C1" s="7" t="s">
        <v>4</v>
      </c>
      <c r="D1" s="7" t="s">
        <v>52</v>
      </c>
      <c r="F1" s="8" t="s">
        <v>54</v>
      </c>
      <c r="G1" s="8" t="s">
        <v>55</v>
      </c>
      <c r="H1" s="8" t="s">
        <v>56</v>
      </c>
      <c r="I1" s="8" t="s">
        <v>57</v>
      </c>
      <c r="J1" s="8" t="s">
        <v>58</v>
      </c>
      <c r="K1" s="8" t="s">
        <v>59</v>
      </c>
      <c r="L1" s="8" t="s">
        <v>60</v>
      </c>
      <c r="M1" s="8" t="s">
        <v>61</v>
      </c>
      <c r="N1" s="8" t="s">
        <v>62</v>
      </c>
      <c r="O1" s="8" t="s">
        <v>63</v>
      </c>
      <c r="P1" s="8" t="s">
        <v>53</v>
      </c>
      <c r="Q1" s="8" t="s">
        <v>5</v>
      </c>
      <c r="R1" s="9" t="s">
        <v>51</v>
      </c>
    </row>
    <row r="2" spans="1:22" x14ac:dyDescent="0.25">
      <c r="A2" t="s">
        <v>0</v>
      </c>
      <c r="B2" t="s">
        <v>6</v>
      </c>
      <c r="C2" s="1">
        <v>45839</v>
      </c>
      <c r="D2" t="str" cm="1">
        <f t="array" ref="D2">GetStockData(A2,B2,C2)</f>
        <v>Error: ERROR: function api_xls.f_pla_qty_stock(unknown, unknown, unknown) does not exist;
Error while executing the query (Error #-2147467259)</v>
      </c>
      <c r="F2" t="s">
        <v>0</v>
      </c>
      <c r="G2" t="s">
        <v>48</v>
      </c>
      <c r="H2" t="s">
        <v>1</v>
      </c>
      <c r="I2" s="5">
        <v>45941</v>
      </c>
      <c r="J2" s="5"/>
      <c r="K2" s="5"/>
      <c r="L2">
        <v>0</v>
      </c>
      <c r="M2">
        <v>999</v>
      </c>
      <c r="N2">
        <v>0</v>
      </c>
      <c r="O2">
        <v>9.9990000000000006</v>
      </c>
      <c r="Q2" t="s">
        <v>41</v>
      </c>
      <c r="R2" s="6" cm="1">
        <f t="array" ref="R2">GetStockAvi(F2,G2,H2,I2,L2,M2,N2,O2)</f>
        <v>2533997</v>
      </c>
      <c r="S2" s="4"/>
      <c r="T2" s="3"/>
      <c r="V2" s="3"/>
    </row>
    <row r="3" spans="1:22" x14ac:dyDescent="0.25">
      <c r="A3" t="s">
        <v>0</v>
      </c>
      <c r="B3" t="s">
        <v>1</v>
      </c>
      <c r="C3" s="1">
        <v>45840</v>
      </c>
      <c r="D3" t="str" cm="1">
        <f t="array" ref="D3">GetStockData(A3,B3,C3)</f>
        <v>Error: ERROR: function api_xls.f_pla_qty_stock(unknown, unknown, unknown) does not exist;
Error while executing the query (Error #-2147467259)</v>
      </c>
      <c r="F3" t="s">
        <v>64</v>
      </c>
      <c r="G3" t="s">
        <v>49</v>
      </c>
      <c r="H3" t="s">
        <v>1</v>
      </c>
      <c r="J3" s="5">
        <v>45931</v>
      </c>
      <c r="K3" s="5">
        <v>45941</v>
      </c>
      <c r="Q3" t="s">
        <v>40</v>
      </c>
      <c r="R3" s="6" cm="1">
        <f t="array" ref="R3">GetEntradaAvi(F3,G3,H3,J3,K3)</f>
        <v>521800</v>
      </c>
      <c r="S3" s="4"/>
      <c r="T3" s="3"/>
      <c r="V3" s="3"/>
    </row>
    <row r="4" spans="1:22" x14ac:dyDescent="0.25">
      <c r="A4" t="s">
        <v>0</v>
      </c>
      <c r="B4" t="s">
        <v>1</v>
      </c>
      <c r="C4" s="1">
        <v>45841</v>
      </c>
      <c r="D4" t="str" cm="1">
        <f t="array" ref="D4">GetStockData(A4,B4,C4)</f>
        <v>Error: ERROR: function api_xls.f_pla_qty_stock(unknown, unknown, unknown) does not exist;
Error while executing the query (Error #-2147467259)</v>
      </c>
      <c r="F4" t="s">
        <v>0</v>
      </c>
      <c r="G4" t="s">
        <v>50</v>
      </c>
      <c r="H4" t="s">
        <v>1</v>
      </c>
      <c r="J4" s="5">
        <v>45931</v>
      </c>
      <c r="K4" s="5">
        <v>45940</v>
      </c>
      <c r="L4">
        <v>0</v>
      </c>
      <c r="M4">
        <v>999</v>
      </c>
      <c r="N4">
        <v>0</v>
      </c>
      <c r="O4">
        <v>9.9990000000000006</v>
      </c>
      <c r="Q4" t="s">
        <v>39</v>
      </c>
      <c r="R4" s="6" cm="1">
        <f t="array" ref="R4">GetSalidasAvi(F4,G4,H4,J4,K4,L4,M4,N4,O4)</f>
        <v>-815656</v>
      </c>
      <c r="S4" s="4"/>
      <c r="T4" s="3"/>
      <c r="V4" s="3"/>
    </row>
    <row r="5" spans="1:22" x14ac:dyDescent="0.25">
      <c r="A5" t="s">
        <v>0</v>
      </c>
      <c r="B5" t="s">
        <v>1</v>
      </c>
      <c r="C5" s="1">
        <v>45842</v>
      </c>
      <c r="D5" t="str" cm="1">
        <f t="array" ref="D5">GetStockData(A5,B5,C5)</f>
        <v>Error: ERROR: function api_xls.f_pla_qty_stock(unknown, unknown, unknown) does not exist;
Error while executing the query (Error #-2147467259)</v>
      </c>
    </row>
    <row r="6" spans="1:22" x14ac:dyDescent="0.25">
      <c r="A6" t="s">
        <v>0</v>
      </c>
      <c r="B6" t="s">
        <v>1</v>
      </c>
      <c r="C6" s="1">
        <v>45843</v>
      </c>
    </row>
    <row r="7" spans="1:22" x14ac:dyDescent="0.25">
      <c r="A7" t="s">
        <v>0</v>
      </c>
      <c r="B7" t="s">
        <v>1</v>
      </c>
      <c r="C7" s="1">
        <v>45844</v>
      </c>
    </row>
    <row r="8" spans="1:22" x14ac:dyDescent="0.25">
      <c r="A8" t="s">
        <v>0</v>
      </c>
      <c r="B8" t="s">
        <v>1</v>
      </c>
      <c r="C8" s="1">
        <v>45845</v>
      </c>
    </row>
    <row r="9" spans="1:22" x14ac:dyDescent="0.25">
      <c r="A9" t="s">
        <v>0</v>
      </c>
      <c r="B9" t="s">
        <v>1</v>
      </c>
      <c r="C9" s="1">
        <v>45846</v>
      </c>
    </row>
    <row r="10" spans="1:22" x14ac:dyDescent="0.25">
      <c r="A10" t="s">
        <v>0</v>
      </c>
      <c r="B10" t="s">
        <v>1</v>
      </c>
      <c r="C10" s="1">
        <v>45847</v>
      </c>
    </row>
    <row r="11" spans="1:22" x14ac:dyDescent="0.25">
      <c r="A11" t="s">
        <v>0</v>
      </c>
      <c r="B11" t="s">
        <v>1</v>
      </c>
      <c r="C11" s="1">
        <v>45848</v>
      </c>
    </row>
    <row r="12" spans="1:22" x14ac:dyDescent="0.25">
      <c r="A12" t="s">
        <v>0</v>
      </c>
      <c r="B12" t="s">
        <v>1</v>
      </c>
      <c r="C12" s="1">
        <v>45849</v>
      </c>
    </row>
    <row r="13" spans="1:22" x14ac:dyDescent="0.25">
      <c r="A13" t="s">
        <v>0</v>
      </c>
      <c r="B13" t="s">
        <v>1</v>
      </c>
      <c r="C13" s="1">
        <v>45850</v>
      </c>
    </row>
    <row r="14" spans="1:22" x14ac:dyDescent="0.25">
      <c r="A14" t="s">
        <v>0</v>
      </c>
      <c r="B14" t="s">
        <v>1</v>
      </c>
      <c r="C14" s="1">
        <v>45851</v>
      </c>
    </row>
    <row r="15" spans="1:22" x14ac:dyDescent="0.25">
      <c r="A15" t="s">
        <v>0</v>
      </c>
      <c r="B15" t="s">
        <v>1</v>
      </c>
      <c r="C15" s="1">
        <v>45852</v>
      </c>
    </row>
    <row r="16" spans="1:22" x14ac:dyDescent="0.25">
      <c r="A16" t="s">
        <v>0</v>
      </c>
      <c r="B16" t="s">
        <v>1</v>
      </c>
      <c r="C16" s="1">
        <v>45853</v>
      </c>
    </row>
    <row r="17" spans="1:3" x14ac:dyDescent="0.25">
      <c r="A17" t="s">
        <v>0</v>
      </c>
      <c r="B17" t="s">
        <v>1</v>
      </c>
      <c r="C17" s="1">
        <v>45854</v>
      </c>
    </row>
    <row r="18" spans="1:3" x14ac:dyDescent="0.25">
      <c r="A18" t="s">
        <v>0</v>
      </c>
      <c r="B18" t="s">
        <v>1</v>
      </c>
      <c r="C18" s="1">
        <v>45855</v>
      </c>
    </row>
    <row r="19" spans="1:3" x14ac:dyDescent="0.25">
      <c r="A19" t="s">
        <v>0</v>
      </c>
      <c r="B19" t="s">
        <v>1</v>
      </c>
      <c r="C19" s="1">
        <v>45856</v>
      </c>
    </row>
    <row r="20" spans="1:3" x14ac:dyDescent="0.25">
      <c r="A20" t="s">
        <v>0</v>
      </c>
      <c r="B20" t="s">
        <v>1</v>
      </c>
      <c r="C20" s="1">
        <v>45857</v>
      </c>
    </row>
    <row r="21" spans="1:3" x14ac:dyDescent="0.25">
      <c r="A21" t="s">
        <v>0</v>
      </c>
      <c r="B21" t="s">
        <v>1</v>
      </c>
      <c r="C21" s="1">
        <v>45858</v>
      </c>
    </row>
    <row r="22" spans="1:3" x14ac:dyDescent="0.25">
      <c r="A22" t="s">
        <v>0</v>
      </c>
      <c r="B22" t="s">
        <v>1</v>
      </c>
      <c r="C22" s="1">
        <v>45859</v>
      </c>
    </row>
    <row r="23" spans="1:3" x14ac:dyDescent="0.25">
      <c r="A23" t="s">
        <v>0</v>
      </c>
      <c r="B23" t="s">
        <v>1</v>
      </c>
      <c r="C23" s="1">
        <v>45860</v>
      </c>
    </row>
    <row r="24" spans="1:3" x14ac:dyDescent="0.25">
      <c r="A24" t="s">
        <v>0</v>
      </c>
      <c r="B24" t="s">
        <v>1</v>
      </c>
      <c r="C24" s="1">
        <v>45861</v>
      </c>
    </row>
    <row r="25" spans="1:3" x14ac:dyDescent="0.25">
      <c r="A25" t="s">
        <v>0</v>
      </c>
      <c r="B25" t="s">
        <v>1</v>
      </c>
      <c r="C25" s="1">
        <v>45862</v>
      </c>
    </row>
    <row r="26" spans="1:3" x14ac:dyDescent="0.25">
      <c r="A26" t="s">
        <v>0</v>
      </c>
      <c r="B26" t="s">
        <v>1</v>
      </c>
      <c r="C26" s="1">
        <v>45863</v>
      </c>
    </row>
    <row r="27" spans="1:3" x14ac:dyDescent="0.25">
      <c r="A27" t="s">
        <v>0</v>
      </c>
      <c r="B27" t="s">
        <v>1</v>
      </c>
      <c r="C27" s="1">
        <v>45864</v>
      </c>
    </row>
    <row r="28" spans="1:3" x14ac:dyDescent="0.25">
      <c r="A28" t="s">
        <v>0</v>
      </c>
      <c r="B28" t="s">
        <v>1</v>
      </c>
      <c r="C28" s="1">
        <v>45865</v>
      </c>
    </row>
    <row r="29" spans="1:3" x14ac:dyDescent="0.25">
      <c r="A29" t="s">
        <v>0</v>
      </c>
      <c r="B29" t="s">
        <v>1</v>
      </c>
      <c r="C29" s="1">
        <v>45866</v>
      </c>
    </row>
    <row r="30" spans="1:3" x14ac:dyDescent="0.25">
      <c r="A30" t="s">
        <v>0</v>
      </c>
      <c r="B30" t="s">
        <v>1</v>
      </c>
      <c r="C30" s="1">
        <v>45867</v>
      </c>
    </row>
    <row r="31" spans="1:3" x14ac:dyDescent="0.25">
      <c r="A31" t="s">
        <v>0</v>
      </c>
      <c r="B31" t="s">
        <v>1</v>
      </c>
      <c r="C31" s="1">
        <v>45868</v>
      </c>
    </row>
    <row r="32" spans="1:3" x14ac:dyDescent="0.25">
      <c r="A32" t="s">
        <v>0</v>
      </c>
      <c r="B32" t="s">
        <v>1</v>
      </c>
      <c r="C32" s="1">
        <v>45869</v>
      </c>
    </row>
    <row r="33" spans="1:3" x14ac:dyDescent="0.25">
      <c r="A33" t="s">
        <v>0</v>
      </c>
      <c r="B33" t="s">
        <v>1</v>
      </c>
      <c r="C33" s="1">
        <v>45870</v>
      </c>
    </row>
    <row r="34" spans="1:3" x14ac:dyDescent="0.25">
      <c r="A34" t="s">
        <v>0</v>
      </c>
      <c r="B34" t="s">
        <v>1</v>
      </c>
      <c r="C34" s="1">
        <v>45871</v>
      </c>
    </row>
    <row r="35" spans="1:3" x14ac:dyDescent="0.25">
      <c r="A35" t="s">
        <v>0</v>
      </c>
      <c r="B35" t="s">
        <v>1</v>
      </c>
      <c r="C35" s="1">
        <v>45872</v>
      </c>
    </row>
    <row r="36" spans="1:3" x14ac:dyDescent="0.25">
      <c r="A36" t="s">
        <v>0</v>
      </c>
      <c r="B36" t="s">
        <v>1</v>
      </c>
      <c r="C36" s="1">
        <v>45873</v>
      </c>
    </row>
    <row r="37" spans="1:3" x14ac:dyDescent="0.25">
      <c r="A37" t="s">
        <v>0</v>
      </c>
      <c r="B37" t="s">
        <v>1</v>
      </c>
      <c r="C37" s="1">
        <v>45874</v>
      </c>
    </row>
    <row r="38" spans="1:3" x14ac:dyDescent="0.25">
      <c r="A38" t="s">
        <v>0</v>
      </c>
      <c r="B38" t="s">
        <v>1</v>
      </c>
      <c r="C38" s="1">
        <v>45875</v>
      </c>
    </row>
    <row r="39" spans="1:3" x14ac:dyDescent="0.25">
      <c r="A39" t="s">
        <v>0</v>
      </c>
      <c r="B39" t="s">
        <v>1</v>
      </c>
      <c r="C39" s="1">
        <v>45876</v>
      </c>
    </row>
    <row r="40" spans="1:3" x14ac:dyDescent="0.25">
      <c r="A40" t="s">
        <v>0</v>
      </c>
      <c r="B40" t="s">
        <v>1</v>
      </c>
      <c r="C40" s="1">
        <v>45877</v>
      </c>
    </row>
    <row r="41" spans="1:3" x14ac:dyDescent="0.25">
      <c r="A41" t="s">
        <v>0</v>
      </c>
      <c r="B41" t="s">
        <v>1</v>
      </c>
      <c r="C41" s="1">
        <v>45878</v>
      </c>
    </row>
    <row r="42" spans="1:3" x14ac:dyDescent="0.25">
      <c r="A42" t="s">
        <v>0</v>
      </c>
      <c r="B42" t="s">
        <v>1</v>
      </c>
      <c r="C42" s="1">
        <v>45879</v>
      </c>
    </row>
    <row r="43" spans="1:3" x14ac:dyDescent="0.25">
      <c r="A43" t="s">
        <v>0</v>
      </c>
      <c r="B43" t="s">
        <v>1</v>
      </c>
      <c r="C43" s="1">
        <v>45880</v>
      </c>
    </row>
    <row r="44" spans="1:3" x14ac:dyDescent="0.25">
      <c r="A44" t="s">
        <v>0</v>
      </c>
      <c r="B44" t="s">
        <v>1</v>
      </c>
      <c r="C44" s="1">
        <v>45881</v>
      </c>
    </row>
    <row r="45" spans="1:3" x14ac:dyDescent="0.25">
      <c r="A45" t="s">
        <v>0</v>
      </c>
      <c r="B45" t="s">
        <v>1</v>
      </c>
      <c r="C45" s="1">
        <v>45882</v>
      </c>
    </row>
    <row r="46" spans="1:3" x14ac:dyDescent="0.25">
      <c r="A46" t="s">
        <v>0</v>
      </c>
      <c r="B46" t="s">
        <v>1</v>
      </c>
      <c r="C46" s="1">
        <v>45883</v>
      </c>
    </row>
    <row r="47" spans="1:3" x14ac:dyDescent="0.25">
      <c r="A47" t="s">
        <v>0</v>
      </c>
      <c r="B47" t="s">
        <v>1</v>
      </c>
      <c r="C47" s="1">
        <v>45884</v>
      </c>
    </row>
    <row r="48" spans="1:3" x14ac:dyDescent="0.25">
      <c r="A48" t="s">
        <v>0</v>
      </c>
      <c r="B48" t="s">
        <v>1</v>
      </c>
      <c r="C48" s="1">
        <v>45885</v>
      </c>
    </row>
    <row r="49" spans="1:3" x14ac:dyDescent="0.25">
      <c r="A49" t="s">
        <v>0</v>
      </c>
      <c r="B49" t="s">
        <v>1</v>
      </c>
      <c r="C49" s="1">
        <v>45886</v>
      </c>
    </row>
    <row r="50" spans="1:3" x14ac:dyDescent="0.25">
      <c r="A50" t="s">
        <v>0</v>
      </c>
      <c r="B50" t="s">
        <v>1</v>
      </c>
      <c r="C50" s="1">
        <v>45887</v>
      </c>
    </row>
    <row r="51" spans="1:3" x14ac:dyDescent="0.25">
      <c r="A51" t="s">
        <v>0</v>
      </c>
      <c r="B51" t="s">
        <v>1</v>
      </c>
      <c r="C51" s="1">
        <v>45888</v>
      </c>
    </row>
    <row r="52" spans="1:3" x14ac:dyDescent="0.25">
      <c r="A52" t="s">
        <v>0</v>
      </c>
      <c r="B52" t="s">
        <v>1</v>
      </c>
      <c r="C52" s="1">
        <v>45889</v>
      </c>
    </row>
    <row r="53" spans="1:3" x14ac:dyDescent="0.25">
      <c r="A53" t="s">
        <v>0</v>
      </c>
      <c r="B53" t="s">
        <v>1</v>
      </c>
      <c r="C53" s="1">
        <v>45890</v>
      </c>
    </row>
    <row r="54" spans="1:3" x14ac:dyDescent="0.25">
      <c r="A54" t="s">
        <v>0</v>
      </c>
      <c r="B54" t="s">
        <v>1</v>
      </c>
      <c r="C54" s="1">
        <v>45891</v>
      </c>
    </row>
    <row r="55" spans="1:3" x14ac:dyDescent="0.25">
      <c r="A55" t="s">
        <v>0</v>
      </c>
      <c r="B55" t="s">
        <v>1</v>
      </c>
      <c r="C55" s="1">
        <v>45892</v>
      </c>
    </row>
    <row r="56" spans="1:3" x14ac:dyDescent="0.25">
      <c r="A56" t="s">
        <v>0</v>
      </c>
      <c r="B56" t="s">
        <v>1</v>
      </c>
      <c r="C56" s="1">
        <v>45893</v>
      </c>
    </row>
    <row r="57" spans="1:3" x14ac:dyDescent="0.25">
      <c r="A57" t="s">
        <v>0</v>
      </c>
      <c r="B57" t="s">
        <v>1</v>
      </c>
      <c r="C57" s="1">
        <v>45894</v>
      </c>
    </row>
    <row r="58" spans="1:3" x14ac:dyDescent="0.25">
      <c r="A58" t="s">
        <v>0</v>
      </c>
      <c r="B58" t="s">
        <v>1</v>
      </c>
      <c r="C58" s="1">
        <v>45895</v>
      </c>
    </row>
    <row r="59" spans="1:3" x14ac:dyDescent="0.25">
      <c r="A59" t="s">
        <v>0</v>
      </c>
      <c r="B59" t="s">
        <v>1</v>
      </c>
      <c r="C59" s="1">
        <v>45896</v>
      </c>
    </row>
    <row r="60" spans="1:3" x14ac:dyDescent="0.25">
      <c r="A60" t="s">
        <v>0</v>
      </c>
      <c r="B60" t="s">
        <v>1</v>
      </c>
      <c r="C60" s="1">
        <v>45897</v>
      </c>
    </row>
    <row r="61" spans="1:3" x14ac:dyDescent="0.25">
      <c r="A61" t="s">
        <v>0</v>
      </c>
      <c r="B61" t="s">
        <v>1</v>
      </c>
      <c r="C61" s="1">
        <v>45898</v>
      </c>
    </row>
    <row r="62" spans="1:3" x14ac:dyDescent="0.25">
      <c r="A62" t="s">
        <v>0</v>
      </c>
      <c r="B62" t="s">
        <v>1</v>
      </c>
      <c r="C62" s="1">
        <v>45899</v>
      </c>
    </row>
    <row r="63" spans="1:3" x14ac:dyDescent="0.25">
      <c r="A63" t="s">
        <v>0</v>
      </c>
      <c r="B63" t="s">
        <v>1</v>
      </c>
      <c r="C63" s="1">
        <v>45900</v>
      </c>
    </row>
    <row r="64" spans="1:3" x14ac:dyDescent="0.25">
      <c r="A64" t="s">
        <v>0</v>
      </c>
      <c r="B64" t="s">
        <v>1</v>
      </c>
      <c r="C64" s="1">
        <v>45901</v>
      </c>
    </row>
    <row r="65" spans="1:3" x14ac:dyDescent="0.25">
      <c r="A65" t="s">
        <v>0</v>
      </c>
      <c r="B65" t="s">
        <v>1</v>
      </c>
      <c r="C65" s="1">
        <v>45902</v>
      </c>
    </row>
    <row r="66" spans="1:3" x14ac:dyDescent="0.25">
      <c r="A66" t="s">
        <v>0</v>
      </c>
      <c r="B66" t="s">
        <v>1</v>
      </c>
      <c r="C66" s="1">
        <v>45903</v>
      </c>
    </row>
    <row r="67" spans="1:3" x14ac:dyDescent="0.25">
      <c r="A67" t="s">
        <v>0</v>
      </c>
      <c r="B67" t="s">
        <v>1</v>
      </c>
      <c r="C67" s="1">
        <v>45904</v>
      </c>
    </row>
    <row r="68" spans="1:3" x14ac:dyDescent="0.25">
      <c r="A68" t="s">
        <v>0</v>
      </c>
      <c r="B68" t="s">
        <v>1</v>
      </c>
      <c r="C68" s="1">
        <v>45905</v>
      </c>
    </row>
    <row r="69" spans="1:3" x14ac:dyDescent="0.25">
      <c r="A69" t="s">
        <v>0</v>
      </c>
      <c r="B69" t="s">
        <v>1</v>
      </c>
      <c r="C69" s="1">
        <v>45906</v>
      </c>
    </row>
    <row r="70" spans="1:3" x14ac:dyDescent="0.25">
      <c r="A70" t="s">
        <v>0</v>
      </c>
      <c r="B70" t="s">
        <v>1</v>
      </c>
      <c r="C70" s="1">
        <v>45907</v>
      </c>
    </row>
    <row r="71" spans="1:3" x14ac:dyDescent="0.25">
      <c r="A71" t="s">
        <v>0</v>
      </c>
      <c r="B71" t="s">
        <v>1</v>
      </c>
      <c r="C71" s="1">
        <v>45908</v>
      </c>
    </row>
    <row r="72" spans="1:3" x14ac:dyDescent="0.25">
      <c r="A72" t="s">
        <v>0</v>
      </c>
      <c r="B72" t="s">
        <v>1</v>
      </c>
      <c r="C72" s="1">
        <v>45909</v>
      </c>
    </row>
    <row r="73" spans="1:3" x14ac:dyDescent="0.25">
      <c r="A73" t="s">
        <v>0</v>
      </c>
      <c r="B73" t="s">
        <v>1</v>
      </c>
      <c r="C73" s="1">
        <v>45910</v>
      </c>
    </row>
    <row r="74" spans="1:3" x14ac:dyDescent="0.25">
      <c r="A74" t="s">
        <v>0</v>
      </c>
      <c r="B74" t="s">
        <v>1</v>
      </c>
      <c r="C74" s="1">
        <v>45911</v>
      </c>
    </row>
    <row r="75" spans="1:3" x14ac:dyDescent="0.25">
      <c r="A75" t="s">
        <v>0</v>
      </c>
      <c r="B75" t="s">
        <v>1</v>
      </c>
      <c r="C75" s="1">
        <v>45912</v>
      </c>
    </row>
    <row r="76" spans="1:3" x14ac:dyDescent="0.25">
      <c r="A76" t="s">
        <v>0</v>
      </c>
      <c r="B76" t="s">
        <v>1</v>
      </c>
      <c r="C76" s="1">
        <v>45913</v>
      </c>
    </row>
    <row r="77" spans="1:3" x14ac:dyDescent="0.25">
      <c r="A77" t="s">
        <v>0</v>
      </c>
      <c r="B77" t="s">
        <v>1</v>
      </c>
      <c r="C77" s="1">
        <v>45914</v>
      </c>
    </row>
    <row r="78" spans="1:3" x14ac:dyDescent="0.25">
      <c r="A78" t="s">
        <v>0</v>
      </c>
      <c r="B78" t="s">
        <v>1</v>
      </c>
      <c r="C78" s="1">
        <v>45915</v>
      </c>
    </row>
    <row r="79" spans="1:3" x14ac:dyDescent="0.25">
      <c r="A79" t="s">
        <v>0</v>
      </c>
      <c r="B79" t="s">
        <v>1</v>
      </c>
      <c r="C79" s="1">
        <v>45916</v>
      </c>
    </row>
    <row r="80" spans="1:3" x14ac:dyDescent="0.25">
      <c r="A80" t="s">
        <v>0</v>
      </c>
      <c r="B80" t="s">
        <v>1</v>
      </c>
      <c r="C80" s="1">
        <v>45917</v>
      </c>
    </row>
    <row r="81" spans="1:3" x14ac:dyDescent="0.25">
      <c r="A81" t="s">
        <v>0</v>
      </c>
      <c r="B81" t="s">
        <v>1</v>
      </c>
      <c r="C81" s="1">
        <v>45918</v>
      </c>
    </row>
    <row r="82" spans="1:3" x14ac:dyDescent="0.25">
      <c r="A82" t="s">
        <v>0</v>
      </c>
      <c r="B82" t="s">
        <v>1</v>
      </c>
      <c r="C82" s="1">
        <v>45919</v>
      </c>
    </row>
    <row r="83" spans="1:3" x14ac:dyDescent="0.25">
      <c r="A83" t="s">
        <v>0</v>
      </c>
      <c r="B83" t="s">
        <v>1</v>
      </c>
      <c r="C83" s="1">
        <v>45920</v>
      </c>
    </row>
    <row r="84" spans="1:3" x14ac:dyDescent="0.25">
      <c r="A84" t="s">
        <v>0</v>
      </c>
      <c r="B84" t="s">
        <v>1</v>
      </c>
      <c r="C84" s="1">
        <v>45921</v>
      </c>
    </row>
    <row r="85" spans="1:3" x14ac:dyDescent="0.25">
      <c r="A85" t="s">
        <v>0</v>
      </c>
      <c r="B85" t="s">
        <v>1</v>
      </c>
      <c r="C85" s="1">
        <v>45922</v>
      </c>
    </row>
    <row r="86" spans="1:3" x14ac:dyDescent="0.25">
      <c r="A86" t="s">
        <v>0</v>
      </c>
      <c r="B86" t="s">
        <v>1</v>
      </c>
      <c r="C86" s="1">
        <v>45923</v>
      </c>
    </row>
    <row r="87" spans="1:3" x14ac:dyDescent="0.25">
      <c r="A87" t="s">
        <v>0</v>
      </c>
      <c r="B87" t="s">
        <v>1</v>
      </c>
      <c r="C87" s="1">
        <v>45924</v>
      </c>
    </row>
    <row r="88" spans="1:3" x14ac:dyDescent="0.25">
      <c r="A88" t="s">
        <v>0</v>
      </c>
      <c r="B88" t="s">
        <v>1</v>
      </c>
      <c r="C88" s="1">
        <v>45925</v>
      </c>
    </row>
    <row r="89" spans="1:3" x14ac:dyDescent="0.25">
      <c r="A89" t="s">
        <v>0</v>
      </c>
      <c r="B89" t="s">
        <v>1</v>
      </c>
      <c r="C89" s="1">
        <v>45926</v>
      </c>
    </row>
    <row r="90" spans="1:3" x14ac:dyDescent="0.25">
      <c r="A90" t="s">
        <v>0</v>
      </c>
      <c r="B90" t="s">
        <v>1</v>
      </c>
      <c r="C90" s="1">
        <v>45927</v>
      </c>
    </row>
    <row r="91" spans="1:3" x14ac:dyDescent="0.25">
      <c r="A91" t="s">
        <v>0</v>
      </c>
      <c r="B91" t="s">
        <v>1</v>
      </c>
      <c r="C91" s="1">
        <v>45928</v>
      </c>
    </row>
    <row r="92" spans="1:3" x14ac:dyDescent="0.25">
      <c r="A92" t="s">
        <v>0</v>
      </c>
      <c r="B92" t="s">
        <v>1</v>
      </c>
      <c r="C92" s="1">
        <v>45929</v>
      </c>
    </row>
    <row r="93" spans="1:3" x14ac:dyDescent="0.25">
      <c r="A93" t="s">
        <v>0</v>
      </c>
      <c r="B93" t="s">
        <v>1</v>
      </c>
      <c r="C93" s="1">
        <v>45930</v>
      </c>
    </row>
    <row r="94" spans="1:3" x14ac:dyDescent="0.25">
      <c r="A94" t="s">
        <v>0</v>
      </c>
      <c r="B94" t="s">
        <v>1</v>
      </c>
      <c r="C94" s="1">
        <v>45931</v>
      </c>
    </row>
    <row r="95" spans="1:3" x14ac:dyDescent="0.25">
      <c r="A95" t="s">
        <v>0</v>
      </c>
      <c r="B95" t="s">
        <v>1</v>
      </c>
      <c r="C95" s="1">
        <v>45932</v>
      </c>
    </row>
    <row r="96" spans="1:3" x14ac:dyDescent="0.25">
      <c r="A96" t="s">
        <v>0</v>
      </c>
      <c r="B96" t="s">
        <v>1</v>
      </c>
      <c r="C96" s="1">
        <v>45933</v>
      </c>
    </row>
    <row r="97" spans="1:3" x14ac:dyDescent="0.25">
      <c r="A97" t="s">
        <v>0</v>
      </c>
      <c r="B97" t="s">
        <v>1</v>
      </c>
      <c r="C97" s="1">
        <v>45934</v>
      </c>
    </row>
    <row r="98" spans="1:3" x14ac:dyDescent="0.25">
      <c r="A98" t="s">
        <v>0</v>
      </c>
      <c r="B98" t="s">
        <v>1</v>
      </c>
      <c r="C98" s="1">
        <v>45935</v>
      </c>
    </row>
    <row r="99" spans="1:3" x14ac:dyDescent="0.25">
      <c r="A99" t="s">
        <v>0</v>
      </c>
      <c r="B99" t="s">
        <v>1</v>
      </c>
      <c r="C99" s="1">
        <v>45936</v>
      </c>
    </row>
    <row r="100" spans="1:3" x14ac:dyDescent="0.25">
      <c r="A100" t="s">
        <v>0</v>
      </c>
      <c r="B100" t="s">
        <v>1</v>
      </c>
      <c r="C100" s="1">
        <v>45937</v>
      </c>
    </row>
    <row r="101" spans="1:3" x14ac:dyDescent="0.25">
      <c r="A101" t="s">
        <v>0</v>
      </c>
      <c r="B101" t="s">
        <v>1</v>
      </c>
      <c r="C101" s="1">
        <v>45938</v>
      </c>
    </row>
    <row r="102" spans="1:3" x14ac:dyDescent="0.25">
      <c r="A102" t="s">
        <v>0</v>
      </c>
      <c r="B102" t="s">
        <v>1</v>
      </c>
      <c r="C102" s="1">
        <v>45939</v>
      </c>
    </row>
    <row r="103" spans="1:3" x14ac:dyDescent="0.25">
      <c r="A103" t="s">
        <v>0</v>
      </c>
      <c r="B103" t="s">
        <v>1</v>
      </c>
      <c r="C103" s="1">
        <v>45940</v>
      </c>
    </row>
    <row r="104" spans="1:3" x14ac:dyDescent="0.25">
      <c r="A104" t="s">
        <v>0</v>
      </c>
      <c r="B104" t="s">
        <v>1</v>
      </c>
      <c r="C104" s="1">
        <v>45941</v>
      </c>
    </row>
    <row r="105" spans="1:3" x14ac:dyDescent="0.25">
      <c r="A105" t="s">
        <v>0</v>
      </c>
      <c r="B105" t="s">
        <v>1</v>
      </c>
      <c r="C105" s="1">
        <v>45942</v>
      </c>
    </row>
    <row r="106" spans="1:3" x14ac:dyDescent="0.25">
      <c r="A106" t="s">
        <v>0</v>
      </c>
      <c r="B106" t="s">
        <v>1</v>
      </c>
      <c r="C106" s="1">
        <v>45943</v>
      </c>
    </row>
    <row r="107" spans="1:3" x14ac:dyDescent="0.25">
      <c r="A107" t="s">
        <v>0</v>
      </c>
      <c r="B107" t="s">
        <v>1</v>
      </c>
      <c r="C107" s="1">
        <v>45944</v>
      </c>
    </row>
    <row r="108" spans="1:3" x14ac:dyDescent="0.25">
      <c r="A108" t="s">
        <v>0</v>
      </c>
      <c r="B108" t="s">
        <v>1</v>
      </c>
      <c r="C108" s="1">
        <v>45945</v>
      </c>
    </row>
    <row r="109" spans="1:3" x14ac:dyDescent="0.25">
      <c r="A109" t="s">
        <v>0</v>
      </c>
      <c r="B109" t="s">
        <v>1</v>
      </c>
      <c r="C109" s="1">
        <v>45946</v>
      </c>
    </row>
    <row r="110" spans="1:3" x14ac:dyDescent="0.25">
      <c r="A110" t="s">
        <v>0</v>
      </c>
      <c r="B110" t="s">
        <v>1</v>
      </c>
      <c r="C110" s="1">
        <v>45947</v>
      </c>
    </row>
    <row r="111" spans="1:3" x14ac:dyDescent="0.25">
      <c r="A111" t="s">
        <v>0</v>
      </c>
      <c r="B111" t="s">
        <v>1</v>
      </c>
      <c r="C111" s="1">
        <v>45948</v>
      </c>
    </row>
    <row r="112" spans="1:3" x14ac:dyDescent="0.25">
      <c r="A112" t="s">
        <v>0</v>
      </c>
      <c r="B112" t="s">
        <v>1</v>
      </c>
      <c r="C112" s="1">
        <v>45949</v>
      </c>
    </row>
    <row r="113" spans="1:3" x14ac:dyDescent="0.25">
      <c r="A113" t="s">
        <v>0</v>
      </c>
      <c r="B113" t="s">
        <v>1</v>
      </c>
      <c r="C113" s="1">
        <v>45950</v>
      </c>
    </row>
    <row r="114" spans="1:3" x14ac:dyDescent="0.25">
      <c r="A114" t="s">
        <v>0</v>
      </c>
      <c r="B114" t="s">
        <v>1</v>
      </c>
      <c r="C114" s="1">
        <v>45951</v>
      </c>
    </row>
    <row r="115" spans="1:3" x14ac:dyDescent="0.25">
      <c r="A115" t="s">
        <v>0</v>
      </c>
      <c r="B115" t="s">
        <v>1</v>
      </c>
      <c r="C115" s="1">
        <v>45952</v>
      </c>
    </row>
    <row r="116" spans="1:3" x14ac:dyDescent="0.25">
      <c r="A116" t="s">
        <v>0</v>
      </c>
      <c r="B116" t="s">
        <v>1</v>
      </c>
      <c r="C116" s="1">
        <v>45953</v>
      </c>
    </row>
    <row r="117" spans="1:3" x14ac:dyDescent="0.25">
      <c r="A117" t="s">
        <v>0</v>
      </c>
      <c r="B117" t="s">
        <v>1</v>
      </c>
      <c r="C117" s="1">
        <v>45954</v>
      </c>
    </row>
    <row r="118" spans="1:3" x14ac:dyDescent="0.25">
      <c r="A118" t="s">
        <v>0</v>
      </c>
      <c r="B118" t="s">
        <v>1</v>
      </c>
      <c r="C118" s="1">
        <v>45955</v>
      </c>
    </row>
    <row r="119" spans="1:3" x14ac:dyDescent="0.25">
      <c r="A119" t="s">
        <v>0</v>
      </c>
      <c r="B119" t="s">
        <v>1</v>
      </c>
      <c r="C119" s="1">
        <v>45956</v>
      </c>
    </row>
    <row r="120" spans="1:3" x14ac:dyDescent="0.25">
      <c r="A120" t="s">
        <v>0</v>
      </c>
      <c r="B120" t="s">
        <v>1</v>
      </c>
      <c r="C120" s="1">
        <v>45957</v>
      </c>
    </row>
    <row r="121" spans="1:3" x14ac:dyDescent="0.25">
      <c r="A121" t="s">
        <v>0</v>
      </c>
      <c r="B121" t="s">
        <v>1</v>
      </c>
      <c r="C121" s="1">
        <v>45958</v>
      </c>
    </row>
    <row r="122" spans="1:3" x14ac:dyDescent="0.25">
      <c r="A122" t="s">
        <v>0</v>
      </c>
      <c r="B122" t="s">
        <v>1</v>
      </c>
      <c r="C122" s="1">
        <v>45959</v>
      </c>
    </row>
    <row r="123" spans="1:3" x14ac:dyDescent="0.25">
      <c r="A123" t="s">
        <v>0</v>
      </c>
      <c r="B123" t="s">
        <v>1</v>
      </c>
      <c r="C123" s="1">
        <v>45960</v>
      </c>
    </row>
    <row r="124" spans="1:3" x14ac:dyDescent="0.25">
      <c r="A124" t="s">
        <v>0</v>
      </c>
      <c r="B124" t="s">
        <v>1</v>
      </c>
      <c r="C124" s="1">
        <v>45961</v>
      </c>
    </row>
    <row r="125" spans="1:3" x14ac:dyDescent="0.25">
      <c r="A125" t="s">
        <v>0</v>
      </c>
      <c r="B125" t="s">
        <v>1</v>
      </c>
      <c r="C125" s="1">
        <v>45962</v>
      </c>
    </row>
    <row r="126" spans="1:3" x14ac:dyDescent="0.25">
      <c r="A126" t="s">
        <v>0</v>
      </c>
      <c r="B126" t="s">
        <v>1</v>
      </c>
      <c r="C126" s="1">
        <v>45963</v>
      </c>
    </row>
    <row r="127" spans="1:3" x14ac:dyDescent="0.25">
      <c r="A127" t="s">
        <v>0</v>
      </c>
      <c r="B127" t="s">
        <v>1</v>
      </c>
      <c r="C127" s="1">
        <v>45964</v>
      </c>
    </row>
    <row r="128" spans="1:3" x14ac:dyDescent="0.25">
      <c r="A128" t="s">
        <v>0</v>
      </c>
      <c r="B128" t="s">
        <v>1</v>
      </c>
      <c r="C128" s="1">
        <v>45965</v>
      </c>
    </row>
    <row r="129" spans="1:3" x14ac:dyDescent="0.25">
      <c r="A129" t="s">
        <v>0</v>
      </c>
      <c r="B129" t="s">
        <v>1</v>
      </c>
      <c r="C129" s="1">
        <v>45966</v>
      </c>
    </row>
    <row r="130" spans="1:3" x14ac:dyDescent="0.25">
      <c r="A130" t="s">
        <v>0</v>
      </c>
      <c r="B130" t="s">
        <v>1</v>
      </c>
      <c r="C130" s="1">
        <v>45967</v>
      </c>
    </row>
    <row r="131" spans="1:3" x14ac:dyDescent="0.25">
      <c r="A131" t="s">
        <v>0</v>
      </c>
      <c r="B131" t="s">
        <v>1</v>
      </c>
      <c r="C131" s="1">
        <v>45968</v>
      </c>
    </row>
    <row r="132" spans="1:3" x14ac:dyDescent="0.25">
      <c r="A132" t="s">
        <v>0</v>
      </c>
      <c r="B132" t="s">
        <v>1</v>
      </c>
      <c r="C132" s="1">
        <v>45969</v>
      </c>
    </row>
    <row r="133" spans="1:3" x14ac:dyDescent="0.25">
      <c r="A133" t="s">
        <v>0</v>
      </c>
      <c r="B133" t="s">
        <v>1</v>
      </c>
      <c r="C133" s="1">
        <v>45970</v>
      </c>
    </row>
    <row r="134" spans="1:3" x14ac:dyDescent="0.25">
      <c r="A134" t="s">
        <v>0</v>
      </c>
      <c r="B134" t="s">
        <v>1</v>
      </c>
      <c r="C134" s="1">
        <v>45971</v>
      </c>
    </row>
    <row r="135" spans="1:3" x14ac:dyDescent="0.25">
      <c r="A135" t="s">
        <v>0</v>
      </c>
      <c r="B135" t="s">
        <v>1</v>
      </c>
      <c r="C135" s="1">
        <v>45972</v>
      </c>
    </row>
    <row r="136" spans="1:3" x14ac:dyDescent="0.25">
      <c r="A136" t="s">
        <v>0</v>
      </c>
      <c r="B136" t="s">
        <v>1</v>
      </c>
      <c r="C136" s="1">
        <v>45973</v>
      </c>
    </row>
    <row r="137" spans="1:3" x14ac:dyDescent="0.25">
      <c r="A137" t="s">
        <v>0</v>
      </c>
      <c r="B137" t="s">
        <v>1</v>
      </c>
      <c r="C137" s="1">
        <v>45974</v>
      </c>
    </row>
    <row r="138" spans="1:3" x14ac:dyDescent="0.25">
      <c r="A138" t="s">
        <v>0</v>
      </c>
      <c r="B138" t="s">
        <v>1</v>
      </c>
      <c r="C138" s="1">
        <v>45975</v>
      </c>
    </row>
    <row r="139" spans="1:3" x14ac:dyDescent="0.25">
      <c r="A139" t="s">
        <v>0</v>
      </c>
      <c r="B139" t="s">
        <v>1</v>
      </c>
      <c r="C139" s="1">
        <v>45976</v>
      </c>
    </row>
    <row r="140" spans="1:3" x14ac:dyDescent="0.25">
      <c r="A140" t="s">
        <v>0</v>
      </c>
      <c r="B140" t="s">
        <v>1</v>
      </c>
      <c r="C140" s="1">
        <v>45977</v>
      </c>
    </row>
    <row r="141" spans="1:3" x14ac:dyDescent="0.25">
      <c r="A141" t="s">
        <v>0</v>
      </c>
      <c r="B141" t="s">
        <v>1</v>
      </c>
      <c r="C141" s="1">
        <v>45978</v>
      </c>
    </row>
    <row r="142" spans="1:3" x14ac:dyDescent="0.25">
      <c r="A142" t="s">
        <v>0</v>
      </c>
      <c r="B142" t="s">
        <v>1</v>
      </c>
      <c r="C142" s="1">
        <v>45979</v>
      </c>
    </row>
    <row r="143" spans="1:3" x14ac:dyDescent="0.25">
      <c r="A143" t="s">
        <v>0</v>
      </c>
      <c r="B143" t="s">
        <v>1</v>
      </c>
      <c r="C143" s="1">
        <v>45980</v>
      </c>
    </row>
    <row r="144" spans="1:3" x14ac:dyDescent="0.25">
      <c r="A144" t="s">
        <v>0</v>
      </c>
      <c r="B144" t="s">
        <v>1</v>
      </c>
      <c r="C144" s="1">
        <v>45981</v>
      </c>
    </row>
    <row r="145" spans="1:3" x14ac:dyDescent="0.25">
      <c r="A145" t="s">
        <v>0</v>
      </c>
      <c r="B145" t="s">
        <v>1</v>
      </c>
      <c r="C145" s="1">
        <v>45982</v>
      </c>
    </row>
    <row r="146" spans="1:3" x14ac:dyDescent="0.25">
      <c r="A146" t="s">
        <v>0</v>
      </c>
      <c r="B146" t="s">
        <v>1</v>
      </c>
      <c r="C146" s="1">
        <v>45983</v>
      </c>
    </row>
    <row r="147" spans="1:3" x14ac:dyDescent="0.25">
      <c r="A147" t="s">
        <v>0</v>
      </c>
      <c r="B147" t="s">
        <v>1</v>
      </c>
      <c r="C147" s="1">
        <v>45984</v>
      </c>
    </row>
    <row r="148" spans="1:3" x14ac:dyDescent="0.25">
      <c r="A148" t="s">
        <v>0</v>
      </c>
      <c r="B148" t="s">
        <v>1</v>
      </c>
      <c r="C148" s="1">
        <v>45985</v>
      </c>
    </row>
    <row r="149" spans="1:3" x14ac:dyDescent="0.25">
      <c r="A149" t="s">
        <v>0</v>
      </c>
      <c r="B149" t="s">
        <v>1</v>
      </c>
      <c r="C149" s="1">
        <v>45986</v>
      </c>
    </row>
    <row r="150" spans="1:3" x14ac:dyDescent="0.25">
      <c r="A150" t="s">
        <v>0</v>
      </c>
      <c r="B150" t="s">
        <v>1</v>
      </c>
      <c r="C150" s="1">
        <v>45987</v>
      </c>
    </row>
    <row r="151" spans="1:3" x14ac:dyDescent="0.25">
      <c r="A151" t="s">
        <v>0</v>
      </c>
      <c r="B151" t="s">
        <v>1</v>
      </c>
      <c r="C151" s="1">
        <v>45988</v>
      </c>
    </row>
    <row r="152" spans="1:3" x14ac:dyDescent="0.25">
      <c r="A152" t="s">
        <v>0</v>
      </c>
      <c r="B152" t="s">
        <v>1</v>
      </c>
      <c r="C152" s="1">
        <v>45989</v>
      </c>
    </row>
    <row r="153" spans="1:3" x14ac:dyDescent="0.25">
      <c r="A153" t="s">
        <v>0</v>
      </c>
      <c r="B153" t="s">
        <v>1</v>
      </c>
      <c r="C153" s="1">
        <v>45990</v>
      </c>
    </row>
    <row r="154" spans="1:3" x14ac:dyDescent="0.25">
      <c r="A154" t="s">
        <v>0</v>
      </c>
      <c r="B154" t="s">
        <v>1</v>
      </c>
      <c r="C154" s="1">
        <v>45991</v>
      </c>
    </row>
    <row r="155" spans="1:3" x14ac:dyDescent="0.25">
      <c r="A155" t="s">
        <v>0</v>
      </c>
      <c r="B155" t="s">
        <v>1</v>
      </c>
      <c r="C155" s="1">
        <v>45992</v>
      </c>
    </row>
    <row r="156" spans="1:3" x14ac:dyDescent="0.25">
      <c r="A156" t="s">
        <v>0</v>
      </c>
      <c r="B156" t="s">
        <v>1</v>
      </c>
      <c r="C156" s="1">
        <v>45993</v>
      </c>
    </row>
    <row r="157" spans="1:3" x14ac:dyDescent="0.25">
      <c r="A157" t="s">
        <v>0</v>
      </c>
      <c r="B157" t="s">
        <v>1</v>
      </c>
      <c r="C157" s="1">
        <v>45994</v>
      </c>
    </row>
    <row r="158" spans="1:3" x14ac:dyDescent="0.25">
      <c r="A158" t="s">
        <v>0</v>
      </c>
      <c r="B158" t="s">
        <v>1</v>
      </c>
      <c r="C158" s="1">
        <v>45995</v>
      </c>
    </row>
    <row r="159" spans="1:3" x14ac:dyDescent="0.25">
      <c r="A159" t="s">
        <v>0</v>
      </c>
      <c r="B159" t="s">
        <v>1</v>
      </c>
      <c r="C159" s="1">
        <v>45996</v>
      </c>
    </row>
    <row r="160" spans="1:3" x14ac:dyDescent="0.25">
      <c r="A160" t="s">
        <v>0</v>
      </c>
      <c r="B160" t="s">
        <v>1</v>
      </c>
      <c r="C160" s="1">
        <v>45997</v>
      </c>
    </row>
    <row r="161" spans="1:3" x14ac:dyDescent="0.25">
      <c r="A161" t="s">
        <v>0</v>
      </c>
      <c r="B161" t="s">
        <v>1</v>
      </c>
      <c r="C161" s="1">
        <v>45998</v>
      </c>
    </row>
    <row r="162" spans="1:3" x14ac:dyDescent="0.25">
      <c r="A162" t="s">
        <v>0</v>
      </c>
      <c r="B162" t="s">
        <v>1</v>
      </c>
      <c r="C162" s="1">
        <v>45999</v>
      </c>
    </row>
    <row r="163" spans="1:3" x14ac:dyDescent="0.25">
      <c r="A163" t="s">
        <v>0</v>
      </c>
      <c r="B163" t="s">
        <v>1</v>
      </c>
      <c r="C163" s="1">
        <v>46000</v>
      </c>
    </row>
    <row r="164" spans="1:3" x14ac:dyDescent="0.25">
      <c r="A164" t="s">
        <v>0</v>
      </c>
      <c r="B164" t="s">
        <v>1</v>
      </c>
      <c r="C164" s="1">
        <v>46001</v>
      </c>
    </row>
    <row r="165" spans="1:3" x14ac:dyDescent="0.25">
      <c r="A165" t="s">
        <v>0</v>
      </c>
      <c r="B165" t="s">
        <v>1</v>
      </c>
      <c r="C165" s="1">
        <v>46002</v>
      </c>
    </row>
    <row r="166" spans="1:3" x14ac:dyDescent="0.25">
      <c r="A166" t="s">
        <v>0</v>
      </c>
      <c r="B166" t="s">
        <v>1</v>
      </c>
      <c r="C166" s="1">
        <v>46003</v>
      </c>
    </row>
    <row r="167" spans="1:3" x14ac:dyDescent="0.25">
      <c r="A167" t="s">
        <v>0</v>
      </c>
      <c r="B167" t="s">
        <v>1</v>
      </c>
      <c r="C167" s="1">
        <v>46004</v>
      </c>
    </row>
    <row r="168" spans="1:3" x14ac:dyDescent="0.25">
      <c r="A168" t="s">
        <v>0</v>
      </c>
      <c r="B168" t="s">
        <v>1</v>
      </c>
      <c r="C168" s="1">
        <v>46005</v>
      </c>
    </row>
    <row r="169" spans="1:3" x14ac:dyDescent="0.25">
      <c r="A169" t="s">
        <v>0</v>
      </c>
      <c r="B169" t="s">
        <v>1</v>
      </c>
      <c r="C169" s="1">
        <v>46006</v>
      </c>
    </row>
    <row r="170" spans="1:3" x14ac:dyDescent="0.25">
      <c r="A170" t="s">
        <v>0</v>
      </c>
      <c r="B170" t="s">
        <v>1</v>
      </c>
      <c r="C170" s="1">
        <v>46007</v>
      </c>
    </row>
    <row r="171" spans="1:3" x14ac:dyDescent="0.25">
      <c r="A171" t="s">
        <v>0</v>
      </c>
      <c r="B171" t="s">
        <v>1</v>
      </c>
      <c r="C171" s="1">
        <v>46008</v>
      </c>
    </row>
    <row r="172" spans="1:3" x14ac:dyDescent="0.25">
      <c r="A172" t="s">
        <v>0</v>
      </c>
      <c r="B172" t="s">
        <v>1</v>
      </c>
      <c r="C172" s="1">
        <v>46009</v>
      </c>
    </row>
    <row r="173" spans="1:3" x14ac:dyDescent="0.25">
      <c r="A173" t="s">
        <v>0</v>
      </c>
      <c r="B173" t="s">
        <v>1</v>
      </c>
      <c r="C173" s="1">
        <v>46010</v>
      </c>
    </row>
    <row r="174" spans="1:3" x14ac:dyDescent="0.25">
      <c r="A174" t="s">
        <v>0</v>
      </c>
      <c r="B174" t="s">
        <v>1</v>
      </c>
      <c r="C174" s="1">
        <v>46011</v>
      </c>
    </row>
    <row r="175" spans="1:3" x14ac:dyDescent="0.25">
      <c r="A175" t="s">
        <v>0</v>
      </c>
      <c r="B175" t="s">
        <v>1</v>
      </c>
      <c r="C175" s="1">
        <v>46012</v>
      </c>
    </row>
    <row r="176" spans="1:3" x14ac:dyDescent="0.25">
      <c r="A176" t="s">
        <v>0</v>
      </c>
      <c r="B176" t="s">
        <v>1</v>
      </c>
      <c r="C176" s="1">
        <v>46013</v>
      </c>
    </row>
    <row r="177" spans="1:3" x14ac:dyDescent="0.25">
      <c r="A177" t="s">
        <v>0</v>
      </c>
      <c r="B177" t="s">
        <v>1</v>
      </c>
      <c r="C177" s="1">
        <v>46014</v>
      </c>
    </row>
    <row r="178" spans="1:3" x14ac:dyDescent="0.25">
      <c r="A178" t="s">
        <v>0</v>
      </c>
      <c r="B178" t="s">
        <v>1</v>
      </c>
      <c r="C178" s="1">
        <v>46015</v>
      </c>
    </row>
    <row r="179" spans="1:3" x14ac:dyDescent="0.25">
      <c r="A179" t="s">
        <v>0</v>
      </c>
      <c r="B179" t="s">
        <v>1</v>
      </c>
      <c r="C179" s="1">
        <v>46016</v>
      </c>
    </row>
    <row r="180" spans="1:3" x14ac:dyDescent="0.25">
      <c r="A180" t="s">
        <v>0</v>
      </c>
      <c r="B180" t="s">
        <v>1</v>
      </c>
      <c r="C180" s="1">
        <v>46017</v>
      </c>
    </row>
    <row r="181" spans="1:3" x14ac:dyDescent="0.25">
      <c r="A181" t="s">
        <v>0</v>
      </c>
      <c r="B181" t="s">
        <v>1</v>
      </c>
      <c r="C181" s="1">
        <v>46018</v>
      </c>
    </row>
    <row r="182" spans="1:3" x14ac:dyDescent="0.25">
      <c r="A182" t="s">
        <v>0</v>
      </c>
      <c r="B182" t="s">
        <v>1</v>
      </c>
      <c r="C182" s="1">
        <v>46019</v>
      </c>
    </row>
    <row r="183" spans="1:3" x14ac:dyDescent="0.25">
      <c r="A183" t="s">
        <v>0</v>
      </c>
      <c r="B183" t="s">
        <v>1</v>
      </c>
      <c r="C183" s="1">
        <v>46020</v>
      </c>
    </row>
    <row r="184" spans="1:3" x14ac:dyDescent="0.25">
      <c r="A184" t="s">
        <v>0</v>
      </c>
      <c r="B184" t="s">
        <v>1</v>
      </c>
      <c r="C184" s="1">
        <v>46021</v>
      </c>
    </row>
    <row r="185" spans="1:3" x14ac:dyDescent="0.25">
      <c r="A185" t="s">
        <v>0</v>
      </c>
      <c r="B185" t="s">
        <v>1</v>
      </c>
      <c r="C185" s="1">
        <v>46022</v>
      </c>
    </row>
    <row r="186" spans="1:3" x14ac:dyDescent="0.25">
      <c r="A186" t="s">
        <v>0</v>
      </c>
      <c r="B186" t="s">
        <v>1</v>
      </c>
      <c r="C186" s="1">
        <v>46023</v>
      </c>
    </row>
    <row r="187" spans="1:3" x14ac:dyDescent="0.25">
      <c r="A187" t="s">
        <v>0</v>
      </c>
      <c r="B187" t="s">
        <v>1</v>
      </c>
      <c r="C187" s="1">
        <v>46024</v>
      </c>
    </row>
    <row r="188" spans="1:3" x14ac:dyDescent="0.25">
      <c r="A188" t="s">
        <v>0</v>
      </c>
      <c r="B188" t="s">
        <v>1</v>
      </c>
      <c r="C188" s="1">
        <v>46025</v>
      </c>
    </row>
    <row r="189" spans="1:3" x14ac:dyDescent="0.25">
      <c r="A189" t="s">
        <v>0</v>
      </c>
      <c r="B189" t="s">
        <v>1</v>
      </c>
      <c r="C189" s="1">
        <v>46026</v>
      </c>
    </row>
    <row r="190" spans="1:3" x14ac:dyDescent="0.25">
      <c r="A190" t="s">
        <v>0</v>
      </c>
      <c r="B190" t="s">
        <v>1</v>
      </c>
      <c r="C190" s="1">
        <v>46027</v>
      </c>
    </row>
    <row r="191" spans="1:3" x14ac:dyDescent="0.25">
      <c r="A191" t="s">
        <v>0</v>
      </c>
      <c r="B191" t="s">
        <v>1</v>
      </c>
      <c r="C191" s="1">
        <v>46028</v>
      </c>
    </row>
    <row r="192" spans="1:3" x14ac:dyDescent="0.25">
      <c r="A192" t="s">
        <v>0</v>
      </c>
      <c r="B192" t="s">
        <v>1</v>
      </c>
      <c r="C192" s="1">
        <v>46029</v>
      </c>
    </row>
    <row r="193" spans="1:3" x14ac:dyDescent="0.25">
      <c r="A193" t="s">
        <v>0</v>
      </c>
      <c r="B193" t="s">
        <v>1</v>
      </c>
      <c r="C193" s="1">
        <v>46030</v>
      </c>
    </row>
    <row r="194" spans="1:3" x14ac:dyDescent="0.25">
      <c r="A194" t="s">
        <v>0</v>
      </c>
      <c r="B194" t="s">
        <v>1</v>
      </c>
      <c r="C194" s="1">
        <v>46031</v>
      </c>
    </row>
    <row r="195" spans="1:3" x14ac:dyDescent="0.25">
      <c r="A195" t="s">
        <v>0</v>
      </c>
      <c r="B195" t="s">
        <v>1</v>
      </c>
      <c r="C195" s="1">
        <v>46032</v>
      </c>
    </row>
    <row r="196" spans="1:3" x14ac:dyDescent="0.25">
      <c r="A196" t="s">
        <v>0</v>
      </c>
      <c r="B196" t="s">
        <v>1</v>
      </c>
      <c r="C196" s="1">
        <v>46033</v>
      </c>
    </row>
    <row r="197" spans="1:3" x14ac:dyDescent="0.25">
      <c r="A197" t="s">
        <v>0</v>
      </c>
      <c r="B197" t="s">
        <v>1</v>
      </c>
      <c r="C197" s="1">
        <v>46034</v>
      </c>
    </row>
    <row r="198" spans="1:3" x14ac:dyDescent="0.25">
      <c r="A198" t="s">
        <v>0</v>
      </c>
      <c r="B198" t="s">
        <v>1</v>
      </c>
      <c r="C198" s="1">
        <v>46035</v>
      </c>
    </row>
    <row r="199" spans="1:3" x14ac:dyDescent="0.25">
      <c r="A199" t="s">
        <v>0</v>
      </c>
      <c r="B199" t="s">
        <v>1</v>
      </c>
      <c r="C199" s="1">
        <v>46036</v>
      </c>
    </row>
    <row r="200" spans="1:3" x14ac:dyDescent="0.25">
      <c r="A200" t="s">
        <v>0</v>
      </c>
      <c r="B200" t="s">
        <v>1</v>
      </c>
      <c r="C200" s="1">
        <v>46037</v>
      </c>
    </row>
    <row r="201" spans="1:3" x14ac:dyDescent="0.25">
      <c r="A201" t="s">
        <v>0</v>
      </c>
      <c r="B201" t="s">
        <v>1</v>
      </c>
      <c r="C201" s="1">
        <v>46038</v>
      </c>
    </row>
    <row r="202" spans="1:3" x14ac:dyDescent="0.25">
      <c r="A202" t="s">
        <v>0</v>
      </c>
      <c r="B202" t="s">
        <v>1</v>
      </c>
      <c r="C202" s="1">
        <v>46039</v>
      </c>
    </row>
    <row r="203" spans="1:3" x14ac:dyDescent="0.25">
      <c r="A203" t="s">
        <v>0</v>
      </c>
      <c r="B203" t="s">
        <v>1</v>
      </c>
      <c r="C203" s="1">
        <v>46040</v>
      </c>
    </row>
    <row r="204" spans="1:3" x14ac:dyDescent="0.25">
      <c r="A204" t="s">
        <v>0</v>
      </c>
      <c r="B204" t="s">
        <v>1</v>
      </c>
      <c r="C204" s="1">
        <v>46041</v>
      </c>
    </row>
    <row r="205" spans="1:3" x14ac:dyDescent="0.25">
      <c r="A205" t="s">
        <v>0</v>
      </c>
      <c r="B205" t="s">
        <v>1</v>
      </c>
      <c r="C205" s="1">
        <v>46042</v>
      </c>
    </row>
    <row r="206" spans="1:3" x14ac:dyDescent="0.25">
      <c r="A206" t="s">
        <v>0</v>
      </c>
      <c r="B206" t="s">
        <v>1</v>
      </c>
      <c r="C206" s="1">
        <v>46043</v>
      </c>
    </row>
    <row r="207" spans="1:3" x14ac:dyDescent="0.25">
      <c r="A207" t="s">
        <v>0</v>
      </c>
      <c r="B207" t="s">
        <v>1</v>
      </c>
      <c r="C207" s="1">
        <v>46044</v>
      </c>
    </row>
    <row r="208" spans="1:3" x14ac:dyDescent="0.25">
      <c r="A208" t="s">
        <v>0</v>
      </c>
      <c r="B208" t="s">
        <v>1</v>
      </c>
      <c r="C208" s="1">
        <v>46045</v>
      </c>
    </row>
    <row r="209" spans="1:3" x14ac:dyDescent="0.25">
      <c r="A209" t="s">
        <v>0</v>
      </c>
      <c r="B209" t="s">
        <v>1</v>
      </c>
      <c r="C209" s="1">
        <v>46046</v>
      </c>
    </row>
    <row r="210" spans="1:3" x14ac:dyDescent="0.25">
      <c r="A210" t="s">
        <v>0</v>
      </c>
      <c r="B210" t="s">
        <v>1</v>
      </c>
      <c r="C210" s="1">
        <v>46047</v>
      </c>
    </row>
    <row r="211" spans="1:3" x14ac:dyDescent="0.25">
      <c r="A211" t="s">
        <v>0</v>
      </c>
      <c r="B211" t="s">
        <v>1</v>
      </c>
      <c r="C211" s="1">
        <v>46048</v>
      </c>
    </row>
    <row r="212" spans="1:3" x14ac:dyDescent="0.25">
      <c r="A212" t="s">
        <v>0</v>
      </c>
      <c r="B212" t="s">
        <v>1</v>
      </c>
      <c r="C212" s="1">
        <v>46049</v>
      </c>
    </row>
    <row r="213" spans="1:3" x14ac:dyDescent="0.25">
      <c r="A213" t="s">
        <v>0</v>
      </c>
      <c r="B213" t="s">
        <v>1</v>
      </c>
      <c r="C213" s="1">
        <v>46050</v>
      </c>
    </row>
    <row r="214" spans="1:3" x14ac:dyDescent="0.25">
      <c r="A214" t="s">
        <v>0</v>
      </c>
      <c r="B214" t="s">
        <v>1</v>
      </c>
      <c r="C214" s="1">
        <v>46051</v>
      </c>
    </row>
    <row r="215" spans="1:3" x14ac:dyDescent="0.25">
      <c r="A215" t="s">
        <v>0</v>
      </c>
      <c r="B215" t="s">
        <v>1</v>
      </c>
      <c r="C215" s="1">
        <v>46052</v>
      </c>
    </row>
    <row r="216" spans="1:3" x14ac:dyDescent="0.25">
      <c r="A216" t="s">
        <v>0</v>
      </c>
      <c r="B216" t="s">
        <v>1</v>
      </c>
      <c r="C216" s="1">
        <v>46053</v>
      </c>
    </row>
    <row r="217" spans="1:3" x14ac:dyDescent="0.25">
      <c r="A217" t="s">
        <v>0</v>
      </c>
      <c r="B217" t="s">
        <v>1</v>
      </c>
      <c r="C217" s="1">
        <v>46054</v>
      </c>
    </row>
    <row r="218" spans="1:3" x14ac:dyDescent="0.25">
      <c r="A218" t="s">
        <v>0</v>
      </c>
      <c r="B218" t="s">
        <v>1</v>
      </c>
      <c r="C218" s="1">
        <v>46055</v>
      </c>
    </row>
    <row r="219" spans="1:3" x14ac:dyDescent="0.25">
      <c r="A219" t="s">
        <v>0</v>
      </c>
      <c r="B219" t="s">
        <v>1</v>
      </c>
      <c r="C219" s="1">
        <v>46056</v>
      </c>
    </row>
    <row r="220" spans="1:3" x14ac:dyDescent="0.25">
      <c r="A220" t="s">
        <v>0</v>
      </c>
      <c r="B220" t="s">
        <v>1</v>
      </c>
      <c r="C220" s="1">
        <v>46057</v>
      </c>
    </row>
    <row r="221" spans="1:3" x14ac:dyDescent="0.25">
      <c r="A221" t="s">
        <v>0</v>
      </c>
      <c r="B221" t="s">
        <v>1</v>
      </c>
      <c r="C221" s="1">
        <v>46058</v>
      </c>
    </row>
    <row r="222" spans="1:3" x14ac:dyDescent="0.25">
      <c r="A222" t="s">
        <v>0</v>
      </c>
      <c r="B222" t="s">
        <v>1</v>
      </c>
      <c r="C222" s="1">
        <v>46059</v>
      </c>
    </row>
    <row r="223" spans="1:3" x14ac:dyDescent="0.25">
      <c r="A223" t="s">
        <v>0</v>
      </c>
      <c r="B223" t="s">
        <v>1</v>
      </c>
      <c r="C223" s="1">
        <v>46060</v>
      </c>
    </row>
    <row r="224" spans="1:3" x14ac:dyDescent="0.25">
      <c r="A224" t="s">
        <v>0</v>
      </c>
      <c r="B224" t="s">
        <v>1</v>
      </c>
      <c r="C224" s="1">
        <v>46061</v>
      </c>
    </row>
    <row r="225" spans="1:3" x14ac:dyDescent="0.25">
      <c r="A225" t="s">
        <v>0</v>
      </c>
      <c r="B225" t="s">
        <v>1</v>
      </c>
      <c r="C225" s="1">
        <v>46062</v>
      </c>
    </row>
    <row r="226" spans="1:3" x14ac:dyDescent="0.25">
      <c r="A226" t="s">
        <v>0</v>
      </c>
      <c r="B226" t="s">
        <v>1</v>
      </c>
      <c r="C226" s="1">
        <v>46063</v>
      </c>
    </row>
    <row r="227" spans="1:3" x14ac:dyDescent="0.25">
      <c r="A227" t="s">
        <v>0</v>
      </c>
      <c r="B227" t="s">
        <v>1</v>
      </c>
      <c r="C227" s="1">
        <v>46064</v>
      </c>
    </row>
    <row r="228" spans="1:3" x14ac:dyDescent="0.25">
      <c r="A228" t="s">
        <v>0</v>
      </c>
      <c r="B228" t="s">
        <v>1</v>
      </c>
      <c r="C228" s="1">
        <v>46065</v>
      </c>
    </row>
    <row r="229" spans="1:3" x14ac:dyDescent="0.25">
      <c r="A229" t="s">
        <v>0</v>
      </c>
      <c r="B229" t="s">
        <v>1</v>
      </c>
      <c r="C229" s="1">
        <v>46066</v>
      </c>
    </row>
    <row r="230" spans="1:3" x14ac:dyDescent="0.25">
      <c r="A230" t="s">
        <v>0</v>
      </c>
      <c r="B230" t="s">
        <v>1</v>
      </c>
      <c r="C230" s="1">
        <v>46067</v>
      </c>
    </row>
    <row r="231" spans="1:3" x14ac:dyDescent="0.25">
      <c r="A231" t="s">
        <v>0</v>
      </c>
      <c r="B231" t="s">
        <v>1</v>
      </c>
      <c r="C231" s="1">
        <v>46068</v>
      </c>
    </row>
    <row r="232" spans="1:3" x14ac:dyDescent="0.25">
      <c r="A232" t="s">
        <v>0</v>
      </c>
      <c r="B232" t="s">
        <v>1</v>
      </c>
      <c r="C232" s="1">
        <v>46069</v>
      </c>
    </row>
    <row r="233" spans="1:3" x14ac:dyDescent="0.25">
      <c r="A233" t="s">
        <v>0</v>
      </c>
      <c r="B233" t="s">
        <v>1</v>
      </c>
      <c r="C233" s="1">
        <v>46070</v>
      </c>
    </row>
    <row r="234" spans="1:3" x14ac:dyDescent="0.25">
      <c r="A234" t="s">
        <v>0</v>
      </c>
      <c r="B234" t="s">
        <v>1</v>
      </c>
      <c r="C234" s="1">
        <v>46071</v>
      </c>
    </row>
    <row r="235" spans="1:3" x14ac:dyDescent="0.25">
      <c r="A235" t="s">
        <v>0</v>
      </c>
      <c r="B235" t="s">
        <v>1</v>
      </c>
      <c r="C235" s="1">
        <v>46072</v>
      </c>
    </row>
    <row r="236" spans="1:3" x14ac:dyDescent="0.25">
      <c r="A236" t="s">
        <v>0</v>
      </c>
      <c r="B236" t="s">
        <v>1</v>
      </c>
      <c r="C236" s="1">
        <v>46073</v>
      </c>
    </row>
    <row r="237" spans="1:3" x14ac:dyDescent="0.25">
      <c r="A237" t="s">
        <v>0</v>
      </c>
      <c r="B237" t="s">
        <v>1</v>
      </c>
      <c r="C237" s="1">
        <v>46074</v>
      </c>
    </row>
    <row r="238" spans="1:3" x14ac:dyDescent="0.25">
      <c r="A238" t="s">
        <v>0</v>
      </c>
      <c r="B238" t="s">
        <v>1</v>
      </c>
      <c r="C238" s="1">
        <v>46075</v>
      </c>
    </row>
    <row r="239" spans="1:3" x14ac:dyDescent="0.25">
      <c r="A239" t="s">
        <v>0</v>
      </c>
      <c r="B239" t="s">
        <v>1</v>
      </c>
      <c r="C239" s="1">
        <v>46076</v>
      </c>
    </row>
    <row r="240" spans="1:3" x14ac:dyDescent="0.25">
      <c r="A240" t="s">
        <v>0</v>
      </c>
      <c r="B240" t="s">
        <v>1</v>
      </c>
      <c r="C240" s="1">
        <v>46077</v>
      </c>
    </row>
    <row r="241" spans="1:3" x14ac:dyDescent="0.25">
      <c r="A241" t="s">
        <v>0</v>
      </c>
      <c r="B241" t="s">
        <v>1</v>
      </c>
      <c r="C241" s="1">
        <v>46078</v>
      </c>
    </row>
    <row r="242" spans="1:3" x14ac:dyDescent="0.25">
      <c r="A242" t="s">
        <v>0</v>
      </c>
      <c r="B242" t="s">
        <v>1</v>
      </c>
      <c r="C242" s="1">
        <v>46079</v>
      </c>
    </row>
    <row r="243" spans="1:3" x14ac:dyDescent="0.25">
      <c r="A243" t="s">
        <v>0</v>
      </c>
      <c r="B243" t="s">
        <v>1</v>
      </c>
      <c r="C243" s="1">
        <v>46080</v>
      </c>
    </row>
    <row r="244" spans="1:3" x14ac:dyDescent="0.25">
      <c r="A244" t="s">
        <v>0</v>
      </c>
      <c r="B244" t="s">
        <v>1</v>
      </c>
      <c r="C244" s="1">
        <v>46081</v>
      </c>
    </row>
    <row r="245" spans="1:3" x14ac:dyDescent="0.25">
      <c r="A245" t="s">
        <v>0</v>
      </c>
      <c r="B245" t="s">
        <v>1</v>
      </c>
      <c r="C245" s="1">
        <v>46082</v>
      </c>
    </row>
    <row r="246" spans="1:3" x14ac:dyDescent="0.25">
      <c r="A246" t="s">
        <v>0</v>
      </c>
      <c r="B246" t="s">
        <v>1</v>
      </c>
      <c r="C246" s="1">
        <v>46083</v>
      </c>
    </row>
    <row r="247" spans="1:3" x14ac:dyDescent="0.25">
      <c r="A247" t="s">
        <v>0</v>
      </c>
      <c r="B247" t="s">
        <v>1</v>
      </c>
      <c r="C247" s="1">
        <v>46084</v>
      </c>
    </row>
    <row r="248" spans="1:3" x14ac:dyDescent="0.25">
      <c r="A248" t="s">
        <v>0</v>
      </c>
      <c r="B248" t="s">
        <v>1</v>
      </c>
      <c r="C248" s="1">
        <v>46085</v>
      </c>
    </row>
    <row r="249" spans="1:3" x14ac:dyDescent="0.25">
      <c r="A249" t="s">
        <v>0</v>
      </c>
      <c r="B249" t="s">
        <v>1</v>
      </c>
      <c r="C249" s="1">
        <v>46086</v>
      </c>
    </row>
    <row r="250" spans="1:3" x14ac:dyDescent="0.25">
      <c r="A250" t="s">
        <v>0</v>
      </c>
      <c r="B250" t="s">
        <v>1</v>
      </c>
      <c r="C250" s="1">
        <v>46087</v>
      </c>
    </row>
    <row r="251" spans="1:3" x14ac:dyDescent="0.25">
      <c r="A251" t="s">
        <v>0</v>
      </c>
      <c r="B251" t="s">
        <v>1</v>
      </c>
      <c r="C251" s="1">
        <v>46088</v>
      </c>
    </row>
    <row r="252" spans="1:3" x14ac:dyDescent="0.25">
      <c r="A252" t="s">
        <v>0</v>
      </c>
      <c r="B252" t="s">
        <v>1</v>
      </c>
      <c r="C252" s="1">
        <v>46089</v>
      </c>
    </row>
    <row r="253" spans="1:3" x14ac:dyDescent="0.25">
      <c r="A253" t="s">
        <v>0</v>
      </c>
      <c r="B253" t="s">
        <v>1</v>
      </c>
      <c r="C253" s="1">
        <v>46090</v>
      </c>
    </row>
    <row r="254" spans="1:3" x14ac:dyDescent="0.25">
      <c r="A254" t="s">
        <v>0</v>
      </c>
      <c r="B254" t="s">
        <v>1</v>
      </c>
      <c r="C254" s="1">
        <v>46091</v>
      </c>
    </row>
    <row r="255" spans="1:3" x14ac:dyDescent="0.25">
      <c r="A255" t="s">
        <v>0</v>
      </c>
      <c r="B255" t="s">
        <v>1</v>
      </c>
      <c r="C255" s="1">
        <v>46092</v>
      </c>
    </row>
    <row r="256" spans="1:3" x14ac:dyDescent="0.25">
      <c r="A256" t="s">
        <v>0</v>
      </c>
      <c r="B256" t="s">
        <v>1</v>
      </c>
      <c r="C256" s="1">
        <v>46093</v>
      </c>
    </row>
    <row r="257" spans="1:3" x14ac:dyDescent="0.25">
      <c r="A257" t="s">
        <v>0</v>
      </c>
      <c r="B257" t="s">
        <v>1</v>
      </c>
      <c r="C257" s="1">
        <v>46094</v>
      </c>
    </row>
    <row r="258" spans="1:3" x14ac:dyDescent="0.25">
      <c r="A258" t="s">
        <v>0</v>
      </c>
      <c r="B258" t="s">
        <v>1</v>
      </c>
      <c r="C258" s="1">
        <v>46095</v>
      </c>
    </row>
    <row r="259" spans="1:3" x14ac:dyDescent="0.25">
      <c r="A259" t="s">
        <v>0</v>
      </c>
      <c r="B259" t="s">
        <v>1</v>
      </c>
      <c r="C259" s="1">
        <v>46096</v>
      </c>
    </row>
    <row r="260" spans="1:3" x14ac:dyDescent="0.25">
      <c r="A260" t="s">
        <v>0</v>
      </c>
      <c r="B260" t="s">
        <v>1</v>
      </c>
      <c r="C260" s="1">
        <v>46097</v>
      </c>
    </row>
    <row r="261" spans="1:3" x14ac:dyDescent="0.25">
      <c r="A261" t="s">
        <v>0</v>
      </c>
      <c r="B261" t="s">
        <v>1</v>
      </c>
      <c r="C261" s="1">
        <v>46098</v>
      </c>
    </row>
    <row r="262" spans="1:3" x14ac:dyDescent="0.25">
      <c r="A262" t="s">
        <v>0</v>
      </c>
      <c r="B262" t="s">
        <v>1</v>
      </c>
      <c r="C262" s="1">
        <v>46099</v>
      </c>
    </row>
    <row r="263" spans="1:3" x14ac:dyDescent="0.25">
      <c r="A263" t="s">
        <v>0</v>
      </c>
      <c r="B263" t="s">
        <v>1</v>
      </c>
      <c r="C263" s="1">
        <v>46100</v>
      </c>
    </row>
    <row r="264" spans="1:3" x14ac:dyDescent="0.25">
      <c r="A264" t="s">
        <v>0</v>
      </c>
      <c r="B264" t="s">
        <v>1</v>
      </c>
      <c r="C264" s="1">
        <v>46101</v>
      </c>
    </row>
    <row r="265" spans="1:3" x14ac:dyDescent="0.25">
      <c r="A265" t="s">
        <v>0</v>
      </c>
      <c r="B265" t="s">
        <v>1</v>
      </c>
      <c r="C265" s="1">
        <v>46102</v>
      </c>
    </row>
    <row r="266" spans="1:3" x14ac:dyDescent="0.25">
      <c r="A266" t="s">
        <v>0</v>
      </c>
      <c r="B266" t="s">
        <v>1</v>
      </c>
      <c r="C266" s="1">
        <v>46103</v>
      </c>
    </row>
    <row r="267" spans="1:3" x14ac:dyDescent="0.25">
      <c r="A267" t="s">
        <v>0</v>
      </c>
      <c r="B267" t="s">
        <v>1</v>
      </c>
      <c r="C267" s="1">
        <v>46104</v>
      </c>
    </row>
    <row r="268" spans="1:3" x14ac:dyDescent="0.25">
      <c r="A268" t="s">
        <v>0</v>
      </c>
      <c r="B268" t="s">
        <v>1</v>
      </c>
      <c r="C268" s="1">
        <v>46105</v>
      </c>
    </row>
    <row r="269" spans="1:3" x14ac:dyDescent="0.25">
      <c r="A269" t="s">
        <v>0</v>
      </c>
      <c r="B269" t="s">
        <v>1</v>
      </c>
      <c r="C269" s="1">
        <v>46106</v>
      </c>
    </row>
    <row r="270" spans="1:3" x14ac:dyDescent="0.25">
      <c r="A270" t="s">
        <v>0</v>
      </c>
      <c r="B270" t="s">
        <v>1</v>
      </c>
      <c r="C270" s="1">
        <v>46107</v>
      </c>
    </row>
    <row r="271" spans="1:3" x14ac:dyDescent="0.25">
      <c r="A271" t="s">
        <v>0</v>
      </c>
      <c r="B271" t="s">
        <v>1</v>
      </c>
      <c r="C271" s="1">
        <v>46108</v>
      </c>
    </row>
    <row r="272" spans="1:3" x14ac:dyDescent="0.25">
      <c r="A272" t="s">
        <v>0</v>
      </c>
      <c r="B272" t="s">
        <v>1</v>
      </c>
      <c r="C272" s="1">
        <v>46109</v>
      </c>
    </row>
    <row r="273" spans="1:3" x14ac:dyDescent="0.25">
      <c r="A273" t="s">
        <v>0</v>
      </c>
      <c r="B273" t="s">
        <v>1</v>
      </c>
      <c r="C273" s="1">
        <v>46110</v>
      </c>
    </row>
    <row r="274" spans="1:3" x14ac:dyDescent="0.25">
      <c r="A274" t="s">
        <v>0</v>
      </c>
      <c r="B274" t="s">
        <v>1</v>
      </c>
      <c r="C274" s="1">
        <v>46111</v>
      </c>
    </row>
    <row r="275" spans="1:3" x14ac:dyDescent="0.25">
      <c r="A275" t="s">
        <v>0</v>
      </c>
      <c r="B275" t="s">
        <v>1</v>
      </c>
      <c r="C275" s="1">
        <v>46112</v>
      </c>
    </row>
    <row r="276" spans="1:3" x14ac:dyDescent="0.25">
      <c r="A276" t="s">
        <v>0</v>
      </c>
      <c r="B276" t="s">
        <v>1</v>
      </c>
      <c r="C276" s="1">
        <v>46113</v>
      </c>
    </row>
    <row r="277" spans="1:3" x14ac:dyDescent="0.25">
      <c r="A277" t="s">
        <v>0</v>
      </c>
      <c r="B277" t="s">
        <v>1</v>
      </c>
      <c r="C277" s="1">
        <v>46114</v>
      </c>
    </row>
    <row r="278" spans="1:3" x14ac:dyDescent="0.25">
      <c r="A278" t="s">
        <v>0</v>
      </c>
      <c r="B278" t="s">
        <v>1</v>
      </c>
      <c r="C278" s="1">
        <v>46115</v>
      </c>
    </row>
    <row r="279" spans="1:3" x14ac:dyDescent="0.25">
      <c r="A279" t="s">
        <v>0</v>
      </c>
      <c r="B279" t="s">
        <v>1</v>
      </c>
      <c r="C279" s="1">
        <v>46116</v>
      </c>
    </row>
    <row r="280" spans="1:3" x14ac:dyDescent="0.25">
      <c r="A280" t="s">
        <v>0</v>
      </c>
      <c r="B280" t="s">
        <v>1</v>
      </c>
      <c r="C280" s="1">
        <v>46117</v>
      </c>
    </row>
    <row r="281" spans="1:3" x14ac:dyDescent="0.25">
      <c r="A281" t="s">
        <v>0</v>
      </c>
      <c r="B281" t="s">
        <v>1</v>
      </c>
      <c r="C281" s="1">
        <v>46118</v>
      </c>
    </row>
    <row r="282" spans="1:3" x14ac:dyDescent="0.25">
      <c r="A282" t="s">
        <v>0</v>
      </c>
      <c r="B282" t="s">
        <v>1</v>
      </c>
      <c r="C282" s="1">
        <v>46119</v>
      </c>
    </row>
    <row r="283" spans="1:3" x14ac:dyDescent="0.25">
      <c r="A283" t="s">
        <v>0</v>
      </c>
      <c r="B283" t="s">
        <v>1</v>
      </c>
      <c r="C283" s="1">
        <v>46120</v>
      </c>
    </row>
    <row r="284" spans="1:3" x14ac:dyDescent="0.25">
      <c r="A284" t="s">
        <v>0</v>
      </c>
      <c r="B284" t="s">
        <v>1</v>
      </c>
      <c r="C284" s="1">
        <v>46121</v>
      </c>
    </row>
    <row r="285" spans="1:3" x14ac:dyDescent="0.25">
      <c r="A285" t="s">
        <v>0</v>
      </c>
      <c r="B285" t="s">
        <v>1</v>
      </c>
      <c r="C285" s="1">
        <v>46122</v>
      </c>
    </row>
    <row r="286" spans="1:3" x14ac:dyDescent="0.25">
      <c r="A286" t="s">
        <v>0</v>
      </c>
      <c r="B286" t="s">
        <v>1</v>
      </c>
      <c r="C286" s="1">
        <v>46123</v>
      </c>
    </row>
    <row r="287" spans="1:3" x14ac:dyDescent="0.25">
      <c r="A287" t="s">
        <v>0</v>
      </c>
      <c r="B287" t="s">
        <v>1</v>
      </c>
      <c r="C287" s="1">
        <v>46124</v>
      </c>
    </row>
    <row r="288" spans="1:3" x14ac:dyDescent="0.25">
      <c r="A288" t="s">
        <v>0</v>
      </c>
      <c r="B288" t="s">
        <v>1</v>
      </c>
      <c r="C288" s="1">
        <v>46125</v>
      </c>
    </row>
    <row r="289" spans="1:3" x14ac:dyDescent="0.25">
      <c r="A289" t="s">
        <v>0</v>
      </c>
      <c r="B289" t="s">
        <v>1</v>
      </c>
      <c r="C289" s="1">
        <v>46126</v>
      </c>
    </row>
    <row r="290" spans="1:3" x14ac:dyDescent="0.25">
      <c r="A290" t="s">
        <v>0</v>
      </c>
      <c r="B290" t="s">
        <v>1</v>
      </c>
      <c r="C290" s="1">
        <v>46127</v>
      </c>
    </row>
    <row r="291" spans="1:3" x14ac:dyDescent="0.25">
      <c r="A291" t="s">
        <v>0</v>
      </c>
      <c r="B291" t="s">
        <v>1</v>
      </c>
      <c r="C291" s="1">
        <v>46128</v>
      </c>
    </row>
    <row r="292" spans="1:3" x14ac:dyDescent="0.25">
      <c r="A292" t="s">
        <v>0</v>
      </c>
      <c r="B292" t="s">
        <v>1</v>
      </c>
      <c r="C292" s="1">
        <v>46129</v>
      </c>
    </row>
    <row r="293" spans="1:3" x14ac:dyDescent="0.25">
      <c r="A293" t="s">
        <v>0</v>
      </c>
      <c r="B293" t="s">
        <v>1</v>
      </c>
      <c r="C293" s="1">
        <v>46130</v>
      </c>
    </row>
    <row r="294" spans="1:3" x14ac:dyDescent="0.25">
      <c r="A294" t="s">
        <v>0</v>
      </c>
      <c r="B294" t="s">
        <v>1</v>
      </c>
      <c r="C294" s="1">
        <v>46131</v>
      </c>
    </row>
    <row r="295" spans="1:3" x14ac:dyDescent="0.25">
      <c r="A295" t="s">
        <v>0</v>
      </c>
      <c r="B295" t="s">
        <v>1</v>
      </c>
      <c r="C295" s="1">
        <v>46132</v>
      </c>
    </row>
    <row r="296" spans="1:3" x14ac:dyDescent="0.25">
      <c r="A296" t="s">
        <v>0</v>
      </c>
      <c r="B296" t="s">
        <v>1</v>
      </c>
      <c r="C296" s="1">
        <v>46133</v>
      </c>
    </row>
    <row r="297" spans="1:3" x14ac:dyDescent="0.25">
      <c r="A297" t="s">
        <v>0</v>
      </c>
      <c r="B297" t="s">
        <v>1</v>
      </c>
      <c r="C297" s="1">
        <v>46134</v>
      </c>
    </row>
    <row r="298" spans="1:3" x14ac:dyDescent="0.25">
      <c r="A298" t="s">
        <v>0</v>
      </c>
      <c r="B298" t="s">
        <v>1</v>
      </c>
      <c r="C298" s="1">
        <v>46135</v>
      </c>
    </row>
    <row r="299" spans="1:3" x14ac:dyDescent="0.25">
      <c r="A299" t="s">
        <v>0</v>
      </c>
      <c r="B299" t="s">
        <v>1</v>
      </c>
      <c r="C299" s="1">
        <v>46136</v>
      </c>
    </row>
    <row r="300" spans="1:3" x14ac:dyDescent="0.25">
      <c r="A300" t="s">
        <v>0</v>
      </c>
      <c r="B300" t="s">
        <v>1</v>
      </c>
      <c r="C300" s="1">
        <v>46137</v>
      </c>
    </row>
    <row r="301" spans="1:3" x14ac:dyDescent="0.25">
      <c r="C301" s="1"/>
    </row>
    <row r="302" spans="1:3" x14ac:dyDescent="0.25">
      <c r="C302" s="1"/>
    </row>
    <row r="303" spans="1:3" x14ac:dyDescent="0.25">
      <c r="C303" s="1"/>
    </row>
    <row r="304" spans="1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  <row r="9042" spans="3:3" x14ac:dyDescent="0.25">
      <c r="C9042" s="1"/>
    </row>
    <row r="9043" spans="3:3" x14ac:dyDescent="0.25">
      <c r="C9043" s="1"/>
    </row>
    <row r="9044" spans="3:3" x14ac:dyDescent="0.25">
      <c r="C9044" s="1"/>
    </row>
    <row r="9045" spans="3:3" x14ac:dyDescent="0.25">
      <c r="C9045" s="1"/>
    </row>
    <row r="9046" spans="3:3" x14ac:dyDescent="0.25">
      <c r="C9046" s="1"/>
    </row>
    <row r="9047" spans="3:3" x14ac:dyDescent="0.25">
      <c r="C9047" s="1"/>
    </row>
    <row r="9048" spans="3:3" x14ac:dyDescent="0.25">
      <c r="C9048" s="1"/>
    </row>
    <row r="9049" spans="3:3" x14ac:dyDescent="0.25">
      <c r="C9049" s="1"/>
    </row>
    <row r="9050" spans="3:3" x14ac:dyDescent="0.25">
      <c r="C9050" s="1"/>
    </row>
    <row r="9051" spans="3:3" x14ac:dyDescent="0.25">
      <c r="C9051" s="1"/>
    </row>
    <row r="9052" spans="3:3" x14ac:dyDescent="0.25">
      <c r="C9052" s="1"/>
    </row>
    <row r="9053" spans="3:3" x14ac:dyDescent="0.25">
      <c r="C9053" s="1"/>
    </row>
    <row r="9054" spans="3:3" x14ac:dyDescent="0.25">
      <c r="C9054" s="1"/>
    </row>
    <row r="9055" spans="3:3" x14ac:dyDescent="0.25">
      <c r="C9055" s="1"/>
    </row>
    <row r="9056" spans="3:3" x14ac:dyDescent="0.25">
      <c r="C9056" s="1"/>
    </row>
    <row r="9057" spans="3:3" x14ac:dyDescent="0.25">
      <c r="C9057" s="1"/>
    </row>
    <row r="9058" spans="3:3" x14ac:dyDescent="0.25">
      <c r="C9058" s="1"/>
    </row>
    <row r="9059" spans="3:3" x14ac:dyDescent="0.25">
      <c r="C9059" s="1"/>
    </row>
    <row r="9060" spans="3:3" x14ac:dyDescent="0.25">
      <c r="C9060" s="1"/>
    </row>
    <row r="9061" spans="3:3" x14ac:dyDescent="0.25">
      <c r="C9061" s="1"/>
    </row>
    <row r="9062" spans="3:3" x14ac:dyDescent="0.25">
      <c r="C9062" s="1"/>
    </row>
    <row r="9063" spans="3:3" x14ac:dyDescent="0.25">
      <c r="C9063" s="1"/>
    </row>
    <row r="9064" spans="3:3" x14ac:dyDescent="0.25">
      <c r="C9064" s="1"/>
    </row>
    <row r="9065" spans="3:3" x14ac:dyDescent="0.25">
      <c r="C9065" s="1"/>
    </row>
    <row r="9066" spans="3:3" x14ac:dyDescent="0.25">
      <c r="C9066" s="1"/>
    </row>
    <row r="9067" spans="3:3" x14ac:dyDescent="0.25">
      <c r="C9067" s="1"/>
    </row>
    <row r="9068" spans="3:3" x14ac:dyDescent="0.25">
      <c r="C9068" s="1"/>
    </row>
    <row r="9069" spans="3:3" x14ac:dyDescent="0.25">
      <c r="C9069" s="1"/>
    </row>
    <row r="9070" spans="3:3" x14ac:dyDescent="0.25">
      <c r="C9070" s="1"/>
    </row>
    <row r="9071" spans="3:3" x14ac:dyDescent="0.25">
      <c r="C9071" s="1"/>
    </row>
    <row r="9072" spans="3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3:3" x14ac:dyDescent="0.25">
      <c r="C9089" s="1"/>
    </row>
    <row r="9090" spans="3:3" x14ac:dyDescent="0.25">
      <c r="C9090" s="1"/>
    </row>
    <row r="9091" spans="3:3" x14ac:dyDescent="0.25">
      <c r="C9091" s="1"/>
    </row>
    <row r="9092" spans="3:3" x14ac:dyDescent="0.25">
      <c r="C9092" s="1"/>
    </row>
    <row r="9093" spans="3:3" x14ac:dyDescent="0.25">
      <c r="C9093" s="1"/>
    </row>
    <row r="9094" spans="3:3" x14ac:dyDescent="0.25">
      <c r="C9094" s="1"/>
    </row>
    <row r="9095" spans="3:3" x14ac:dyDescent="0.25">
      <c r="C9095" s="1"/>
    </row>
    <row r="9096" spans="3:3" x14ac:dyDescent="0.25">
      <c r="C9096" s="1"/>
    </row>
    <row r="9097" spans="3:3" x14ac:dyDescent="0.25">
      <c r="C9097" s="1"/>
    </row>
    <row r="9098" spans="3:3" x14ac:dyDescent="0.25">
      <c r="C9098" s="1"/>
    </row>
    <row r="9099" spans="3:3" x14ac:dyDescent="0.25">
      <c r="C9099" s="1"/>
    </row>
    <row r="9100" spans="3:3" x14ac:dyDescent="0.25">
      <c r="C9100" s="1"/>
    </row>
    <row r="9101" spans="3:3" x14ac:dyDescent="0.25">
      <c r="C9101" s="1"/>
    </row>
    <row r="9102" spans="3:3" x14ac:dyDescent="0.25">
      <c r="C9102" s="1"/>
    </row>
    <row r="9103" spans="3:3" x14ac:dyDescent="0.25">
      <c r="C9103" s="1"/>
    </row>
    <row r="9104" spans="3:3" x14ac:dyDescent="0.25">
      <c r="C9104" s="1"/>
    </row>
    <row r="9105" spans="3:3" x14ac:dyDescent="0.25">
      <c r="C9105" s="1"/>
    </row>
    <row r="9106" spans="3:3" x14ac:dyDescent="0.25">
      <c r="C9106" s="1"/>
    </row>
    <row r="9107" spans="3:3" x14ac:dyDescent="0.25">
      <c r="C9107" s="1"/>
    </row>
    <row r="9108" spans="3:3" x14ac:dyDescent="0.25">
      <c r="C9108" s="1"/>
    </row>
    <row r="9109" spans="3:3" x14ac:dyDescent="0.25">
      <c r="C9109" s="1"/>
    </row>
    <row r="9110" spans="3:3" x14ac:dyDescent="0.25">
      <c r="C9110" s="1"/>
    </row>
    <row r="9111" spans="3:3" x14ac:dyDescent="0.25">
      <c r="C9111" s="1"/>
    </row>
    <row r="9112" spans="3:3" x14ac:dyDescent="0.25">
      <c r="C9112" s="1"/>
    </row>
    <row r="9113" spans="3:3" x14ac:dyDescent="0.25">
      <c r="C9113" s="1"/>
    </row>
    <row r="9114" spans="3:3" x14ac:dyDescent="0.25">
      <c r="C9114" s="1"/>
    </row>
    <row r="9115" spans="3:3" x14ac:dyDescent="0.25">
      <c r="C9115" s="1"/>
    </row>
    <row r="9116" spans="3:3" x14ac:dyDescent="0.25">
      <c r="C9116" s="1"/>
    </row>
    <row r="9117" spans="3:3" x14ac:dyDescent="0.25">
      <c r="C9117" s="1"/>
    </row>
    <row r="9118" spans="3:3" x14ac:dyDescent="0.25">
      <c r="C9118" s="1"/>
    </row>
    <row r="9119" spans="3:3" x14ac:dyDescent="0.25">
      <c r="C9119" s="1"/>
    </row>
    <row r="9120" spans="3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3:3" x14ac:dyDescent="0.25">
      <c r="C9137" s="1"/>
    </row>
    <row r="9138" spans="3:3" x14ac:dyDescent="0.25">
      <c r="C9138" s="1"/>
    </row>
    <row r="9139" spans="3:3" x14ac:dyDescent="0.25">
      <c r="C9139" s="1"/>
    </row>
    <row r="9140" spans="3:3" x14ac:dyDescent="0.25">
      <c r="C9140" s="1"/>
    </row>
    <row r="9141" spans="3:3" x14ac:dyDescent="0.25">
      <c r="C9141" s="1"/>
    </row>
    <row r="9142" spans="3:3" x14ac:dyDescent="0.25">
      <c r="C9142" s="1"/>
    </row>
    <row r="9143" spans="3:3" x14ac:dyDescent="0.25">
      <c r="C9143" s="1"/>
    </row>
    <row r="9144" spans="3:3" x14ac:dyDescent="0.25">
      <c r="C9144" s="1"/>
    </row>
    <row r="9145" spans="3:3" x14ac:dyDescent="0.25">
      <c r="C9145" s="1"/>
    </row>
    <row r="9146" spans="3:3" x14ac:dyDescent="0.25">
      <c r="C9146" s="1"/>
    </row>
    <row r="9147" spans="3:3" x14ac:dyDescent="0.25">
      <c r="C9147" s="1"/>
    </row>
    <row r="9148" spans="3:3" x14ac:dyDescent="0.25">
      <c r="C9148" s="1"/>
    </row>
    <row r="9149" spans="3:3" x14ac:dyDescent="0.25">
      <c r="C9149" s="1"/>
    </row>
    <row r="9150" spans="3:3" x14ac:dyDescent="0.25">
      <c r="C9150" s="1"/>
    </row>
    <row r="9151" spans="3:3" x14ac:dyDescent="0.25">
      <c r="C9151" s="1"/>
    </row>
    <row r="9152" spans="3:3" x14ac:dyDescent="0.25">
      <c r="C9152" s="1"/>
    </row>
    <row r="9153" spans="3:3" x14ac:dyDescent="0.25">
      <c r="C9153" s="1"/>
    </row>
    <row r="9154" spans="3:3" x14ac:dyDescent="0.25">
      <c r="C9154" s="1"/>
    </row>
    <row r="9155" spans="3:3" x14ac:dyDescent="0.25">
      <c r="C9155" s="1"/>
    </row>
    <row r="9156" spans="3:3" x14ac:dyDescent="0.25">
      <c r="C9156" s="1"/>
    </row>
    <row r="9157" spans="3:3" x14ac:dyDescent="0.25">
      <c r="C9157" s="1"/>
    </row>
    <row r="9158" spans="3:3" x14ac:dyDescent="0.25">
      <c r="C9158" s="1"/>
    </row>
    <row r="9159" spans="3:3" x14ac:dyDescent="0.25">
      <c r="C9159" s="1"/>
    </row>
    <row r="9160" spans="3:3" x14ac:dyDescent="0.25">
      <c r="C9160" s="1"/>
    </row>
    <row r="9161" spans="3:3" x14ac:dyDescent="0.25">
      <c r="C9161" s="1"/>
    </row>
    <row r="9162" spans="3:3" x14ac:dyDescent="0.25">
      <c r="C9162" s="1"/>
    </row>
    <row r="9163" spans="3:3" x14ac:dyDescent="0.25">
      <c r="C9163" s="1"/>
    </row>
    <row r="9164" spans="3:3" x14ac:dyDescent="0.25">
      <c r="C9164" s="1"/>
    </row>
    <row r="9165" spans="3:3" x14ac:dyDescent="0.25">
      <c r="C9165" s="1"/>
    </row>
    <row r="9166" spans="3:3" x14ac:dyDescent="0.25">
      <c r="C9166" s="1"/>
    </row>
    <row r="9167" spans="3:3" x14ac:dyDescent="0.25">
      <c r="C9167" s="1"/>
    </row>
    <row r="9168" spans="3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5" spans="3:3" x14ac:dyDescent="0.25">
      <c r="C9185" s="1"/>
    </row>
    <row r="9186" spans="3:3" x14ac:dyDescent="0.25">
      <c r="C9186" s="1"/>
    </row>
    <row r="9187" spans="3:3" x14ac:dyDescent="0.25">
      <c r="C9187" s="1"/>
    </row>
    <row r="9188" spans="3:3" x14ac:dyDescent="0.25">
      <c r="C9188" s="1"/>
    </row>
    <row r="9189" spans="3:3" x14ac:dyDescent="0.25">
      <c r="C9189" s="1"/>
    </row>
    <row r="9190" spans="3:3" x14ac:dyDescent="0.25">
      <c r="C9190" s="1"/>
    </row>
    <row r="9191" spans="3:3" x14ac:dyDescent="0.25">
      <c r="C9191" s="1"/>
    </row>
    <row r="9192" spans="3:3" x14ac:dyDescent="0.25">
      <c r="C9192" s="1"/>
    </row>
    <row r="9193" spans="3:3" x14ac:dyDescent="0.25">
      <c r="C9193" s="1"/>
    </row>
    <row r="9194" spans="3:3" x14ac:dyDescent="0.25">
      <c r="C9194" s="1"/>
    </row>
    <row r="9195" spans="3:3" x14ac:dyDescent="0.25">
      <c r="C9195" s="1"/>
    </row>
    <row r="9196" spans="3:3" x14ac:dyDescent="0.25">
      <c r="C9196" s="1"/>
    </row>
    <row r="9197" spans="3:3" x14ac:dyDescent="0.25">
      <c r="C9197" s="1"/>
    </row>
    <row r="9198" spans="3:3" x14ac:dyDescent="0.25">
      <c r="C9198" s="1"/>
    </row>
    <row r="9199" spans="3:3" x14ac:dyDescent="0.25">
      <c r="C9199" s="1"/>
    </row>
    <row r="9200" spans="3:3" x14ac:dyDescent="0.25">
      <c r="C9200" s="1"/>
    </row>
    <row r="9201" spans="3:3" x14ac:dyDescent="0.25">
      <c r="C9201" s="1"/>
    </row>
    <row r="9202" spans="3:3" x14ac:dyDescent="0.25">
      <c r="C9202" s="1"/>
    </row>
    <row r="9203" spans="3:3" x14ac:dyDescent="0.25">
      <c r="C9203" s="1"/>
    </row>
    <row r="9204" spans="3:3" x14ac:dyDescent="0.25">
      <c r="C9204" s="1"/>
    </row>
    <row r="9205" spans="3:3" x14ac:dyDescent="0.25">
      <c r="C9205" s="1"/>
    </row>
    <row r="9206" spans="3:3" x14ac:dyDescent="0.25">
      <c r="C9206" s="1"/>
    </row>
    <row r="9207" spans="3:3" x14ac:dyDescent="0.25">
      <c r="C9207" s="1"/>
    </row>
    <row r="9208" spans="3:3" x14ac:dyDescent="0.25">
      <c r="C9208" s="1"/>
    </row>
    <row r="9209" spans="3:3" x14ac:dyDescent="0.25">
      <c r="C9209" s="1"/>
    </row>
    <row r="9210" spans="3:3" x14ac:dyDescent="0.25">
      <c r="C9210" s="1"/>
    </row>
    <row r="9211" spans="3:3" x14ac:dyDescent="0.25">
      <c r="C9211" s="1"/>
    </row>
    <row r="9212" spans="3:3" x14ac:dyDescent="0.25">
      <c r="C9212" s="1"/>
    </row>
    <row r="9213" spans="3:3" x14ac:dyDescent="0.25">
      <c r="C9213" s="1"/>
    </row>
    <row r="9214" spans="3:3" x14ac:dyDescent="0.25">
      <c r="C9214" s="1"/>
    </row>
    <row r="9215" spans="3:3" x14ac:dyDescent="0.25">
      <c r="C9215" s="1"/>
    </row>
    <row r="9216" spans="3:3" x14ac:dyDescent="0.25">
      <c r="C9216" s="1"/>
    </row>
    <row r="9217" spans="3:3" x14ac:dyDescent="0.25">
      <c r="C9217" s="1"/>
    </row>
    <row r="9218" spans="3:3" x14ac:dyDescent="0.25">
      <c r="C9218" s="1"/>
    </row>
    <row r="9219" spans="3:3" x14ac:dyDescent="0.25">
      <c r="C9219" s="1"/>
    </row>
    <row r="9220" spans="3:3" x14ac:dyDescent="0.25">
      <c r="C9220" s="1"/>
    </row>
    <row r="9221" spans="3:3" x14ac:dyDescent="0.25">
      <c r="C9221" s="1"/>
    </row>
    <row r="9222" spans="3:3" x14ac:dyDescent="0.25">
      <c r="C9222" s="1"/>
    </row>
    <row r="9223" spans="3:3" x14ac:dyDescent="0.25">
      <c r="C9223" s="1"/>
    </row>
    <row r="9224" spans="3:3" x14ac:dyDescent="0.25">
      <c r="C9224" s="1"/>
    </row>
    <row r="9225" spans="3:3" x14ac:dyDescent="0.25">
      <c r="C9225" s="1"/>
    </row>
    <row r="9226" spans="3:3" x14ac:dyDescent="0.25">
      <c r="C9226" s="1"/>
    </row>
    <row r="9227" spans="3:3" x14ac:dyDescent="0.25">
      <c r="C9227" s="1"/>
    </row>
    <row r="9228" spans="3:3" x14ac:dyDescent="0.25">
      <c r="C9228" s="1"/>
    </row>
    <row r="9229" spans="3:3" x14ac:dyDescent="0.25">
      <c r="C9229" s="1"/>
    </row>
    <row r="9230" spans="3:3" x14ac:dyDescent="0.25">
      <c r="C9230" s="1"/>
    </row>
    <row r="9231" spans="3:3" x14ac:dyDescent="0.25">
      <c r="C9231" s="1"/>
    </row>
    <row r="9232" spans="3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3:3" x14ac:dyDescent="0.25">
      <c r="C9249" s="1"/>
    </row>
    <row r="9250" spans="3:3" x14ac:dyDescent="0.25">
      <c r="C9250" s="1"/>
    </row>
    <row r="9251" spans="3:3" x14ac:dyDescent="0.25">
      <c r="C9251" s="1"/>
    </row>
    <row r="9252" spans="3:3" x14ac:dyDescent="0.25">
      <c r="C9252" s="1"/>
    </row>
    <row r="9253" spans="3:3" x14ac:dyDescent="0.25">
      <c r="C9253" s="1"/>
    </row>
    <row r="9254" spans="3:3" x14ac:dyDescent="0.25">
      <c r="C9254" s="1"/>
    </row>
    <row r="9255" spans="3:3" x14ac:dyDescent="0.25">
      <c r="C9255" s="1"/>
    </row>
    <row r="9256" spans="3:3" x14ac:dyDescent="0.25">
      <c r="C9256" s="1"/>
    </row>
    <row r="9257" spans="3:3" x14ac:dyDescent="0.25">
      <c r="C9257" s="1"/>
    </row>
    <row r="9258" spans="3:3" x14ac:dyDescent="0.25">
      <c r="C9258" s="1"/>
    </row>
    <row r="9259" spans="3:3" x14ac:dyDescent="0.25">
      <c r="C9259" s="1"/>
    </row>
    <row r="9260" spans="3:3" x14ac:dyDescent="0.25">
      <c r="C9260" s="1"/>
    </row>
    <row r="9261" spans="3:3" x14ac:dyDescent="0.25">
      <c r="C9261" s="1"/>
    </row>
    <row r="9262" spans="3:3" x14ac:dyDescent="0.25">
      <c r="C9262" s="1"/>
    </row>
    <row r="9263" spans="3:3" x14ac:dyDescent="0.25">
      <c r="C9263" s="1"/>
    </row>
    <row r="9264" spans="3:3" x14ac:dyDescent="0.25">
      <c r="C9264" s="1"/>
    </row>
    <row r="9265" spans="3:3" x14ac:dyDescent="0.25">
      <c r="C9265" s="1"/>
    </row>
    <row r="9266" spans="3:3" x14ac:dyDescent="0.25">
      <c r="C9266" s="1"/>
    </row>
    <row r="9267" spans="3:3" x14ac:dyDescent="0.25">
      <c r="C9267" s="1"/>
    </row>
    <row r="9268" spans="3:3" x14ac:dyDescent="0.25">
      <c r="C9268" s="1"/>
    </row>
    <row r="9269" spans="3:3" x14ac:dyDescent="0.25">
      <c r="C9269" s="1"/>
    </row>
    <row r="9270" spans="3:3" x14ac:dyDescent="0.25">
      <c r="C9270" s="1"/>
    </row>
    <row r="9271" spans="3:3" x14ac:dyDescent="0.25">
      <c r="C9271" s="1"/>
    </row>
    <row r="9272" spans="3:3" x14ac:dyDescent="0.25">
      <c r="C9272" s="1"/>
    </row>
    <row r="9273" spans="3:3" x14ac:dyDescent="0.25">
      <c r="C9273" s="1"/>
    </row>
    <row r="9274" spans="3:3" x14ac:dyDescent="0.25">
      <c r="C9274" s="1"/>
    </row>
    <row r="9275" spans="3:3" x14ac:dyDescent="0.25">
      <c r="C9275" s="1"/>
    </row>
    <row r="9276" spans="3:3" x14ac:dyDescent="0.25">
      <c r="C9276" s="1"/>
    </row>
    <row r="9277" spans="3:3" x14ac:dyDescent="0.25">
      <c r="C9277" s="1"/>
    </row>
    <row r="9278" spans="3:3" x14ac:dyDescent="0.25">
      <c r="C9278" s="1"/>
    </row>
    <row r="9279" spans="3:3" x14ac:dyDescent="0.25">
      <c r="C9279" s="1"/>
    </row>
    <row r="9280" spans="3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3:3" x14ac:dyDescent="0.25">
      <c r="C9297" s="1"/>
    </row>
    <row r="9298" spans="3:3" x14ac:dyDescent="0.25">
      <c r="C9298" s="1"/>
    </row>
    <row r="9299" spans="3:3" x14ac:dyDescent="0.25">
      <c r="C9299" s="1"/>
    </row>
    <row r="9300" spans="3:3" x14ac:dyDescent="0.25">
      <c r="C9300" s="1"/>
    </row>
    <row r="9301" spans="3:3" x14ac:dyDescent="0.25">
      <c r="C9301" s="1"/>
    </row>
    <row r="9302" spans="3:3" x14ac:dyDescent="0.25">
      <c r="C9302" s="1"/>
    </row>
    <row r="9303" spans="3:3" x14ac:dyDescent="0.25">
      <c r="C9303" s="1"/>
    </row>
    <row r="9304" spans="3:3" x14ac:dyDescent="0.25">
      <c r="C9304" s="1"/>
    </row>
    <row r="9305" spans="3:3" x14ac:dyDescent="0.25">
      <c r="C9305" s="1"/>
    </row>
    <row r="9306" spans="3:3" x14ac:dyDescent="0.25">
      <c r="C9306" s="1"/>
    </row>
    <row r="9307" spans="3:3" x14ac:dyDescent="0.25">
      <c r="C9307" s="1"/>
    </row>
    <row r="9308" spans="3:3" x14ac:dyDescent="0.25">
      <c r="C9308" s="1"/>
    </row>
    <row r="9309" spans="3:3" x14ac:dyDescent="0.25">
      <c r="C9309" s="1"/>
    </row>
    <row r="9310" spans="3:3" x14ac:dyDescent="0.25">
      <c r="C9310" s="1"/>
    </row>
    <row r="9311" spans="3:3" x14ac:dyDescent="0.25">
      <c r="C9311" s="1"/>
    </row>
    <row r="9312" spans="3:3" x14ac:dyDescent="0.25">
      <c r="C9312" s="1"/>
    </row>
    <row r="9313" spans="3:3" x14ac:dyDescent="0.25">
      <c r="C9313" s="1"/>
    </row>
    <row r="9314" spans="3:3" x14ac:dyDescent="0.25">
      <c r="C9314" s="1"/>
    </row>
    <row r="9315" spans="3:3" x14ac:dyDescent="0.25">
      <c r="C9315" s="1"/>
    </row>
    <row r="9316" spans="3:3" x14ac:dyDescent="0.25">
      <c r="C9316" s="1"/>
    </row>
    <row r="9317" spans="3:3" x14ac:dyDescent="0.25">
      <c r="C9317" s="1"/>
    </row>
    <row r="9318" spans="3:3" x14ac:dyDescent="0.25">
      <c r="C9318" s="1"/>
    </row>
    <row r="9319" spans="3:3" x14ac:dyDescent="0.25">
      <c r="C9319" s="1"/>
    </row>
    <row r="9320" spans="3:3" x14ac:dyDescent="0.25">
      <c r="C9320" s="1"/>
    </row>
    <row r="9321" spans="3:3" x14ac:dyDescent="0.25">
      <c r="C9321" s="1"/>
    </row>
    <row r="9322" spans="3:3" x14ac:dyDescent="0.25">
      <c r="C9322" s="1"/>
    </row>
    <row r="9323" spans="3:3" x14ac:dyDescent="0.25">
      <c r="C9323" s="1"/>
    </row>
    <row r="9324" spans="3:3" x14ac:dyDescent="0.25">
      <c r="C9324" s="1"/>
    </row>
    <row r="9325" spans="3:3" x14ac:dyDescent="0.25">
      <c r="C9325" s="1"/>
    </row>
    <row r="9326" spans="3:3" x14ac:dyDescent="0.25">
      <c r="C9326" s="1"/>
    </row>
    <row r="9327" spans="3:3" x14ac:dyDescent="0.25">
      <c r="C9327" s="1"/>
    </row>
    <row r="9328" spans="3:3" x14ac:dyDescent="0.25">
      <c r="C9328" s="1"/>
    </row>
    <row r="9329" spans="3:3" x14ac:dyDescent="0.25">
      <c r="C9329" s="1"/>
    </row>
    <row r="9330" spans="3:3" x14ac:dyDescent="0.25">
      <c r="C9330" s="1"/>
    </row>
    <row r="9331" spans="3:3" x14ac:dyDescent="0.25">
      <c r="C9331" s="1"/>
    </row>
    <row r="9332" spans="3:3" x14ac:dyDescent="0.25">
      <c r="C9332" s="1"/>
    </row>
    <row r="9333" spans="3:3" x14ac:dyDescent="0.25">
      <c r="C9333" s="1"/>
    </row>
    <row r="9334" spans="3:3" x14ac:dyDescent="0.25">
      <c r="C9334" s="1"/>
    </row>
    <row r="9335" spans="3:3" x14ac:dyDescent="0.25">
      <c r="C9335" s="1"/>
    </row>
    <row r="9336" spans="3:3" x14ac:dyDescent="0.25">
      <c r="C9336" s="1"/>
    </row>
    <row r="9337" spans="3:3" x14ac:dyDescent="0.25">
      <c r="C9337" s="1"/>
    </row>
    <row r="9338" spans="3:3" x14ac:dyDescent="0.25">
      <c r="C9338" s="1"/>
    </row>
    <row r="9339" spans="3:3" x14ac:dyDescent="0.25">
      <c r="C9339" s="1"/>
    </row>
    <row r="9340" spans="3:3" x14ac:dyDescent="0.25">
      <c r="C9340" s="1"/>
    </row>
    <row r="9341" spans="3:3" x14ac:dyDescent="0.25">
      <c r="C9341" s="1"/>
    </row>
    <row r="9342" spans="3:3" x14ac:dyDescent="0.25">
      <c r="C9342" s="1"/>
    </row>
    <row r="9343" spans="3:3" x14ac:dyDescent="0.25">
      <c r="C9343" s="1"/>
    </row>
    <row r="9344" spans="3:3" x14ac:dyDescent="0.25">
      <c r="C9344" s="1"/>
    </row>
    <row r="9345" spans="3:3" x14ac:dyDescent="0.25">
      <c r="C9345" s="1"/>
    </row>
    <row r="9346" spans="3:3" x14ac:dyDescent="0.25">
      <c r="C9346" s="1"/>
    </row>
    <row r="9347" spans="3:3" x14ac:dyDescent="0.25">
      <c r="C9347" s="1"/>
    </row>
    <row r="9348" spans="3:3" x14ac:dyDescent="0.25">
      <c r="C9348" s="1"/>
    </row>
    <row r="9349" spans="3:3" x14ac:dyDescent="0.25">
      <c r="C9349" s="1"/>
    </row>
    <row r="9350" spans="3:3" x14ac:dyDescent="0.25">
      <c r="C9350" s="1"/>
    </row>
    <row r="9351" spans="3:3" x14ac:dyDescent="0.25">
      <c r="C9351" s="1"/>
    </row>
    <row r="9352" spans="3:3" x14ac:dyDescent="0.25">
      <c r="C9352" s="1"/>
    </row>
    <row r="9353" spans="3:3" x14ac:dyDescent="0.25">
      <c r="C9353" s="1"/>
    </row>
    <row r="9354" spans="3:3" x14ac:dyDescent="0.25">
      <c r="C9354" s="1"/>
    </row>
    <row r="9355" spans="3:3" x14ac:dyDescent="0.25">
      <c r="C9355" s="1"/>
    </row>
    <row r="9356" spans="3:3" x14ac:dyDescent="0.25">
      <c r="C9356" s="1"/>
    </row>
    <row r="9357" spans="3:3" x14ac:dyDescent="0.25">
      <c r="C9357" s="1"/>
    </row>
    <row r="9358" spans="3:3" x14ac:dyDescent="0.25">
      <c r="C9358" s="1"/>
    </row>
    <row r="9359" spans="3:3" x14ac:dyDescent="0.25">
      <c r="C9359" s="1"/>
    </row>
    <row r="9360" spans="3:3" x14ac:dyDescent="0.25">
      <c r="C9360" s="1"/>
    </row>
    <row r="9361" spans="3:3" x14ac:dyDescent="0.25">
      <c r="C9361" s="1"/>
    </row>
    <row r="9362" spans="3:3" x14ac:dyDescent="0.25">
      <c r="C9362" s="1"/>
    </row>
    <row r="9363" spans="3:3" x14ac:dyDescent="0.25">
      <c r="C9363" s="1"/>
    </row>
    <row r="9364" spans="3:3" x14ac:dyDescent="0.25">
      <c r="C9364" s="1"/>
    </row>
    <row r="9365" spans="3:3" x14ac:dyDescent="0.25">
      <c r="C9365" s="1"/>
    </row>
    <row r="9366" spans="3:3" x14ac:dyDescent="0.25">
      <c r="C9366" s="1"/>
    </row>
    <row r="9367" spans="3:3" x14ac:dyDescent="0.25">
      <c r="C9367" s="1"/>
    </row>
    <row r="9368" spans="3:3" x14ac:dyDescent="0.25">
      <c r="C9368" s="1"/>
    </row>
    <row r="9369" spans="3:3" x14ac:dyDescent="0.25">
      <c r="C9369" s="1"/>
    </row>
    <row r="9370" spans="3:3" x14ac:dyDescent="0.25">
      <c r="C9370" s="1"/>
    </row>
    <row r="9371" spans="3:3" x14ac:dyDescent="0.25">
      <c r="C9371" s="1"/>
    </row>
    <row r="9372" spans="3:3" x14ac:dyDescent="0.25">
      <c r="C9372" s="1"/>
    </row>
    <row r="9373" spans="3:3" x14ac:dyDescent="0.25">
      <c r="C9373" s="1"/>
    </row>
    <row r="9374" spans="3:3" x14ac:dyDescent="0.25">
      <c r="C9374" s="1"/>
    </row>
    <row r="9375" spans="3:3" x14ac:dyDescent="0.25">
      <c r="C9375" s="1"/>
    </row>
    <row r="9376" spans="3:3" x14ac:dyDescent="0.25">
      <c r="C9376" s="1"/>
    </row>
    <row r="9377" spans="3:3" x14ac:dyDescent="0.25">
      <c r="C9377" s="1"/>
    </row>
    <row r="9378" spans="3:3" x14ac:dyDescent="0.25">
      <c r="C9378" s="1"/>
    </row>
    <row r="9379" spans="3:3" x14ac:dyDescent="0.25">
      <c r="C9379" s="1"/>
    </row>
    <row r="9380" spans="3:3" x14ac:dyDescent="0.25">
      <c r="C9380" s="1"/>
    </row>
    <row r="9381" spans="3:3" x14ac:dyDescent="0.25">
      <c r="C9381" s="1"/>
    </row>
    <row r="9382" spans="3:3" x14ac:dyDescent="0.25">
      <c r="C9382" s="1"/>
    </row>
    <row r="9383" spans="3:3" x14ac:dyDescent="0.25">
      <c r="C9383" s="1"/>
    </row>
    <row r="9384" spans="3:3" x14ac:dyDescent="0.25">
      <c r="C9384" s="1"/>
    </row>
    <row r="9385" spans="3:3" x14ac:dyDescent="0.25">
      <c r="C9385" s="1"/>
    </row>
    <row r="9386" spans="3:3" x14ac:dyDescent="0.25">
      <c r="C9386" s="1"/>
    </row>
    <row r="9387" spans="3:3" x14ac:dyDescent="0.25">
      <c r="C9387" s="1"/>
    </row>
    <row r="9388" spans="3:3" x14ac:dyDescent="0.25">
      <c r="C9388" s="1"/>
    </row>
    <row r="9389" spans="3:3" x14ac:dyDescent="0.25">
      <c r="C9389" s="1"/>
    </row>
    <row r="9390" spans="3:3" x14ac:dyDescent="0.25">
      <c r="C9390" s="1"/>
    </row>
    <row r="9391" spans="3:3" x14ac:dyDescent="0.25">
      <c r="C9391" s="1"/>
    </row>
    <row r="9392" spans="3:3" x14ac:dyDescent="0.25">
      <c r="C9392" s="1"/>
    </row>
    <row r="9393" spans="3:3" x14ac:dyDescent="0.25">
      <c r="C9393" s="1"/>
    </row>
    <row r="9394" spans="3:3" x14ac:dyDescent="0.25">
      <c r="C9394" s="1"/>
    </row>
    <row r="9395" spans="3:3" x14ac:dyDescent="0.25">
      <c r="C9395" s="1"/>
    </row>
    <row r="9396" spans="3:3" x14ac:dyDescent="0.25">
      <c r="C9396" s="1"/>
    </row>
    <row r="9397" spans="3:3" x14ac:dyDescent="0.25">
      <c r="C9397" s="1"/>
    </row>
    <row r="9398" spans="3:3" x14ac:dyDescent="0.25">
      <c r="C9398" s="1"/>
    </row>
    <row r="9399" spans="3:3" x14ac:dyDescent="0.25">
      <c r="C9399" s="1"/>
    </row>
    <row r="9400" spans="3:3" x14ac:dyDescent="0.25">
      <c r="C9400" s="1"/>
    </row>
    <row r="9401" spans="3:3" x14ac:dyDescent="0.25">
      <c r="C9401" s="1"/>
    </row>
    <row r="9402" spans="3:3" x14ac:dyDescent="0.25">
      <c r="C9402" s="1"/>
    </row>
    <row r="9403" spans="3:3" x14ac:dyDescent="0.25">
      <c r="C9403" s="1"/>
    </row>
    <row r="9404" spans="3:3" x14ac:dyDescent="0.25">
      <c r="C9404" s="1"/>
    </row>
    <row r="9405" spans="3:3" x14ac:dyDescent="0.25">
      <c r="C9405" s="1"/>
    </row>
    <row r="9406" spans="3:3" x14ac:dyDescent="0.25">
      <c r="C9406" s="1"/>
    </row>
    <row r="9407" spans="3:3" x14ac:dyDescent="0.25">
      <c r="C9407" s="1"/>
    </row>
    <row r="9408" spans="3:3" x14ac:dyDescent="0.25">
      <c r="C9408" s="1"/>
    </row>
    <row r="9409" spans="3:3" x14ac:dyDescent="0.25">
      <c r="C9409" s="1"/>
    </row>
    <row r="9410" spans="3:3" x14ac:dyDescent="0.25">
      <c r="C9410" s="1"/>
    </row>
    <row r="9411" spans="3:3" x14ac:dyDescent="0.25">
      <c r="C9411" s="1"/>
    </row>
    <row r="9412" spans="3:3" x14ac:dyDescent="0.25">
      <c r="C9412" s="1"/>
    </row>
    <row r="9413" spans="3:3" x14ac:dyDescent="0.25">
      <c r="C9413" s="1"/>
    </row>
    <row r="9414" spans="3:3" x14ac:dyDescent="0.25">
      <c r="C9414" s="1"/>
    </row>
    <row r="9415" spans="3:3" x14ac:dyDescent="0.25">
      <c r="C9415" s="1"/>
    </row>
    <row r="9416" spans="3:3" x14ac:dyDescent="0.25">
      <c r="C9416" s="1"/>
    </row>
    <row r="9417" spans="3:3" x14ac:dyDescent="0.25">
      <c r="C9417" s="1"/>
    </row>
    <row r="9418" spans="3:3" x14ac:dyDescent="0.25">
      <c r="C9418" s="1"/>
    </row>
    <row r="9419" spans="3:3" x14ac:dyDescent="0.25">
      <c r="C9419" s="1"/>
    </row>
    <row r="9420" spans="3:3" x14ac:dyDescent="0.25">
      <c r="C9420" s="1"/>
    </row>
    <row r="9421" spans="3:3" x14ac:dyDescent="0.25">
      <c r="C9421" s="1"/>
    </row>
    <row r="9422" spans="3:3" x14ac:dyDescent="0.25">
      <c r="C9422" s="1"/>
    </row>
    <row r="9423" spans="3:3" x14ac:dyDescent="0.25">
      <c r="C9423" s="1"/>
    </row>
    <row r="9424" spans="3:3" x14ac:dyDescent="0.25">
      <c r="C9424" s="1"/>
    </row>
    <row r="9425" spans="3:3" x14ac:dyDescent="0.25">
      <c r="C9425" s="1"/>
    </row>
    <row r="9426" spans="3:3" x14ac:dyDescent="0.25">
      <c r="C9426" s="1"/>
    </row>
    <row r="9427" spans="3:3" x14ac:dyDescent="0.25">
      <c r="C9427" s="1"/>
    </row>
    <row r="9428" spans="3:3" x14ac:dyDescent="0.25">
      <c r="C9428" s="1"/>
    </row>
    <row r="9429" spans="3:3" x14ac:dyDescent="0.25">
      <c r="C9429" s="1"/>
    </row>
    <row r="9430" spans="3:3" x14ac:dyDescent="0.25">
      <c r="C9430" s="1"/>
    </row>
    <row r="9431" spans="3:3" x14ac:dyDescent="0.25">
      <c r="C9431" s="1"/>
    </row>
    <row r="9432" spans="3:3" x14ac:dyDescent="0.25">
      <c r="C9432" s="1"/>
    </row>
    <row r="9433" spans="3:3" x14ac:dyDescent="0.25">
      <c r="C9433" s="1"/>
    </row>
    <row r="9434" spans="3:3" x14ac:dyDescent="0.25">
      <c r="C9434" s="1"/>
    </row>
    <row r="9435" spans="3:3" x14ac:dyDescent="0.25">
      <c r="C9435" s="1"/>
    </row>
    <row r="9436" spans="3:3" x14ac:dyDescent="0.25">
      <c r="C9436" s="1"/>
    </row>
    <row r="9437" spans="3:3" x14ac:dyDescent="0.25">
      <c r="C9437" s="1"/>
    </row>
    <row r="9438" spans="3:3" x14ac:dyDescent="0.25">
      <c r="C9438" s="1"/>
    </row>
    <row r="9439" spans="3:3" x14ac:dyDescent="0.25">
      <c r="C9439" s="1"/>
    </row>
    <row r="9440" spans="3:3" x14ac:dyDescent="0.25">
      <c r="C9440" s="1"/>
    </row>
    <row r="9441" spans="3:3" x14ac:dyDescent="0.25">
      <c r="C9441" s="1"/>
    </row>
    <row r="9442" spans="3:3" x14ac:dyDescent="0.25">
      <c r="C9442" s="1"/>
    </row>
    <row r="9443" spans="3:3" x14ac:dyDescent="0.25">
      <c r="C9443" s="1"/>
    </row>
    <row r="9444" spans="3:3" x14ac:dyDescent="0.25">
      <c r="C9444" s="1"/>
    </row>
    <row r="9445" spans="3:3" x14ac:dyDescent="0.25">
      <c r="C9445" s="1"/>
    </row>
    <row r="9446" spans="3:3" x14ac:dyDescent="0.25">
      <c r="C9446" s="1"/>
    </row>
    <row r="9447" spans="3:3" x14ac:dyDescent="0.25">
      <c r="C9447" s="1"/>
    </row>
    <row r="9448" spans="3:3" x14ac:dyDescent="0.25">
      <c r="C9448" s="1"/>
    </row>
    <row r="9449" spans="3:3" x14ac:dyDescent="0.25">
      <c r="C9449" s="1"/>
    </row>
    <row r="9450" spans="3:3" x14ac:dyDescent="0.25">
      <c r="C9450" s="1"/>
    </row>
    <row r="9451" spans="3:3" x14ac:dyDescent="0.25">
      <c r="C9451" s="1"/>
    </row>
    <row r="9452" spans="3:3" x14ac:dyDescent="0.25">
      <c r="C9452" s="1"/>
    </row>
    <row r="9453" spans="3:3" x14ac:dyDescent="0.25">
      <c r="C9453" s="1"/>
    </row>
    <row r="9454" spans="3:3" x14ac:dyDescent="0.25">
      <c r="C9454" s="1"/>
    </row>
    <row r="9455" spans="3:3" x14ac:dyDescent="0.25">
      <c r="C9455" s="1"/>
    </row>
    <row r="9456" spans="3:3" x14ac:dyDescent="0.25">
      <c r="C9456" s="1"/>
    </row>
    <row r="9457" spans="3:3" x14ac:dyDescent="0.25">
      <c r="C9457" s="1"/>
    </row>
    <row r="9458" spans="3:3" x14ac:dyDescent="0.25">
      <c r="C9458" s="1"/>
    </row>
    <row r="9459" spans="3:3" x14ac:dyDescent="0.25">
      <c r="C9459" s="1"/>
    </row>
    <row r="9460" spans="3:3" x14ac:dyDescent="0.25">
      <c r="C9460" s="1"/>
    </row>
    <row r="9461" spans="3:3" x14ac:dyDescent="0.25">
      <c r="C9461" s="1"/>
    </row>
    <row r="9462" spans="3:3" x14ac:dyDescent="0.25">
      <c r="C9462" s="1"/>
    </row>
    <row r="9463" spans="3:3" x14ac:dyDescent="0.25">
      <c r="C9463" s="1"/>
    </row>
    <row r="9464" spans="3:3" x14ac:dyDescent="0.25">
      <c r="C9464" s="1"/>
    </row>
    <row r="9465" spans="3:3" x14ac:dyDescent="0.25">
      <c r="C9465" s="1"/>
    </row>
    <row r="9466" spans="3:3" x14ac:dyDescent="0.25">
      <c r="C9466" s="1"/>
    </row>
    <row r="9467" spans="3:3" x14ac:dyDescent="0.25">
      <c r="C9467" s="1"/>
    </row>
    <row r="9468" spans="3:3" x14ac:dyDescent="0.25">
      <c r="C9468" s="1"/>
    </row>
    <row r="9469" spans="3:3" x14ac:dyDescent="0.25">
      <c r="C9469" s="1"/>
    </row>
    <row r="9470" spans="3:3" x14ac:dyDescent="0.25">
      <c r="C9470" s="1"/>
    </row>
    <row r="9471" spans="3:3" x14ac:dyDescent="0.25">
      <c r="C9471" s="1"/>
    </row>
    <row r="9472" spans="3:3" x14ac:dyDescent="0.25">
      <c r="C9472" s="1"/>
    </row>
    <row r="9473" spans="3:3" x14ac:dyDescent="0.25">
      <c r="C9473" s="1"/>
    </row>
    <row r="9474" spans="3:3" x14ac:dyDescent="0.25">
      <c r="C9474" s="1"/>
    </row>
    <row r="9475" spans="3:3" x14ac:dyDescent="0.25">
      <c r="C9475" s="1"/>
    </row>
    <row r="9476" spans="3:3" x14ac:dyDescent="0.25">
      <c r="C9476" s="1"/>
    </row>
    <row r="9477" spans="3:3" x14ac:dyDescent="0.25">
      <c r="C9477" s="1"/>
    </row>
    <row r="9478" spans="3:3" x14ac:dyDescent="0.25">
      <c r="C9478" s="1"/>
    </row>
    <row r="9479" spans="3:3" x14ac:dyDescent="0.25">
      <c r="C9479" s="1"/>
    </row>
    <row r="9480" spans="3:3" x14ac:dyDescent="0.25">
      <c r="C9480" s="1"/>
    </row>
    <row r="9481" spans="3:3" x14ac:dyDescent="0.25">
      <c r="C9481" s="1"/>
    </row>
    <row r="9482" spans="3:3" x14ac:dyDescent="0.25">
      <c r="C9482" s="1"/>
    </row>
    <row r="9483" spans="3:3" x14ac:dyDescent="0.25">
      <c r="C9483" s="1"/>
    </row>
    <row r="9484" spans="3:3" x14ac:dyDescent="0.25">
      <c r="C9484" s="1"/>
    </row>
    <row r="9485" spans="3:3" x14ac:dyDescent="0.25">
      <c r="C9485" s="1"/>
    </row>
    <row r="9486" spans="3:3" x14ac:dyDescent="0.25">
      <c r="C9486" s="1"/>
    </row>
    <row r="9487" spans="3:3" x14ac:dyDescent="0.25">
      <c r="C9487" s="1"/>
    </row>
    <row r="9488" spans="3:3" x14ac:dyDescent="0.25">
      <c r="C9488" s="1"/>
    </row>
    <row r="9489" spans="3:3" x14ac:dyDescent="0.25">
      <c r="C9489" s="1"/>
    </row>
    <row r="9490" spans="3:3" x14ac:dyDescent="0.25">
      <c r="C9490" s="1"/>
    </row>
    <row r="9491" spans="3:3" x14ac:dyDescent="0.25">
      <c r="C9491" s="1"/>
    </row>
    <row r="9492" spans="3:3" x14ac:dyDescent="0.25">
      <c r="C9492" s="1"/>
    </row>
    <row r="9493" spans="3:3" x14ac:dyDescent="0.25">
      <c r="C9493" s="1"/>
    </row>
    <row r="9494" spans="3:3" x14ac:dyDescent="0.25">
      <c r="C9494" s="1"/>
    </row>
    <row r="9495" spans="3:3" x14ac:dyDescent="0.25">
      <c r="C9495" s="1"/>
    </row>
    <row r="9496" spans="3:3" x14ac:dyDescent="0.25">
      <c r="C9496" s="1"/>
    </row>
    <row r="9497" spans="3:3" x14ac:dyDescent="0.25">
      <c r="C9497" s="1"/>
    </row>
    <row r="9498" spans="3:3" x14ac:dyDescent="0.25">
      <c r="C9498" s="1"/>
    </row>
    <row r="9499" spans="3:3" x14ac:dyDescent="0.25">
      <c r="C9499" s="1"/>
    </row>
    <row r="9500" spans="3:3" x14ac:dyDescent="0.25">
      <c r="C9500" s="1"/>
    </row>
    <row r="9501" spans="3:3" x14ac:dyDescent="0.25">
      <c r="C9501" s="1"/>
    </row>
    <row r="9502" spans="3:3" x14ac:dyDescent="0.25">
      <c r="C9502" s="1"/>
    </row>
    <row r="9503" spans="3:3" x14ac:dyDescent="0.25">
      <c r="C9503" s="1"/>
    </row>
    <row r="9504" spans="3:3" x14ac:dyDescent="0.25">
      <c r="C9504" s="1"/>
    </row>
    <row r="9505" spans="3:3" x14ac:dyDescent="0.25">
      <c r="C9505" s="1"/>
    </row>
    <row r="9506" spans="3:3" x14ac:dyDescent="0.25">
      <c r="C9506" s="1"/>
    </row>
    <row r="9507" spans="3:3" x14ac:dyDescent="0.25">
      <c r="C9507" s="1"/>
    </row>
    <row r="9508" spans="3:3" x14ac:dyDescent="0.25">
      <c r="C9508" s="1"/>
    </row>
    <row r="9509" spans="3:3" x14ac:dyDescent="0.25">
      <c r="C9509" s="1"/>
    </row>
    <row r="9510" spans="3:3" x14ac:dyDescent="0.25">
      <c r="C9510" s="1"/>
    </row>
    <row r="9511" spans="3:3" x14ac:dyDescent="0.25">
      <c r="C9511" s="1"/>
    </row>
    <row r="9512" spans="3:3" x14ac:dyDescent="0.25">
      <c r="C9512" s="1"/>
    </row>
    <row r="9513" spans="3:3" x14ac:dyDescent="0.25">
      <c r="C9513" s="1"/>
    </row>
    <row r="9514" spans="3:3" x14ac:dyDescent="0.25">
      <c r="C9514" s="1"/>
    </row>
    <row r="9515" spans="3:3" x14ac:dyDescent="0.25">
      <c r="C9515" s="1"/>
    </row>
    <row r="9516" spans="3:3" x14ac:dyDescent="0.25">
      <c r="C9516" s="1"/>
    </row>
    <row r="9517" spans="3:3" x14ac:dyDescent="0.25">
      <c r="C9517" s="1"/>
    </row>
    <row r="9518" spans="3:3" x14ac:dyDescent="0.25">
      <c r="C9518" s="1"/>
    </row>
    <row r="9519" spans="3:3" x14ac:dyDescent="0.25">
      <c r="C9519" s="1"/>
    </row>
    <row r="9520" spans="3:3" x14ac:dyDescent="0.25">
      <c r="C9520" s="1"/>
    </row>
    <row r="9521" spans="3:3" x14ac:dyDescent="0.25">
      <c r="C9521" s="1"/>
    </row>
    <row r="9522" spans="3:3" x14ac:dyDescent="0.25">
      <c r="C9522" s="1"/>
    </row>
    <row r="9523" spans="3:3" x14ac:dyDescent="0.25">
      <c r="C9523" s="1"/>
    </row>
    <row r="9524" spans="3:3" x14ac:dyDescent="0.25">
      <c r="C9524" s="1"/>
    </row>
    <row r="9525" spans="3:3" x14ac:dyDescent="0.25">
      <c r="C9525" s="1"/>
    </row>
    <row r="9526" spans="3:3" x14ac:dyDescent="0.25">
      <c r="C9526" s="1"/>
    </row>
    <row r="9527" spans="3:3" x14ac:dyDescent="0.25">
      <c r="C9527" s="1"/>
    </row>
    <row r="9528" spans="3:3" x14ac:dyDescent="0.25">
      <c r="C9528" s="1"/>
    </row>
    <row r="9529" spans="3:3" x14ac:dyDescent="0.25">
      <c r="C9529" s="1"/>
    </row>
    <row r="9530" spans="3:3" x14ac:dyDescent="0.25">
      <c r="C9530" s="1"/>
    </row>
    <row r="9531" spans="3:3" x14ac:dyDescent="0.25">
      <c r="C9531" s="1"/>
    </row>
    <row r="9532" spans="3:3" x14ac:dyDescent="0.25">
      <c r="C9532" s="1"/>
    </row>
    <row r="9533" spans="3:3" x14ac:dyDescent="0.25">
      <c r="C9533" s="1"/>
    </row>
    <row r="9534" spans="3:3" x14ac:dyDescent="0.25">
      <c r="C9534" s="1"/>
    </row>
    <row r="9535" spans="3:3" x14ac:dyDescent="0.25">
      <c r="C9535" s="1"/>
    </row>
    <row r="9536" spans="3:3" x14ac:dyDescent="0.25">
      <c r="C9536" s="1"/>
    </row>
    <row r="9537" spans="3:3" x14ac:dyDescent="0.25">
      <c r="C9537" s="1"/>
    </row>
    <row r="9538" spans="3:3" x14ac:dyDescent="0.25">
      <c r="C9538" s="1"/>
    </row>
    <row r="9539" spans="3:3" x14ac:dyDescent="0.25">
      <c r="C9539" s="1"/>
    </row>
    <row r="9540" spans="3:3" x14ac:dyDescent="0.25">
      <c r="C9540" s="1"/>
    </row>
    <row r="9541" spans="3:3" x14ac:dyDescent="0.25">
      <c r="C9541" s="1"/>
    </row>
    <row r="9542" spans="3:3" x14ac:dyDescent="0.25">
      <c r="C9542" s="1"/>
    </row>
    <row r="9543" spans="3:3" x14ac:dyDescent="0.25">
      <c r="C9543" s="1"/>
    </row>
    <row r="9544" spans="3:3" x14ac:dyDescent="0.25">
      <c r="C9544" s="1"/>
    </row>
    <row r="9545" spans="3:3" x14ac:dyDescent="0.25">
      <c r="C9545" s="1"/>
    </row>
    <row r="9546" spans="3:3" x14ac:dyDescent="0.25">
      <c r="C9546" s="1"/>
    </row>
    <row r="9547" spans="3:3" x14ac:dyDescent="0.25">
      <c r="C9547" s="1"/>
    </row>
    <row r="9548" spans="3:3" x14ac:dyDescent="0.25">
      <c r="C9548" s="1"/>
    </row>
    <row r="9549" spans="3:3" x14ac:dyDescent="0.25">
      <c r="C9549" s="1"/>
    </row>
    <row r="9550" spans="3:3" x14ac:dyDescent="0.25">
      <c r="C9550" s="1"/>
    </row>
    <row r="9551" spans="3:3" x14ac:dyDescent="0.25">
      <c r="C9551" s="1"/>
    </row>
    <row r="9552" spans="3:3" x14ac:dyDescent="0.25">
      <c r="C9552" s="1"/>
    </row>
    <row r="9553" spans="3:3" x14ac:dyDescent="0.25">
      <c r="C9553" s="1"/>
    </row>
    <row r="9554" spans="3:3" x14ac:dyDescent="0.25">
      <c r="C9554" s="1"/>
    </row>
    <row r="9555" spans="3:3" x14ac:dyDescent="0.25">
      <c r="C9555" s="1"/>
    </row>
    <row r="9556" spans="3:3" x14ac:dyDescent="0.25">
      <c r="C9556" s="1"/>
    </row>
    <row r="9557" spans="3:3" x14ac:dyDescent="0.25">
      <c r="C9557" s="1"/>
    </row>
    <row r="9558" spans="3:3" x14ac:dyDescent="0.25">
      <c r="C9558" s="1"/>
    </row>
    <row r="9559" spans="3:3" x14ac:dyDescent="0.25">
      <c r="C9559" s="1"/>
    </row>
    <row r="9560" spans="3:3" x14ac:dyDescent="0.25">
      <c r="C9560" s="1"/>
    </row>
    <row r="9561" spans="3:3" x14ac:dyDescent="0.25">
      <c r="C9561" s="1"/>
    </row>
    <row r="9562" spans="3:3" x14ac:dyDescent="0.25">
      <c r="C9562" s="1"/>
    </row>
    <row r="9563" spans="3:3" x14ac:dyDescent="0.25">
      <c r="C9563" s="1"/>
    </row>
    <row r="9564" spans="3:3" x14ac:dyDescent="0.25">
      <c r="C9564" s="1"/>
    </row>
    <row r="9565" spans="3:3" x14ac:dyDescent="0.25">
      <c r="C9565" s="1"/>
    </row>
    <row r="9566" spans="3:3" x14ac:dyDescent="0.25">
      <c r="C9566" s="1"/>
    </row>
    <row r="9567" spans="3:3" x14ac:dyDescent="0.25">
      <c r="C9567" s="1"/>
    </row>
    <row r="9568" spans="3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3:3" x14ac:dyDescent="0.25">
      <c r="C9585" s="1"/>
    </row>
    <row r="9586" spans="3:3" x14ac:dyDescent="0.25">
      <c r="C9586" s="1"/>
    </row>
    <row r="9587" spans="3:3" x14ac:dyDescent="0.25">
      <c r="C9587" s="1"/>
    </row>
    <row r="9588" spans="3:3" x14ac:dyDescent="0.25">
      <c r="C9588" s="1"/>
    </row>
    <row r="9589" spans="3:3" x14ac:dyDescent="0.25">
      <c r="C9589" s="1"/>
    </row>
    <row r="9590" spans="3:3" x14ac:dyDescent="0.25">
      <c r="C9590" s="1"/>
    </row>
    <row r="9591" spans="3:3" x14ac:dyDescent="0.25">
      <c r="C9591" s="1"/>
    </row>
    <row r="9592" spans="3:3" x14ac:dyDescent="0.25">
      <c r="C9592" s="1"/>
    </row>
    <row r="9593" spans="3:3" x14ac:dyDescent="0.25">
      <c r="C9593" s="1"/>
    </row>
    <row r="9594" spans="3:3" x14ac:dyDescent="0.25">
      <c r="C9594" s="1"/>
    </row>
    <row r="9595" spans="3:3" x14ac:dyDescent="0.25">
      <c r="C9595" s="1"/>
    </row>
    <row r="9596" spans="3:3" x14ac:dyDescent="0.25">
      <c r="C9596" s="1"/>
    </row>
    <row r="9597" spans="3:3" x14ac:dyDescent="0.25">
      <c r="C9597" s="1"/>
    </row>
    <row r="9598" spans="3:3" x14ac:dyDescent="0.25">
      <c r="C9598" s="1"/>
    </row>
    <row r="9599" spans="3:3" x14ac:dyDescent="0.25">
      <c r="C9599" s="1"/>
    </row>
    <row r="9600" spans="3:3" x14ac:dyDescent="0.25"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3:3" x14ac:dyDescent="0.25">
      <c r="C9617" s="1"/>
    </row>
    <row r="9618" spans="3:3" x14ac:dyDescent="0.25">
      <c r="C9618" s="1"/>
    </row>
    <row r="9619" spans="3:3" x14ac:dyDescent="0.25">
      <c r="C9619" s="1"/>
    </row>
    <row r="9620" spans="3:3" x14ac:dyDescent="0.25">
      <c r="C9620" s="1"/>
    </row>
    <row r="9621" spans="3:3" x14ac:dyDescent="0.25">
      <c r="C9621" s="1"/>
    </row>
    <row r="9622" spans="3:3" x14ac:dyDescent="0.25">
      <c r="C9622" s="1"/>
    </row>
    <row r="9623" spans="3:3" x14ac:dyDescent="0.25">
      <c r="C9623" s="1"/>
    </row>
    <row r="9624" spans="3:3" x14ac:dyDescent="0.25">
      <c r="C9624" s="1"/>
    </row>
    <row r="9625" spans="3:3" x14ac:dyDescent="0.25">
      <c r="C9625" s="1"/>
    </row>
    <row r="9626" spans="3:3" x14ac:dyDescent="0.25">
      <c r="C9626" s="1"/>
    </row>
    <row r="9627" spans="3:3" x14ac:dyDescent="0.25">
      <c r="C9627" s="1"/>
    </row>
    <row r="9628" spans="3:3" x14ac:dyDescent="0.25">
      <c r="C9628" s="1"/>
    </row>
    <row r="9629" spans="3:3" x14ac:dyDescent="0.25">
      <c r="C9629" s="1"/>
    </row>
    <row r="9630" spans="3:3" x14ac:dyDescent="0.25">
      <c r="C9630" s="1"/>
    </row>
    <row r="9631" spans="3:3" x14ac:dyDescent="0.25">
      <c r="C9631" s="1"/>
    </row>
    <row r="9632" spans="3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3:3" x14ac:dyDescent="0.25">
      <c r="C9665" s="1"/>
    </row>
    <row r="9666" spans="3:3" x14ac:dyDescent="0.25">
      <c r="C9666" s="1"/>
    </row>
    <row r="9667" spans="3:3" x14ac:dyDescent="0.25">
      <c r="C9667" s="1"/>
    </row>
    <row r="9668" spans="3:3" x14ac:dyDescent="0.25">
      <c r="C9668" s="1"/>
    </row>
    <row r="9669" spans="3:3" x14ac:dyDescent="0.25">
      <c r="C9669" s="1"/>
    </row>
    <row r="9670" spans="3:3" x14ac:dyDescent="0.25">
      <c r="C9670" s="1"/>
    </row>
    <row r="9671" spans="3:3" x14ac:dyDescent="0.25">
      <c r="C9671" s="1"/>
    </row>
    <row r="9672" spans="3:3" x14ac:dyDescent="0.25">
      <c r="C9672" s="1"/>
    </row>
    <row r="9673" spans="3:3" x14ac:dyDescent="0.25">
      <c r="C9673" s="1"/>
    </row>
    <row r="9674" spans="3:3" x14ac:dyDescent="0.25">
      <c r="C9674" s="1"/>
    </row>
    <row r="9675" spans="3:3" x14ac:dyDescent="0.25">
      <c r="C9675" s="1"/>
    </row>
    <row r="9676" spans="3:3" x14ac:dyDescent="0.25">
      <c r="C9676" s="1"/>
    </row>
    <row r="9677" spans="3:3" x14ac:dyDescent="0.25">
      <c r="C9677" s="1"/>
    </row>
    <row r="9678" spans="3:3" x14ac:dyDescent="0.25">
      <c r="C9678" s="1"/>
    </row>
    <row r="9679" spans="3:3" x14ac:dyDescent="0.25">
      <c r="C9679" s="1"/>
    </row>
    <row r="9680" spans="3:3" x14ac:dyDescent="0.25">
      <c r="C9680" s="1"/>
    </row>
    <row r="9681" spans="3:3" x14ac:dyDescent="0.25">
      <c r="C9681" s="1"/>
    </row>
    <row r="9682" spans="3:3" x14ac:dyDescent="0.25">
      <c r="C9682" s="1"/>
    </row>
    <row r="9683" spans="3:3" x14ac:dyDescent="0.25">
      <c r="C9683" s="1"/>
    </row>
    <row r="9684" spans="3:3" x14ac:dyDescent="0.25">
      <c r="C9684" s="1"/>
    </row>
    <row r="9685" spans="3:3" x14ac:dyDescent="0.25">
      <c r="C9685" s="1"/>
    </row>
    <row r="9686" spans="3:3" x14ac:dyDescent="0.25">
      <c r="C9686" s="1"/>
    </row>
    <row r="9687" spans="3:3" x14ac:dyDescent="0.25">
      <c r="C9687" s="1"/>
    </row>
    <row r="9688" spans="3:3" x14ac:dyDescent="0.25">
      <c r="C9688" s="1"/>
    </row>
    <row r="9689" spans="3:3" x14ac:dyDescent="0.25">
      <c r="C9689" s="1"/>
    </row>
    <row r="9690" spans="3:3" x14ac:dyDescent="0.25">
      <c r="C9690" s="1"/>
    </row>
    <row r="9691" spans="3:3" x14ac:dyDescent="0.25">
      <c r="C9691" s="1"/>
    </row>
    <row r="9692" spans="3:3" x14ac:dyDescent="0.25">
      <c r="C9692" s="1"/>
    </row>
    <row r="9693" spans="3:3" x14ac:dyDescent="0.25">
      <c r="C9693" s="1"/>
    </row>
    <row r="9694" spans="3:3" x14ac:dyDescent="0.25">
      <c r="C9694" s="1"/>
    </row>
    <row r="9695" spans="3:3" x14ac:dyDescent="0.25">
      <c r="C9695" s="1"/>
    </row>
    <row r="9696" spans="3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3:3" x14ac:dyDescent="0.25">
      <c r="C9713" s="1"/>
    </row>
    <row r="9714" spans="3:3" x14ac:dyDescent="0.25">
      <c r="C9714" s="1"/>
    </row>
    <row r="9715" spans="3:3" x14ac:dyDescent="0.25">
      <c r="C9715" s="1"/>
    </row>
    <row r="9716" spans="3:3" x14ac:dyDescent="0.25">
      <c r="C9716" s="1"/>
    </row>
    <row r="9717" spans="3:3" x14ac:dyDescent="0.25">
      <c r="C9717" s="1"/>
    </row>
    <row r="9718" spans="3:3" x14ac:dyDescent="0.25">
      <c r="C9718" s="1"/>
    </row>
    <row r="9719" spans="3:3" x14ac:dyDescent="0.25">
      <c r="C9719" s="1"/>
    </row>
    <row r="9720" spans="3:3" x14ac:dyDescent="0.25">
      <c r="C9720" s="1"/>
    </row>
    <row r="9721" spans="3:3" x14ac:dyDescent="0.25">
      <c r="C9721" s="1"/>
    </row>
    <row r="9722" spans="3:3" x14ac:dyDescent="0.25">
      <c r="C9722" s="1"/>
    </row>
    <row r="9723" spans="3:3" x14ac:dyDescent="0.25">
      <c r="C9723" s="1"/>
    </row>
    <row r="9724" spans="3:3" x14ac:dyDescent="0.25">
      <c r="C9724" s="1"/>
    </row>
    <row r="9725" spans="3:3" x14ac:dyDescent="0.25">
      <c r="C9725" s="1"/>
    </row>
    <row r="9726" spans="3:3" x14ac:dyDescent="0.25">
      <c r="C9726" s="1"/>
    </row>
    <row r="9727" spans="3:3" x14ac:dyDescent="0.25">
      <c r="C9727" s="1"/>
    </row>
    <row r="9728" spans="3:3" x14ac:dyDescent="0.25">
      <c r="C9728" s="1"/>
    </row>
    <row r="9729" spans="3:3" x14ac:dyDescent="0.25">
      <c r="C9729" s="1"/>
    </row>
    <row r="9730" spans="3:3" x14ac:dyDescent="0.25">
      <c r="C9730" s="1"/>
    </row>
    <row r="9731" spans="3:3" x14ac:dyDescent="0.25">
      <c r="C9731" s="1"/>
    </row>
    <row r="9732" spans="3:3" x14ac:dyDescent="0.25">
      <c r="C9732" s="1"/>
    </row>
    <row r="9733" spans="3:3" x14ac:dyDescent="0.25">
      <c r="C9733" s="1"/>
    </row>
    <row r="9734" spans="3:3" x14ac:dyDescent="0.25">
      <c r="C9734" s="1"/>
    </row>
    <row r="9735" spans="3:3" x14ac:dyDescent="0.25">
      <c r="C9735" s="1"/>
    </row>
    <row r="9736" spans="3:3" x14ac:dyDescent="0.25">
      <c r="C9736" s="1"/>
    </row>
    <row r="9737" spans="3:3" x14ac:dyDescent="0.25">
      <c r="C9737" s="1"/>
    </row>
    <row r="9738" spans="3:3" x14ac:dyDescent="0.25">
      <c r="C9738" s="1"/>
    </row>
    <row r="9739" spans="3:3" x14ac:dyDescent="0.25">
      <c r="C9739" s="1"/>
    </row>
    <row r="9740" spans="3:3" x14ac:dyDescent="0.25">
      <c r="C9740" s="1"/>
    </row>
    <row r="9741" spans="3:3" x14ac:dyDescent="0.25">
      <c r="C9741" s="1"/>
    </row>
    <row r="9742" spans="3:3" x14ac:dyDescent="0.25">
      <c r="C9742" s="1"/>
    </row>
    <row r="9743" spans="3:3" x14ac:dyDescent="0.25">
      <c r="C9743" s="1"/>
    </row>
    <row r="9744" spans="3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3:3" x14ac:dyDescent="0.25">
      <c r="C9761" s="1"/>
    </row>
    <row r="9762" spans="3:3" x14ac:dyDescent="0.25">
      <c r="C9762" s="1"/>
    </row>
    <row r="9763" spans="3:3" x14ac:dyDescent="0.25">
      <c r="C9763" s="1"/>
    </row>
    <row r="9764" spans="3:3" x14ac:dyDescent="0.25">
      <c r="C9764" s="1"/>
    </row>
    <row r="9765" spans="3:3" x14ac:dyDescent="0.25">
      <c r="C9765" s="1"/>
    </row>
    <row r="9766" spans="3:3" x14ac:dyDescent="0.25">
      <c r="C9766" s="1"/>
    </row>
    <row r="9767" spans="3:3" x14ac:dyDescent="0.25">
      <c r="C9767" s="1"/>
    </row>
    <row r="9768" spans="3:3" x14ac:dyDescent="0.25">
      <c r="C9768" s="1"/>
    </row>
    <row r="9769" spans="3:3" x14ac:dyDescent="0.25">
      <c r="C9769" s="1"/>
    </row>
    <row r="9770" spans="3:3" x14ac:dyDescent="0.25">
      <c r="C9770" s="1"/>
    </row>
    <row r="9771" spans="3:3" x14ac:dyDescent="0.25">
      <c r="C9771" s="1"/>
    </row>
    <row r="9772" spans="3:3" x14ac:dyDescent="0.25">
      <c r="C9772" s="1"/>
    </row>
    <row r="9773" spans="3:3" x14ac:dyDescent="0.25">
      <c r="C9773" s="1"/>
    </row>
    <row r="9774" spans="3:3" x14ac:dyDescent="0.25">
      <c r="C9774" s="1"/>
    </row>
    <row r="9775" spans="3:3" x14ac:dyDescent="0.25">
      <c r="C9775" s="1"/>
    </row>
    <row r="9776" spans="3:3" x14ac:dyDescent="0.25">
      <c r="C9776" s="1"/>
    </row>
    <row r="9777" spans="3:3" x14ac:dyDescent="0.25">
      <c r="C9777" s="1"/>
    </row>
    <row r="9778" spans="3:3" x14ac:dyDescent="0.25">
      <c r="C9778" s="1"/>
    </row>
    <row r="9779" spans="3:3" x14ac:dyDescent="0.25">
      <c r="C9779" s="1"/>
    </row>
    <row r="9780" spans="3:3" x14ac:dyDescent="0.25">
      <c r="C9780" s="1"/>
    </row>
    <row r="9781" spans="3:3" x14ac:dyDescent="0.25">
      <c r="C9781" s="1"/>
    </row>
    <row r="9782" spans="3:3" x14ac:dyDescent="0.25">
      <c r="C9782" s="1"/>
    </row>
    <row r="9783" spans="3:3" x14ac:dyDescent="0.25">
      <c r="C9783" s="1"/>
    </row>
    <row r="9784" spans="3:3" x14ac:dyDescent="0.25">
      <c r="C9784" s="1"/>
    </row>
    <row r="9785" spans="3:3" x14ac:dyDescent="0.25">
      <c r="C9785" s="1"/>
    </row>
    <row r="9786" spans="3:3" x14ac:dyDescent="0.25">
      <c r="C9786" s="1"/>
    </row>
    <row r="9787" spans="3:3" x14ac:dyDescent="0.25">
      <c r="C9787" s="1"/>
    </row>
    <row r="9788" spans="3:3" x14ac:dyDescent="0.25">
      <c r="C9788" s="1"/>
    </row>
    <row r="9789" spans="3:3" x14ac:dyDescent="0.25">
      <c r="C9789" s="1"/>
    </row>
    <row r="9790" spans="3:3" x14ac:dyDescent="0.25">
      <c r="C9790" s="1"/>
    </row>
    <row r="9791" spans="3:3" x14ac:dyDescent="0.25">
      <c r="C9791" s="1"/>
    </row>
    <row r="9792" spans="3:3" x14ac:dyDescent="0.25">
      <c r="C9792" s="1"/>
    </row>
    <row r="9793" spans="3:3" x14ac:dyDescent="0.25">
      <c r="C9793" s="1"/>
    </row>
    <row r="9794" spans="3:3" x14ac:dyDescent="0.25">
      <c r="C9794" s="1"/>
    </row>
    <row r="9795" spans="3:3" x14ac:dyDescent="0.25">
      <c r="C9795" s="1"/>
    </row>
    <row r="9796" spans="3:3" x14ac:dyDescent="0.25">
      <c r="C9796" s="1"/>
    </row>
    <row r="9797" spans="3:3" x14ac:dyDescent="0.25">
      <c r="C9797" s="1"/>
    </row>
    <row r="9798" spans="3:3" x14ac:dyDescent="0.25">
      <c r="C9798" s="1"/>
    </row>
    <row r="9799" spans="3:3" x14ac:dyDescent="0.25">
      <c r="C9799" s="1"/>
    </row>
    <row r="9800" spans="3:3" x14ac:dyDescent="0.25">
      <c r="C9800" s="1"/>
    </row>
    <row r="9801" spans="3:3" x14ac:dyDescent="0.25">
      <c r="C9801" s="1"/>
    </row>
    <row r="9802" spans="3:3" x14ac:dyDescent="0.25">
      <c r="C9802" s="1"/>
    </row>
    <row r="9803" spans="3:3" x14ac:dyDescent="0.25">
      <c r="C9803" s="1"/>
    </row>
    <row r="9804" spans="3:3" x14ac:dyDescent="0.25">
      <c r="C9804" s="1"/>
    </row>
    <row r="9805" spans="3:3" x14ac:dyDescent="0.25">
      <c r="C9805" s="1"/>
    </row>
    <row r="9806" spans="3:3" x14ac:dyDescent="0.25">
      <c r="C9806" s="1"/>
    </row>
    <row r="9807" spans="3:3" x14ac:dyDescent="0.25">
      <c r="C9807" s="1"/>
    </row>
    <row r="9808" spans="3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3:3" x14ac:dyDescent="0.25">
      <c r="C9825" s="1"/>
    </row>
    <row r="9826" spans="3:3" x14ac:dyDescent="0.25">
      <c r="C9826" s="1"/>
    </row>
    <row r="9827" spans="3:3" x14ac:dyDescent="0.25">
      <c r="C9827" s="1"/>
    </row>
    <row r="9828" spans="3:3" x14ac:dyDescent="0.25">
      <c r="C9828" s="1"/>
    </row>
    <row r="9829" spans="3:3" x14ac:dyDescent="0.25">
      <c r="C9829" s="1"/>
    </row>
    <row r="9830" spans="3:3" x14ac:dyDescent="0.25">
      <c r="C9830" s="1"/>
    </row>
    <row r="9831" spans="3:3" x14ac:dyDescent="0.25">
      <c r="C9831" s="1"/>
    </row>
    <row r="9832" spans="3:3" x14ac:dyDescent="0.25">
      <c r="C9832" s="1"/>
    </row>
    <row r="9833" spans="3:3" x14ac:dyDescent="0.25">
      <c r="C9833" s="1"/>
    </row>
    <row r="9834" spans="3:3" x14ac:dyDescent="0.25">
      <c r="C9834" s="1"/>
    </row>
    <row r="9835" spans="3:3" x14ac:dyDescent="0.25">
      <c r="C9835" s="1"/>
    </row>
    <row r="9836" spans="3:3" x14ac:dyDescent="0.25">
      <c r="C9836" s="1"/>
    </row>
    <row r="9837" spans="3:3" x14ac:dyDescent="0.25">
      <c r="C9837" s="1"/>
    </row>
    <row r="9838" spans="3:3" x14ac:dyDescent="0.25">
      <c r="C9838" s="1"/>
    </row>
    <row r="9839" spans="3:3" x14ac:dyDescent="0.25">
      <c r="C9839" s="1"/>
    </row>
    <row r="9840" spans="3:3" x14ac:dyDescent="0.25">
      <c r="C9840" s="1"/>
    </row>
    <row r="9841" spans="3:3" x14ac:dyDescent="0.25">
      <c r="C9841" s="1"/>
    </row>
    <row r="9842" spans="3:3" x14ac:dyDescent="0.25">
      <c r="C9842" s="1"/>
    </row>
    <row r="9843" spans="3:3" x14ac:dyDescent="0.25">
      <c r="C9843" s="1"/>
    </row>
    <row r="9844" spans="3:3" x14ac:dyDescent="0.25">
      <c r="C9844" s="1"/>
    </row>
    <row r="9845" spans="3:3" x14ac:dyDescent="0.25">
      <c r="C9845" s="1"/>
    </row>
    <row r="9846" spans="3:3" x14ac:dyDescent="0.25">
      <c r="C9846" s="1"/>
    </row>
    <row r="9847" spans="3:3" x14ac:dyDescent="0.25">
      <c r="C9847" s="1"/>
    </row>
    <row r="9848" spans="3:3" x14ac:dyDescent="0.25">
      <c r="C9848" s="1"/>
    </row>
    <row r="9849" spans="3:3" x14ac:dyDescent="0.25">
      <c r="C9849" s="1"/>
    </row>
    <row r="9850" spans="3:3" x14ac:dyDescent="0.25">
      <c r="C9850" s="1"/>
    </row>
    <row r="9851" spans="3:3" x14ac:dyDescent="0.25">
      <c r="C9851" s="1"/>
    </row>
    <row r="9852" spans="3:3" x14ac:dyDescent="0.25">
      <c r="C9852" s="1"/>
    </row>
    <row r="9853" spans="3:3" x14ac:dyDescent="0.25">
      <c r="C9853" s="1"/>
    </row>
    <row r="9854" spans="3:3" x14ac:dyDescent="0.25">
      <c r="C9854" s="1"/>
    </row>
    <row r="9855" spans="3:3" x14ac:dyDescent="0.25">
      <c r="C9855" s="1"/>
    </row>
    <row r="9856" spans="3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2" spans="3:3" x14ac:dyDescent="0.25">
      <c r="C9872" s="1"/>
    </row>
    <row r="9873" spans="3:3" x14ac:dyDescent="0.25">
      <c r="C9873" s="1"/>
    </row>
    <row r="9874" spans="3:3" x14ac:dyDescent="0.25">
      <c r="C9874" s="1"/>
    </row>
    <row r="9875" spans="3:3" x14ac:dyDescent="0.25">
      <c r="C9875" s="1"/>
    </row>
    <row r="9876" spans="3:3" x14ac:dyDescent="0.25">
      <c r="C9876" s="1"/>
    </row>
    <row r="9877" spans="3:3" x14ac:dyDescent="0.25">
      <c r="C9877" s="1"/>
    </row>
    <row r="9878" spans="3:3" x14ac:dyDescent="0.25">
      <c r="C9878" s="1"/>
    </row>
    <row r="9879" spans="3:3" x14ac:dyDescent="0.25">
      <c r="C9879" s="1"/>
    </row>
    <row r="9880" spans="3:3" x14ac:dyDescent="0.25">
      <c r="C9880" s="1"/>
    </row>
    <row r="9881" spans="3:3" x14ac:dyDescent="0.25">
      <c r="C9881" s="1"/>
    </row>
    <row r="9882" spans="3:3" x14ac:dyDescent="0.25">
      <c r="C9882" s="1"/>
    </row>
    <row r="9883" spans="3:3" x14ac:dyDescent="0.25">
      <c r="C9883" s="1"/>
    </row>
    <row r="9884" spans="3:3" x14ac:dyDescent="0.25">
      <c r="C9884" s="1"/>
    </row>
    <row r="9885" spans="3:3" x14ac:dyDescent="0.25">
      <c r="C9885" s="1"/>
    </row>
    <row r="9886" spans="3:3" x14ac:dyDescent="0.25">
      <c r="C9886" s="1"/>
    </row>
    <row r="9887" spans="3:3" x14ac:dyDescent="0.25">
      <c r="C9887" s="1"/>
    </row>
    <row r="9888" spans="3:3" x14ac:dyDescent="0.25">
      <c r="C9888" s="1"/>
    </row>
    <row r="9889" spans="3:3" x14ac:dyDescent="0.25">
      <c r="C9889" s="1"/>
    </row>
    <row r="9890" spans="3:3" x14ac:dyDescent="0.25">
      <c r="C9890" s="1"/>
    </row>
    <row r="9891" spans="3:3" x14ac:dyDescent="0.25">
      <c r="C9891" s="1"/>
    </row>
    <row r="9892" spans="3:3" x14ac:dyDescent="0.25">
      <c r="C9892" s="1"/>
    </row>
    <row r="9893" spans="3:3" x14ac:dyDescent="0.25">
      <c r="C9893" s="1"/>
    </row>
    <row r="9894" spans="3:3" x14ac:dyDescent="0.25">
      <c r="C9894" s="1"/>
    </row>
    <row r="9895" spans="3:3" x14ac:dyDescent="0.25">
      <c r="C9895" s="1"/>
    </row>
    <row r="9896" spans="3:3" x14ac:dyDescent="0.25">
      <c r="C9896" s="1"/>
    </row>
    <row r="9897" spans="3:3" x14ac:dyDescent="0.25">
      <c r="C9897" s="1"/>
    </row>
    <row r="9898" spans="3:3" x14ac:dyDescent="0.25">
      <c r="C9898" s="1"/>
    </row>
    <row r="9899" spans="3:3" x14ac:dyDescent="0.25">
      <c r="C9899" s="1"/>
    </row>
    <row r="9900" spans="3:3" x14ac:dyDescent="0.25">
      <c r="C9900" s="1"/>
    </row>
    <row r="9901" spans="3:3" x14ac:dyDescent="0.25">
      <c r="C9901" s="1"/>
    </row>
    <row r="9902" spans="3:3" x14ac:dyDescent="0.25">
      <c r="C9902" s="1"/>
    </row>
    <row r="9903" spans="3:3" x14ac:dyDescent="0.25">
      <c r="C9903" s="1"/>
    </row>
    <row r="9904" spans="3:3" x14ac:dyDescent="0.25">
      <c r="C9904" s="1"/>
    </row>
    <row r="9905" spans="3:3" x14ac:dyDescent="0.25">
      <c r="C9905" s="1"/>
    </row>
    <row r="9906" spans="3:3" x14ac:dyDescent="0.25">
      <c r="C9906" s="1"/>
    </row>
    <row r="9907" spans="3:3" x14ac:dyDescent="0.25">
      <c r="C9907" s="1"/>
    </row>
    <row r="9908" spans="3:3" x14ac:dyDescent="0.25">
      <c r="C9908" s="1"/>
    </row>
    <row r="9909" spans="3:3" x14ac:dyDescent="0.25">
      <c r="C9909" s="1"/>
    </row>
    <row r="9910" spans="3:3" x14ac:dyDescent="0.25">
      <c r="C9910" s="1"/>
    </row>
    <row r="9911" spans="3:3" x14ac:dyDescent="0.25">
      <c r="C9911" s="1"/>
    </row>
    <row r="9912" spans="3:3" x14ac:dyDescent="0.25">
      <c r="C9912" s="1"/>
    </row>
    <row r="9913" spans="3:3" x14ac:dyDescent="0.25">
      <c r="C9913" s="1"/>
    </row>
    <row r="9914" spans="3:3" x14ac:dyDescent="0.25">
      <c r="C9914" s="1"/>
    </row>
    <row r="9915" spans="3:3" x14ac:dyDescent="0.25">
      <c r="C9915" s="1"/>
    </row>
    <row r="9916" spans="3:3" x14ac:dyDescent="0.25">
      <c r="C9916" s="1"/>
    </row>
    <row r="9917" spans="3:3" x14ac:dyDescent="0.25">
      <c r="C9917" s="1"/>
    </row>
    <row r="9918" spans="3:3" x14ac:dyDescent="0.25">
      <c r="C9918" s="1"/>
    </row>
    <row r="9919" spans="3:3" x14ac:dyDescent="0.25">
      <c r="C9919" s="1"/>
    </row>
    <row r="9920" spans="3:3" x14ac:dyDescent="0.25"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3:3" x14ac:dyDescent="0.25">
      <c r="C9937" s="1"/>
    </row>
    <row r="9938" spans="3:3" x14ac:dyDescent="0.25">
      <c r="C9938" s="1"/>
    </row>
    <row r="9939" spans="3:3" x14ac:dyDescent="0.25">
      <c r="C9939" s="1"/>
    </row>
    <row r="9940" spans="3:3" x14ac:dyDescent="0.25">
      <c r="C9940" s="1"/>
    </row>
    <row r="9941" spans="3:3" x14ac:dyDescent="0.25">
      <c r="C9941" s="1"/>
    </row>
    <row r="9942" spans="3:3" x14ac:dyDescent="0.25">
      <c r="C9942" s="1"/>
    </row>
    <row r="9943" spans="3:3" x14ac:dyDescent="0.25">
      <c r="C9943" s="1"/>
    </row>
    <row r="9944" spans="3:3" x14ac:dyDescent="0.25">
      <c r="C9944" s="1"/>
    </row>
    <row r="9945" spans="3:3" x14ac:dyDescent="0.25">
      <c r="C9945" s="1"/>
    </row>
    <row r="9946" spans="3:3" x14ac:dyDescent="0.25">
      <c r="C9946" s="1"/>
    </row>
    <row r="9947" spans="3:3" x14ac:dyDescent="0.25">
      <c r="C9947" s="1"/>
    </row>
    <row r="9948" spans="3:3" x14ac:dyDescent="0.25">
      <c r="C9948" s="1"/>
    </row>
    <row r="9949" spans="3:3" x14ac:dyDescent="0.25">
      <c r="C9949" s="1"/>
    </row>
    <row r="9950" spans="3:3" x14ac:dyDescent="0.25">
      <c r="C9950" s="1"/>
    </row>
    <row r="9951" spans="3:3" x14ac:dyDescent="0.25">
      <c r="C9951" s="1"/>
    </row>
    <row r="9952" spans="3:3" x14ac:dyDescent="0.25">
      <c r="C9952" s="1"/>
    </row>
    <row r="9953" spans="3:3" x14ac:dyDescent="0.25">
      <c r="C9953" s="1"/>
    </row>
    <row r="9954" spans="3:3" x14ac:dyDescent="0.25">
      <c r="C9954" s="1"/>
    </row>
    <row r="9955" spans="3:3" x14ac:dyDescent="0.25">
      <c r="C9955" s="1"/>
    </row>
    <row r="9956" spans="3:3" x14ac:dyDescent="0.25">
      <c r="C9956" s="1"/>
    </row>
    <row r="9957" spans="3:3" x14ac:dyDescent="0.25">
      <c r="C9957" s="1"/>
    </row>
    <row r="9958" spans="3:3" x14ac:dyDescent="0.25">
      <c r="C9958" s="1"/>
    </row>
    <row r="9959" spans="3:3" x14ac:dyDescent="0.25">
      <c r="C9959" s="1"/>
    </row>
    <row r="9960" spans="3:3" x14ac:dyDescent="0.25">
      <c r="C9960" s="1"/>
    </row>
    <row r="9961" spans="3:3" x14ac:dyDescent="0.25">
      <c r="C9961" s="1"/>
    </row>
    <row r="9962" spans="3:3" x14ac:dyDescent="0.25">
      <c r="C9962" s="1"/>
    </row>
    <row r="9963" spans="3:3" x14ac:dyDescent="0.25">
      <c r="C9963" s="1"/>
    </row>
    <row r="9964" spans="3:3" x14ac:dyDescent="0.25">
      <c r="C9964" s="1"/>
    </row>
    <row r="9965" spans="3:3" x14ac:dyDescent="0.25">
      <c r="C9965" s="1"/>
    </row>
    <row r="9966" spans="3:3" x14ac:dyDescent="0.25">
      <c r="C9966" s="1"/>
    </row>
    <row r="9967" spans="3:3" x14ac:dyDescent="0.25">
      <c r="C9967" s="1"/>
    </row>
    <row r="9968" spans="3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3:3" x14ac:dyDescent="0.25">
      <c r="C9985" s="1"/>
    </row>
    <row r="9986" spans="3:3" x14ac:dyDescent="0.25">
      <c r="C9986" s="1"/>
    </row>
    <row r="9987" spans="3:3" x14ac:dyDescent="0.25">
      <c r="C9987" s="1"/>
    </row>
    <row r="9988" spans="3:3" x14ac:dyDescent="0.25">
      <c r="C9988" s="1"/>
    </row>
    <row r="9989" spans="3:3" x14ac:dyDescent="0.25">
      <c r="C9989" s="1"/>
    </row>
    <row r="9990" spans="3:3" x14ac:dyDescent="0.25">
      <c r="C9990" s="1"/>
    </row>
    <row r="9991" spans="3:3" x14ac:dyDescent="0.25">
      <c r="C9991" s="1"/>
    </row>
    <row r="9992" spans="3:3" x14ac:dyDescent="0.25">
      <c r="C9992" s="1"/>
    </row>
    <row r="9993" spans="3:3" x14ac:dyDescent="0.25">
      <c r="C9993" s="1"/>
    </row>
    <row r="9994" spans="3:3" x14ac:dyDescent="0.25">
      <c r="C9994" s="1"/>
    </row>
    <row r="9995" spans="3:3" x14ac:dyDescent="0.25">
      <c r="C9995" s="1"/>
    </row>
    <row r="9996" spans="3:3" x14ac:dyDescent="0.25">
      <c r="C9996" s="1"/>
    </row>
    <row r="9997" spans="3:3" x14ac:dyDescent="0.25">
      <c r="C9997" s="1"/>
    </row>
    <row r="9998" spans="3:3" x14ac:dyDescent="0.25">
      <c r="C9998" s="1"/>
    </row>
    <row r="9999" spans="3:3" x14ac:dyDescent="0.25">
      <c r="C9999" s="1"/>
    </row>
    <row r="10000" spans="3:3" x14ac:dyDescent="0.25">
      <c r="C10000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D147C-F845-466F-87E0-065C05608D38}">
  <sheetPr codeName="Hoja3"/>
  <dimension ref="A1:W106"/>
  <sheetViews>
    <sheetView zoomScaleNormal="100" workbookViewId="0">
      <selection activeCell="A6" sqref="A6"/>
    </sheetView>
  </sheetViews>
  <sheetFormatPr baseColWidth="10" defaultRowHeight="15" x14ac:dyDescent="0.25"/>
  <cols>
    <col min="2" max="2" width="14.7109375" customWidth="1"/>
    <col min="4" max="4" width="11.7109375" customWidth="1"/>
    <col min="9" max="9" width="11.7109375" bestFit="1" customWidth="1"/>
    <col min="12" max="12" width="15.42578125" customWidth="1"/>
    <col min="13" max="13" width="18.85546875" bestFit="1" customWidth="1"/>
  </cols>
  <sheetData>
    <row r="1" spans="1:23" ht="30.75" thickBot="1" x14ac:dyDescent="0.3">
      <c r="A1" s="10"/>
      <c r="B1" s="11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11" t="s">
        <v>60</v>
      </c>
      <c r="H1" s="11" t="s">
        <v>61</v>
      </c>
      <c r="I1" s="11" t="s">
        <v>62</v>
      </c>
      <c r="J1" s="11" t="s">
        <v>63</v>
      </c>
      <c r="K1" s="11" t="s">
        <v>53</v>
      </c>
      <c r="L1" s="11" t="s">
        <v>5</v>
      </c>
    </row>
    <row r="2" spans="1:23" ht="15.75" thickTop="1" x14ac:dyDescent="0.25">
      <c r="A2" s="12" t="s">
        <v>0</v>
      </c>
      <c r="B2" s="13" t="s">
        <v>65</v>
      </c>
      <c r="C2" s="13" t="s">
        <v>1</v>
      </c>
      <c r="D2" s="14">
        <v>45941</v>
      </c>
      <c r="E2" s="14"/>
      <c r="F2" s="14"/>
      <c r="G2" s="13">
        <v>0</v>
      </c>
      <c r="H2" s="13">
        <v>999</v>
      </c>
      <c r="I2" s="13">
        <v>0</v>
      </c>
      <c r="J2" s="13">
        <v>9.9990000000000006</v>
      </c>
      <c r="K2" s="13"/>
      <c r="L2" s="13" t="s">
        <v>66</v>
      </c>
    </row>
    <row r="5" spans="1:23" x14ac:dyDescent="0.25">
      <c r="A5" t="str" cm="1">
        <f t="array" ref="A5:W106">GetSetStockAvi(A2,B2,C2,D2,G2,H2,I2,J2)</f>
        <v>fecha_stock</v>
      </c>
      <c r="B5" t="str">
        <v>granja_lote_nave_art</v>
      </c>
      <c r="C5" t="str">
        <v>articulo</v>
      </c>
      <c r="D5" t="str">
        <v>stock_inicial</v>
      </c>
      <c r="E5" t="str">
        <v>producto_venta</v>
      </c>
      <c r="F5" t="str">
        <v>dias_vida</v>
      </c>
      <c r="G5" t="str">
        <v>cantidad_entrada</v>
      </c>
      <c r="H5" t="str">
        <v>estado</v>
      </c>
      <c r="I5" t="str">
        <v>peso_real</v>
      </c>
      <c r="J5" t="str">
        <v>peso_real_rev</v>
      </c>
      <c r="K5" t="str">
        <v>peso_teorico</v>
      </c>
      <c r="L5" t="str">
        <v>cantidad_entrada</v>
      </c>
      <c r="M5" t="str">
        <v>ventas_acumuladas</v>
      </c>
      <c r="N5" t="str">
        <v>bajas_acumuladas</v>
      </c>
      <c r="O5" t="str">
        <v>bajas_teoricas</v>
      </c>
      <c r="P5" t="str">
        <v>stock_nave</v>
      </c>
      <c r="Q5" t="str">
        <v>kilos_nave</v>
      </c>
      <c r="R5" t="str">
        <v>capacidad_nave</v>
      </c>
      <c r="S5" t="str">
        <v>densidad_nave</v>
      </c>
      <c r="T5" t="str">
        <v>kgm2_nave</v>
      </c>
      <c r="U5" t="str">
        <v>capacidad_nave</v>
      </c>
      <c r="V5" t="str">
        <v>m2_nave</v>
      </c>
      <c r="W5" t="str">
        <v>granja</v>
      </c>
    </row>
    <row r="6" spans="1:23" x14ac:dyDescent="0.25">
      <c r="A6" t="str">
        <v>2025-10-11</v>
      </c>
      <c r="B6" t="str">
        <v>36993-SENDRA-FIGUERAS, SCP-1,2,3-L:012-N:1-A:A15-POLLO AMARILLO MIXTO</v>
      </c>
      <c r="C6" t="str">
        <v>POLLO AMARILLO MIXTO</v>
      </c>
      <c r="D6">
        <v>4522</v>
      </c>
      <c r="E6" t="str">
        <v>Broiler Amarillo</v>
      </c>
      <c r="F6">
        <v>60</v>
      </c>
      <c r="G6">
        <v>0</v>
      </c>
      <c r="H6" t="str">
        <v>Abierto</v>
      </c>
      <c r="I6">
        <v>4.165</v>
      </c>
      <c r="J6">
        <v>4.3492899999999999</v>
      </c>
      <c r="K6">
        <v>3.5990000000000002</v>
      </c>
      <c r="L6">
        <v>4700</v>
      </c>
      <c r="M6">
        <v>0</v>
      </c>
      <c r="N6">
        <v>175</v>
      </c>
      <c r="O6">
        <v>175</v>
      </c>
      <c r="P6">
        <v>4522</v>
      </c>
      <c r="Q6">
        <v>18834.13</v>
      </c>
      <c r="R6">
        <v>0.93045267489711936</v>
      </c>
      <c r="S6">
        <v>74.150118110236221</v>
      </c>
      <c r="T6">
        <v>74.150118110236221</v>
      </c>
      <c r="U6">
        <v>0.93045</v>
      </c>
      <c r="V6">
        <v>254</v>
      </c>
      <c r="W6" t="str">
        <v>36993-SENDRA-FIGUERAS, SCP-1,2,3</v>
      </c>
    </row>
    <row r="7" spans="1:23" x14ac:dyDescent="0.25">
      <c r="A7" t="str">
        <v>2025-10-11</v>
      </c>
      <c r="B7" t="str">
        <v>36057-CRAVICOL, SL-L:007-N:2-A:A13-POLLO AMARILLO MACHO</v>
      </c>
      <c r="C7" t="str">
        <v>POLLO AMARILLO MACHO</v>
      </c>
      <c r="D7">
        <v>10734</v>
      </c>
      <c r="E7" t="str">
        <v>Broiler Amarillo</v>
      </c>
      <c r="F7">
        <v>47</v>
      </c>
      <c r="G7">
        <v>0</v>
      </c>
      <c r="H7" t="str">
        <v>Abierto</v>
      </c>
      <c r="I7">
        <v>3.6900200000000001</v>
      </c>
      <c r="J7">
        <v>3.76153</v>
      </c>
      <c r="K7">
        <v>3.0950000000000002</v>
      </c>
      <c r="L7">
        <v>21000</v>
      </c>
      <c r="M7">
        <v>-9975</v>
      </c>
      <c r="N7">
        <v>288</v>
      </c>
      <c r="O7">
        <v>288</v>
      </c>
      <c r="P7">
        <v>22013</v>
      </c>
      <c r="Q7">
        <v>79506.22</v>
      </c>
      <c r="R7">
        <v>0.96000872219799394</v>
      </c>
      <c r="S7">
        <v>62.406766091051807</v>
      </c>
      <c r="T7">
        <v>62.406766091051807</v>
      </c>
      <c r="U7">
        <v>0.96001000000000003</v>
      </c>
      <c r="V7">
        <v>1274</v>
      </c>
      <c r="W7" t="str">
        <v>36057-CRAVICOL, SL</v>
      </c>
    </row>
    <row r="8" spans="1:23" x14ac:dyDescent="0.25">
      <c r="A8" t="str">
        <v>2025-10-11</v>
      </c>
      <c r="B8" t="str">
        <v>36026-TOMAS AURO SEBASTIAN-L:025-N:2-A:A15-POLLO AMARILLO MIXTO</v>
      </c>
      <c r="C8" t="str">
        <v>POLLO AMARILLO MIXTO</v>
      </c>
      <c r="D8">
        <v>17605</v>
      </c>
      <c r="E8" t="str">
        <v>Broiler Amarillo</v>
      </c>
      <c r="F8">
        <v>54</v>
      </c>
      <c r="G8">
        <v>0</v>
      </c>
      <c r="H8" t="str">
        <v>Abierto</v>
      </c>
      <c r="I8">
        <v>3.6789999999999998</v>
      </c>
      <c r="J8">
        <v>3.77447</v>
      </c>
      <c r="K8">
        <v>3.2930000000000001</v>
      </c>
      <c r="L8">
        <v>35820</v>
      </c>
      <c r="M8">
        <v>-17593</v>
      </c>
      <c r="N8">
        <v>619</v>
      </c>
      <c r="O8">
        <v>619</v>
      </c>
      <c r="P8">
        <v>17605</v>
      </c>
      <c r="Q8">
        <v>64768.794999999998</v>
      </c>
      <c r="R8">
        <v>0.97990649003673602</v>
      </c>
      <c r="S8">
        <v>61.102636792452827</v>
      </c>
      <c r="T8">
        <v>61.102636792452827</v>
      </c>
      <c r="U8">
        <v>0.97990999999999995</v>
      </c>
      <c r="V8">
        <v>1060</v>
      </c>
      <c r="W8" t="str">
        <v>36026-TOMAS AURO SEBASTIAN</v>
      </c>
    </row>
    <row r="9" spans="1:23" x14ac:dyDescent="0.25">
      <c r="A9" t="str">
        <v>2025-10-11</v>
      </c>
      <c r="B9" t="str">
        <v>36057-CRAVICOL, SL-L:007-N:3-A:A13-POLLO AMARILLO MACHO</v>
      </c>
      <c r="C9" t="str">
        <v>POLLO AMARILLO MACHO</v>
      </c>
      <c r="D9">
        <v>13963</v>
      </c>
      <c r="E9" t="str">
        <v>Broiler Amarillo</v>
      </c>
      <c r="F9">
        <v>47</v>
      </c>
      <c r="G9">
        <v>0</v>
      </c>
      <c r="H9" t="str">
        <v>Abierto</v>
      </c>
      <c r="I9">
        <v>3.6709900000000002</v>
      </c>
      <c r="J9">
        <v>3.7611599999999998</v>
      </c>
      <c r="K9">
        <v>3.0950000000000002</v>
      </c>
      <c r="L9">
        <v>26200</v>
      </c>
      <c r="M9">
        <v>-11765</v>
      </c>
      <c r="N9">
        <v>469</v>
      </c>
      <c r="O9">
        <v>469</v>
      </c>
      <c r="P9">
        <v>27241</v>
      </c>
      <c r="Q9">
        <v>97541.29</v>
      </c>
      <c r="R9">
        <v>0.94586805555555553</v>
      </c>
      <c r="S9">
        <v>60.963306250000002</v>
      </c>
      <c r="T9">
        <v>60.963306250000002</v>
      </c>
      <c r="U9">
        <v>0.94586999999999999</v>
      </c>
      <c r="V9">
        <v>1600</v>
      </c>
      <c r="W9" t="str">
        <v>36057-CRAVICOL, SL</v>
      </c>
    </row>
    <row r="10" spans="1:23" x14ac:dyDescent="0.25">
      <c r="A10" t="str">
        <v>2025-10-11</v>
      </c>
      <c r="B10" t="str">
        <v>36026-TOMAS AURO SEBASTIAN-L:025-N:1-A:A15-POLLO AMARILLO MIXTO</v>
      </c>
      <c r="C10" t="str">
        <v>POLLO AMARILLO MIXTO</v>
      </c>
      <c r="D10">
        <v>23064</v>
      </c>
      <c r="E10" t="str">
        <v>Broiler Amarillo</v>
      </c>
      <c r="F10">
        <v>54</v>
      </c>
      <c r="G10">
        <v>0</v>
      </c>
      <c r="H10" t="str">
        <v>Abierto</v>
      </c>
      <c r="I10">
        <v>3.6579999999999999</v>
      </c>
      <c r="J10">
        <v>3.7356799999999999</v>
      </c>
      <c r="K10">
        <v>3.2930000000000001</v>
      </c>
      <c r="L10">
        <v>43920</v>
      </c>
      <c r="M10">
        <v>-20671</v>
      </c>
      <c r="N10">
        <v>182</v>
      </c>
      <c r="O10">
        <v>182</v>
      </c>
      <c r="P10">
        <v>23064</v>
      </c>
      <c r="Q10">
        <v>84368.111999999994</v>
      </c>
      <c r="R10">
        <v>1.0467459380956703</v>
      </c>
      <c r="S10">
        <v>64.898547692307687</v>
      </c>
      <c r="T10">
        <v>64.898547692307687</v>
      </c>
      <c r="U10">
        <v>1.0467500000000001</v>
      </c>
      <c r="V10">
        <v>1300</v>
      </c>
      <c r="W10" t="str">
        <v>36026-TOMAS AURO SEBASTIAN</v>
      </c>
    </row>
    <row r="11" spans="1:23" x14ac:dyDescent="0.25">
      <c r="A11" t="str">
        <v>2025-10-11</v>
      </c>
      <c r="B11" t="str">
        <v>36057-CRAVICOL, SL-L:007-N:2-A:A14-POLLO AMARILLO HEMBRAS</v>
      </c>
      <c r="C11" t="str">
        <v>POLLO AMARILLO HEMBRAS</v>
      </c>
      <c r="D11">
        <v>11279</v>
      </c>
      <c r="E11" t="str">
        <v>Broiler Amarillo</v>
      </c>
      <c r="F11">
        <v>47</v>
      </c>
      <c r="G11">
        <v>0</v>
      </c>
      <c r="H11" t="str">
        <v>Abierto</v>
      </c>
      <c r="I11">
        <v>3.5373299999999999</v>
      </c>
      <c r="J11">
        <v>3.6370800000000001</v>
      </c>
      <c r="K11">
        <v>2.6230000000000002</v>
      </c>
      <c r="L11">
        <v>21800</v>
      </c>
      <c r="M11">
        <v>-10484</v>
      </c>
      <c r="N11">
        <v>34</v>
      </c>
      <c r="O11">
        <v>34</v>
      </c>
      <c r="P11">
        <v>22013</v>
      </c>
      <c r="Q11">
        <v>79506.22</v>
      </c>
      <c r="R11">
        <v>0.96000872219799394</v>
      </c>
      <c r="S11">
        <v>62.406766091051807</v>
      </c>
      <c r="T11">
        <v>62.406766091051807</v>
      </c>
      <c r="U11">
        <v>0.96001000000000003</v>
      </c>
      <c r="V11">
        <v>1274</v>
      </c>
      <c r="W11" t="str">
        <v>36057-CRAVICOL, SL</v>
      </c>
    </row>
    <row r="12" spans="1:23" x14ac:dyDescent="0.25">
      <c r="A12" t="str">
        <v>2025-10-11</v>
      </c>
      <c r="B12" t="str">
        <v>36057-CRAVICOL, SL-L:007-N:3-A:A14-POLLO AMARILLO HEMBRAS</v>
      </c>
      <c r="C12" t="str">
        <v>POLLO AMARILLO HEMBRAS</v>
      </c>
      <c r="D12">
        <v>13278</v>
      </c>
      <c r="E12" t="str">
        <v>Broiler Amarillo</v>
      </c>
      <c r="F12">
        <v>47</v>
      </c>
      <c r="G12">
        <v>0</v>
      </c>
      <c r="H12" t="str">
        <v>Abierto</v>
      </c>
      <c r="I12">
        <v>3.4857100000000001</v>
      </c>
      <c r="J12">
        <v>3.6081599999999998</v>
      </c>
      <c r="K12">
        <v>2.6230000000000002</v>
      </c>
      <c r="L12">
        <v>26200</v>
      </c>
      <c r="M12">
        <v>-12450</v>
      </c>
      <c r="N12">
        <v>469</v>
      </c>
      <c r="O12">
        <v>469</v>
      </c>
      <c r="P12">
        <v>27241</v>
      </c>
      <c r="Q12">
        <v>97541.29</v>
      </c>
      <c r="R12">
        <v>0.94586805555555553</v>
      </c>
      <c r="S12">
        <v>60.963306250000002</v>
      </c>
      <c r="T12">
        <v>60.963306250000002</v>
      </c>
      <c r="U12">
        <v>0.94586999999999999</v>
      </c>
      <c r="V12">
        <v>1600</v>
      </c>
      <c r="W12" t="str">
        <v>36057-CRAVICOL, SL</v>
      </c>
    </row>
    <row r="13" spans="1:23" x14ac:dyDescent="0.25">
      <c r="A13" t="str">
        <v>2025-10-11</v>
      </c>
      <c r="B13" t="str">
        <v>36882-PONS TORRADES, JOSEP MA -villar--L:062-N:1-A:A15-POLLO AMARILLO MIXTO</v>
      </c>
      <c r="C13" t="str">
        <v>POLLO AMARILLO MIXTO</v>
      </c>
      <c r="D13">
        <v>15851</v>
      </c>
      <c r="E13" t="str">
        <v>Broiler Amarillo</v>
      </c>
      <c r="F13">
        <v>45</v>
      </c>
      <c r="G13">
        <v>0</v>
      </c>
      <c r="H13" t="str">
        <v>Abierto</v>
      </c>
      <c r="I13">
        <v>3.2594799999999999</v>
      </c>
      <c r="J13">
        <v>3.3288899999999999</v>
      </c>
      <c r="K13">
        <v>2.7149999999999999</v>
      </c>
      <c r="L13">
        <v>32000</v>
      </c>
      <c r="M13">
        <v>-15565</v>
      </c>
      <c r="N13">
        <v>569</v>
      </c>
      <c r="O13">
        <v>569</v>
      </c>
      <c r="P13">
        <v>15851</v>
      </c>
      <c r="Q13">
        <v>51666.017</v>
      </c>
      <c r="R13">
        <v>0.93241176470588238</v>
      </c>
      <c r="S13">
        <v>49.205730476190475</v>
      </c>
      <c r="T13">
        <v>49.205730476190475</v>
      </c>
      <c r="U13">
        <v>0.93240999999999996</v>
      </c>
      <c r="V13">
        <v>1050</v>
      </c>
      <c r="W13" t="str">
        <v>36882-PONS TORRADES, JOSEP MA -villar-</v>
      </c>
    </row>
    <row r="14" spans="1:23" x14ac:dyDescent="0.25">
      <c r="A14" t="str">
        <v>2025-10-11</v>
      </c>
      <c r="B14" t="str">
        <v>36001-RIERA CONDAL, JOSEP-L:031-N:1-A:A13-POLLO AMARILLO MACHO</v>
      </c>
      <c r="C14" t="str">
        <v>POLLO AMARILLO MACHO</v>
      </c>
      <c r="D14">
        <v>35497</v>
      </c>
      <c r="E14" t="str">
        <v>Broiler Amarillo</v>
      </c>
      <c r="F14">
        <v>40</v>
      </c>
      <c r="G14">
        <v>0</v>
      </c>
      <c r="H14" t="str">
        <v>Abierto</v>
      </c>
      <c r="I14">
        <v>2.8639999999999999</v>
      </c>
      <c r="J14">
        <v>2.92604</v>
      </c>
      <c r="K14">
        <v>2.5</v>
      </c>
      <c r="L14">
        <v>36000</v>
      </c>
      <c r="M14">
        <v>0</v>
      </c>
      <c r="N14">
        <v>500</v>
      </c>
      <c r="O14">
        <v>622</v>
      </c>
      <c r="P14">
        <v>56997</v>
      </c>
      <c r="Q14">
        <v>157907.408</v>
      </c>
      <c r="R14">
        <v>1.7324316109422493</v>
      </c>
      <c r="S14">
        <v>77.405592156862738</v>
      </c>
      <c r="T14">
        <v>77.405592156862738</v>
      </c>
      <c r="U14">
        <v>1.7324299999999999</v>
      </c>
      <c r="V14">
        <v>2040</v>
      </c>
      <c r="W14" t="str">
        <v>36001-RIERA CONDAL, JOSEP</v>
      </c>
    </row>
    <row r="15" spans="1:23" x14ac:dyDescent="0.25">
      <c r="A15" t="str">
        <v>2025-10-11</v>
      </c>
      <c r="B15" t="str">
        <v>36001-RIERA CONDAL, JOSEP-L:031-N:1-A:A14-POLLO AMARILLO HEMBRAS</v>
      </c>
      <c r="C15" t="str">
        <v>POLLO AMARILLO HEMBRAS</v>
      </c>
      <c r="D15">
        <v>21500</v>
      </c>
      <c r="E15" t="str">
        <v>Broiler Amarillo</v>
      </c>
      <c r="F15">
        <v>40</v>
      </c>
      <c r="G15">
        <v>0</v>
      </c>
      <c r="H15" t="str">
        <v>Abierto</v>
      </c>
      <c r="I15">
        <v>2.6160000000000001</v>
      </c>
      <c r="J15">
        <v>2.6865299999999999</v>
      </c>
      <c r="K15">
        <v>2.1579999999999999</v>
      </c>
      <c r="L15">
        <v>36000</v>
      </c>
      <c r="M15">
        <v>-13997</v>
      </c>
      <c r="N15">
        <v>500</v>
      </c>
      <c r="O15">
        <v>622</v>
      </c>
      <c r="P15">
        <v>56997</v>
      </c>
      <c r="Q15">
        <v>157907.408</v>
      </c>
      <c r="R15">
        <v>1.7324316109422493</v>
      </c>
      <c r="S15">
        <v>77.405592156862738</v>
      </c>
      <c r="T15">
        <v>77.405592156862738</v>
      </c>
      <c r="U15">
        <v>1.7324299999999999</v>
      </c>
      <c r="V15">
        <v>2040</v>
      </c>
      <c r="W15" t="str">
        <v>36001-RIERA CONDAL, JOSEP</v>
      </c>
    </row>
    <row r="16" spans="1:23" x14ac:dyDescent="0.25">
      <c r="A16" t="str">
        <v>2025-10-11</v>
      </c>
      <c r="B16" t="str">
        <v>36865-LA TORRETA PECUARIA SLU-L:074-N:6-A:A13-POLLO AMARILLO MACHO</v>
      </c>
      <c r="C16" t="str">
        <v>POLLO AMARILLO MACHO</v>
      </c>
      <c r="D16">
        <v>25078</v>
      </c>
      <c r="E16" t="str">
        <v>Broiler Amarillo</v>
      </c>
      <c r="F16">
        <v>36</v>
      </c>
      <c r="G16">
        <v>0</v>
      </c>
      <c r="H16" t="str">
        <v>Abierto</v>
      </c>
      <c r="I16">
        <v>2.33</v>
      </c>
      <c r="J16">
        <v>2.33</v>
      </c>
      <c r="K16">
        <v>2.1360000000000001</v>
      </c>
      <c r="L16">
        <v>33400</v>
      </c>
      <c r="M16">
        <v>-8069</v>
      </c>
      <c r="N16">
        <v>250</v>
      </c>
      <c r="O16">
        <v>570</v>
      </c>
      <c r="P16">
        <v>58225</v>
      </c>
      <c r="Q16">
        <v>128703.38</v>
      </c>
      <c r="R16">
        <v>1.7680908566396405</v>
      </c>
      <c r="S16">
        <v>71.501877777777779</v>
      </c>
      <c r="T16">
        <v>71.501877777777779</v>
      </c>
      <c r="U16">
        <v>1.7680899999999999</v>
      </c>
      <c r="V16">
        <v>1800</v>
      </c>
      <c r="W16" t="str">
        <v>36865-LA TORRETA PECUARIA SLU</v>
      </c>
    </row>
    <row r="17" spans="1:23" x14ac:dyDescent="0.25">
      <c r="A17" t="str">
        <v>2025-10-11</v>
      </c>
      <c r="B17" t="str">
        <v>36865-LA TORRETA PECUARIA SLU-L:074-N:5-A:A13-POLLO AMARILLO MACHO</v>
      </c>
      <c r="C17" t="str">
        <v>POLLO AMARILLO MACHO</v>
      </c>
      <c r="D17">
        <v>25142</v>
      </c>
      <c r="E17" t="str">
        <v>Broiler Amarillo</v>
      </c>
      <c r="F17">
        <v>36</v>
      </c>
      <c r="G17">
        <v>0</v>
      </c>
      <c r="H17" t="str">
        <v>Abierto</v>
      </c>
      <c r="I17">
        <v>2.31</v>
      </c>
      <c r="J17">
        <v>2.31</v>
      </c>
      <c r="K17">
        <v>2.1360000000000001</v>
      </c>
      <c r="L17">
        <v>33400</v>
      </c>
      <c r="M17">
        <v>-7925</v>
      </c>
      <c r="N17">
        <v>330</v>
      </c>
      <c r="O17">
        <v>570</v>
      </c>
      <c r="P17">
        <v>51361</v>
      </c>
      <c r="Q17">
        <v>113400.11</v>
      </c>
      <c r="R17">
        <v>1.5596550362879962</v>
      </c>
      <c r="S17">
        <v>63.000061111111108</v>
      </c>
      <c r="T17">
        <v>63.000061111111108</v>
      </c>
      <c r="U17">
        <v>1.55966</v>
      </c>
      <c r="V17">
        <v>1800</v>
      </c>
      <c r="W17" t="str">
        <v>36865-LA TORRETA PECUARIA SLU</v>
      </c>
    </row>
    <row r="18" spans="1:23" x14ac:dyDescent="0.25">
      <c r="A18" t="str">
        <v>2025-10-11</v>
      </c>
      <c r="B18" t="str">
        <v>36865-LA TORRETA PECUARIA SLU-L:074-N:4-A:A13-POLLO AMARILLO MACHO</v>
      </c>
      <c r="C18" t="str">
        <v>POLLO AMARILLO MACHO</v>
      </c>
      <c r="D18">
        <v>16297</v>
      </c>
      <c r="E18" t="str">
        <v>Broiler Amarillo</v>
      </c>
      <c r="F18">
        <v>37</v>
      </c>
      <c r="G18">
        <v>0</v>
      </c>
      <c r="H18" t="str">
        <v>Abierto</v>
      </c>
      <c r="I18">
        <v>2.2400000000000002</v>
      </c>
      <c r="J18">
        <v>2.3209</v>
      </c>
      <c r="K18">
        <v>2.2280000000000002</v>
      </c>
      <c r="L18">
        <v>32600</v>
      </c>
      <c r="M18">
        <v>0</v>
      </c>
      <c r="N18">
        <v>16300</v>
      </c>
      <c r="O18">
        <v>410</v>
      </c>
      <c r="P18">
        <v>32597</v>
      </c>
      <c r="Q18">
        <v>68176.179999999993</v>
      </c>
      <c r="R18">
        <v>0.9898575810027026</v>
      </c>
      <c r="S18">
        <v>37.875655555555554</v>
      </c>
      <c r="T18">
        <v>37.875655555555554</v>
      </c>
      <c r="U18">
        <v>0.98985999999999996</v>
      </c>
      <c r="V18">
        <v>1800</v>
      </c>
      <c r="W18" t="str">
        <v>36865-LA TORRETA PECUARIA SLU</v>
      </c>
    </row>
    <row r="19" spans="1:23" x14ac:dyDescent="0.25">
      <c r="A19" t="str">
        <v>2025-10-11</v>
      </c>
      <c r="B19" t="str">
        <v>36865-LA TORRETA PECUARIA SLU-L:074-N:6-A:A14-POLLO AMARILLO HEMBRAS</v>
      </c>
      <c r="C19" t="str">
        <v>POLLO AMARILLO HEMBRAS</v>
      </c>
      <c r="D19">
        <v>33147</v>
      </c>
      <c r="E19" t="str">
        <v>Broiler Amarillo</v>
      </c>
      <c r="F19">
        <v>36</v>
      </c>
      <c r="G19">
        <v>0</v>
      </c>
      <c r="H19" t="str">
        <v>Abierto</v>
      </c>
      <c r="I19">
        <v>2.12</v>
      </c>
      <c r="J19">
        <v>2.12</v>
      </c>
      <c r="K19">
        <v>1.87</v>
      </c>
      <c r="L19">
        <v>33400</v>
      </c>
      <c r="M19">
        <v>0</v>
      </c>
      <c r="N19">
        <v>250</v>
      </c>
      <c r="O19">
        <v>570</v>
      </c>
      <c r="P19">
        <v>58225</v>
      </c>
      <c r="Q19">
        <v>128703.38</v>
      </c>
      <c r="R19">
        <v>1.7680908566396405</v>
      </c>
      <c r="S19">
        <v>71.501877777777779</v>
      </c>
      <c r="T19">
        <v>71.501877777777779</v>
      </c>
      <c r="U19">
        <v>1.7680899999999999</v>
      </c>
      <c r="V19">
        <v>1800</v>
      </c>
      <c r="W19" t="str">
        <v>36865-LA TORRETA PECUARIA SLU</v>
      </c>
    </row>
    <row r="20" spans="1:23" x14ac:dyDescent="0.25">
      <c r="A20" t="str">
        <v>2025-10-11</v>
      </c>
      <c r="B20" t="str">
        <v>36865-LA TORRETA PECUARIA SLU-L:074-N:5-A:A14-POLLO AMARILLO HEMBRAS</v>
      </c>
      <c r="C20" t="str">
        <v>POLLO AMARILLO HEMBRAS</v>
      </c>
      <c r="D20">
        <v>26219</v>
      </c>
      <c r="E20" t="str">
        <v>Broiler Amarillo</v>
      </c>
      <c r="F20">
        <v>36</v>
      </c>
      <c r="G20">
        <v>0</v>
      </c>
      <c r="H20" t="str">
        <v>Abierto</v>
      </c>
      <c r="I20">
        <v>2.11</v>
      </c>
      <c r="J20">
        <v>2.11</v>
      </c>
      <c r="K20">
        <v>1.87</v>
      </c>
      <c r="L20">
        <v>33400</v>
      </c>
      <c r="M20">
        <v>-6858</v>
      </c>
      <c r="N20">
        <v>320</v>
      </c>
      <c r="O20">
        <v>570</v>
      </c>
      <c r="P20">
        <v>51361</v>
      </c>
      <c r="Q20">
        <v>113400.11</v>
      </c>
      <c r="R20">
        <v>1.5596550362879962</v>
      </c>
      <c r="S20">
        <v>63.000061111111108</v>
      </c>
      <c r="T20">
        <v>63.000061111111108</v>
      </c>
      <c r="U20">
        <v>1.55966</v>
      </c>
      <c r="V20">
        <v>1800</v>
      </c>
      <c r="W20" t="str">
        <v>36865-LA TORRETA PECUARIA SLU</v>
      </c>
    </row>
    <row r="21" spans="1:23" x14ac:dyDescent="0.25">
      <c r="A21" t="str">
        <v>2025-10-11</v>
      </c>
      <c r="B21" t="str">
        <v>36029-CAMÍ DE FLIX - MATEU JOVE LLUIS-2-L:029-N:1-A:A13-POLLO AMARILLO MACHO</v>
      </c>
      <c r="C21" t="str">
        <v>POLLO AMARILLO MACHO</v>
      </c>
      <c r="D21">
        <v>8378</v>
      </c>
      <c r="E21" t="str">
        <v>Broiler Amarillo</v>
      </c>
      <c r="F21">
        <v>32</v>
      </c>
      <c r="G21">
        <v>0</v>
      </c>
      <c r="H21" t="str">
        <v>Abierto</v>
      </c>
      <c r="I21">
        <v>2.0190000000000001</v>
      </c>
      <c r="J21">
        <v>2.0467599999999999</v>
      </c>
      <c r="K21">
        <v>1.772</v>
      </c>
      <c r="L21">
        <v>8800</v>
      </c>
      <c r="M21">
        <v>0</v>
      </c>
      <c r="N21">
        <v>419</v>
      </c>
      <c r="O21">
        <v>7</v>
      </c>
      <c r="P21">
        <v>16776</v>
      </c>
      <c r="Q21">
        <v>32258.328000000001</v>
      </c>
      <c r="R21">
        <v>0.93200000000000005</v>
      </c>
      <c r="S21">
        <v>30.722217142857144</v>
      </c>
      <c r="T21">
        <v>30.722217142857144</v>
      </c>
      <c r="U21">
        <v>0.93200000000000005</v>
      </c>
      <c r="V21">
        <v>1050</v>
      </c>
      <c r="W21" t="str">
        <v>36029-CAMÍ DE FLIX - MATEU JOVE LLUIS-2</v>
      </c>
    </row>
    <row r="22" spans="1:23" x14ac:dyDescent="0.25">
      <c r="A22" t="str">
        <v>2025-10-11</v>
      </c>
      <c r="B22" t="str">
        <v>36015-GJA BAIGET - MATEU JOVE, LLUIS-1-L:030-N:1-A:A13-POLLO AMARILLO MACHO</v>
      </c>
      <c r="C22" t="str">
        <v>POLLO AMARILLO MACHO</v>
      </c>
      <c r="D22">
        <v>9470</v>
      </c>
      <c r="E22" t="str">
        <v>Broiler Amarillo</v>
      </c>
      <c r="F22">
        <v>32</v>
      </c>
      <c r="G22">
        <v>0</v>
      </c>
      <c r="H22" t="str">
        <v>Abierto</v>
      </c>
      <c r="I22">
        <v>2.0181100000000001</v>
      </c>
      <c r="J22">
        <v>2.0312800000000002</v>
      </c>
      <c r="K22">
        <v>1.772</v>
      </c>
      <c r="L22">
        <v>11600</v>
      </c>
      <c r="M22">
        <v>-1924</v>
      </c>
      <c r="N22">
        <v>203</v>
      </c>
      <c r="O22">
        <v>205</v>
      </c>
      <c r="P22">
        <v>14965</v>
      </c>
      <c r="Q22">
        <v>28519.107</v>
      </c>
      <c r="R22">
        <v>0.59860000000000002</v>
      </c>
      <c r="S22">
        <v>20.370790714285715</v>
      </c>
      <c r="T22">
        <v>20.370790714285715</v>
      </c>
      <c r="U22">
        <v>0.59860000000000002</v>
      </c>
      <c r="V22">
        <v>1400</v>
      </c>
      <c r="W22" t="str">
        <v>36015-GJA BAIGET - MATEU JOVE, LLUIS-1</v>
      </c>
    </row>
    <row r="23" spans="1:23" x14ac:dyDescent="0.25">
      <c r="A23" t="str">
        <v>2025-10-11</v>
      </c>
      <c r="B23" t="str">
        <v>36865-LA TORRETA PECUARIA SLU-L:074-N:4-A:A14-POLLO AMARILLO HEMBRAS</v>
      </c>
      <c r="C23" t="str">
        <v>POLLO AMARILLO HEMBRAS</v>
      </c>
      <c r="D23">
        <v>16300</v>
      </c>
      <c r="E23" t="str">
        <v>Broiler Amarillo</v>
      </c>
      <c r="F23">
        <v>37</v>
      </c>
      <c r="G23">
        <v>0</v>
      </c>
      <c r="H23" t="str">
        <v>Abierto</v>
      </c>
      <c r="I23">
        <v>1.9430000000000001</v>
      </c>
      <c r="J23">
        <v>1.9430000000000001</v>
      </c>
      <c r="K23">
        <v>1.9430000000000001</v>
      </c>
      <c r="L23">
        <v>32600</v>
      </c>
      <c r="M23">
        <v>0</v>
      </c>
      <c r="N23">
        <v>16300</v>
      </c>
      <c r="O23">
        <v>325</v>
      </c>
      <c r="P23">
        <v>32597</v>
      </c>
      <c r="Q23">
        <v>68176.179999999993</v>
      </c>
      <c r="R23">
        <v>0.9898575810027026</v>
      </c>
      <c r="S23">
        <v>37.875655555555554</v>
      </c>
      <c r="T23">
        <v>37.875655555555554</v>
      </c>
      <c r="U23">
        <v>0.98985999999999996</v>
      </c>
      <c r="V23">
        <v>1800</v>
      </c>
      <c r="W23" t="str">
        <v>36865-LA TORRETA PECUARIA SLU</v>
      </c>
    </row>
    <row r="24" spans="1:23" x14ac:dyDescent="0.25">
      <c r="A24" t="str">
        <v>2025-10-11</v>
      </c>
      <c r="B24" t="str">
        <v>36786-BONFILL SABATE JOAQUIN-L:089-N:2-A:A13-POLLO AMARILLO MACHO</v>
      </c>
      <c r="C24" t="str">
        <v>POLLO AMARILLO MACHO</v>
      </c>
      <c r="D24">
        <v>41405</v>
      </c>
      <c r="E24" t="str">
        <v>Broiler Amarillo</v>
      </c>
      <c r="F24">
        <v>33</v>
      </c>
      <c r="G24">
        <v>0</v>
      </c>
      <c r="H24" t="str">
        <v>Abierto</v>
      </c>
      <c r="I24">
        <v>1.923</v>
      </c>
      <c r="J24">
        <v>1.9372799999999999</v>
      </c>
      <c r="K24">
        <v>1.863</v>
      </c>
      <c r="L24">
        <v>42000</v>
      </c>
      <c r="M24">
        <v>0</v>
      </c>
      <c r="N24">
        <v>591</v>
      </c>
      <c r="O24">
        <v>87</v>
      </c>
      <c r="P24">
        <v>83236</v>
      </c>
      <c r="Q24">
        <v>152533.24799999999</v>
      </c>
      <c r="R24">
        <v>6.6060317460317464</v>
      </c>
      <c r="S24">
        <v>189.71797014925374</v>
      </c>
      <c r="T24">
        <v>189.71797014925374</v>
      </c>
      <c r="U24">
        <v>6.6060299999999996</v>
      </c>
      <c r="V24">
        <v>804</v>
      </c>
      <c r="W24" t="str">
        <v>36786-BONFILL SABATE JOAQUIN</v>
      </c>
    </row>
    <row r="25" spans="1:23" x14ac:dyDescent="0.25">
      <c r="A25" t="str">
        <v>2025-10-11</v>
      </c>
      <c r="B25" t="str">
        <v>36786-BONFILL SABATE JOAQUIN-L:089-N:1-A:A13-POLLO AMARILLO MACHO</v>
      </c>
      <c r="C25" t="str">
        <v>POLLO AMARILLO MACHO</v>
      </c>
      <c r="D25">
        <v>12388</v>
      </c>
      <c r="E25" t="str">
        <v>Broiler Amarillo</v>
      </c>
      <c r="F25">
        <v>33</v>
      </c>
      <c r="G25">
        <v>0</v>
      </c>
      <c r="H25" t="str">
        <v>Abierto</v>
      </c>
      <c r="I25">
        <v>1.9079999999999999</v>
      </c>
      <c r="J25">
        <v>1.9187000000000001</v>
      </c>
      <c r="K25">
        <v>1.863</v>
      </c>
      <c r="L25">
        <v>13000</v>
      </c>
      <c r="M25">
        <v>0</v>
      </c>
      <c r="N25">
        <v>606</v>
      </c>
      <c r="O25">
        <v>207</v>
      </c>
      <c r="P25">
        <v>25181</v>
      </c>
      <c r="Q25">
        <v>45806.572999999997</v>
      </c>
      <c r="R25">
        <v>0.59529550827423172</v>
      </c>
      <c r="S25">
        <v>16.965397407407409</v>
      </c>
      <c r="T25">
        <v>16.965397407407409</v>
      </c>
      <c r="U25">
        <v>0.59530000000000005</v>
      </c>
      <c r="V25">
        <v>2700</v>
      </c>
      <c r="W25" t="str">
        <v>36786-BONFILL SABATE JOAQUIN</v>
      </c>
    </row>
    <row r="26" spans="1:23" x14ac:dyDescent="0.25">
      <c r="A26" t="str">
        <v>2025-10-11</v>
      </c>
      <c r="B26" t="str">
        <v>36843-ESPINET SOLE, JOSEP MARIA-L:081-N:1-A:A13-POLLO AMARILLO MACHO</v>
      </c>
      <c r="C26" t="str">
        <v>POLLO AMARILLO MACHO</v>
      </c>
      <c r="D26">
        <v>13845</v>
      </c>
      <c r="E26" t="str">
        <v>Broiler Amarillo</v>
      </c>
      <c r="F26">
        <v>33</v>
      </c>
      <c r="G26">
        <v>0</v>
      </c>
      <c r="H26" t="str">
        <v>Abierto</v>
      </c>
      <c r="I26">
        <v>1.8580000000000001</v>
      </c>
      <c r="J26">
        <v>1.8568199999999999</v>
      </c>
      <c r="K26">
        <v>1.863</v>
      </c>
      <c r="L26">
        <v>14000</v>
      </c>
      <c r="M26">
        <v>0</v>
      </c>
      <c r="N26">
        <v>150</v>
      </c>
      <c r="O26">
        <v>222</v>
      </c>
      <c r="P26">
        <v>27713</v>
      </c>
      <c r="Q26">
        <v>49202.534</v>
      </c>
      <c r="R26">
        <v>2.0497781065088758</v>
      </c>
      <c r="S26">
        <v>54.068718681318678</v>
      </c>
      <c r="T26">
        <v>54.068718681318678</v>
      </c>
      <c r="U26">
        <v>2.0497800000000002</v>
      </c>
      <c r="V26">
        <v>910</v>
      </c>
      <c r="W26" t="str">
        <v>36843-ESPINET SOLE, JOSEP MARIA</v>
      </c>
    </row>
    <row r="27" spans="1:23" x14ac:dyDescent="0.25">
      <c r="A27" t="str">
        <v>2025-10-11</v>
      </c>
      <c r="B27" t="str">
        <v>36843-ESPINET SOLE, JOSEP MARIA-L:081-N:2-A:A13-POLLO AMARILLO MACHO</v>
      </c>
      <c r="C27" t="str">
        <v>POLLO AMARILLO MACHO</v>
      </c>
      <c r="D27">
        <v>14845</v>
      </c>
      <c r="E27" t="str">
        <v>Broiler Amarillo</v>
      </c>
      <c r="F27">
        <v>33</v>
      </c>
      <c r="G27">
        <v>0</v>
      </c>
      <c r="H27" t="str">
        <v>Abierto</v>
      </c>
      <c r="I27">
        <v>1.8580000000000001</v>
      </c>
      <c r="J27">
        <v>1.8568199999999999</v>
      </c>
      <c r="K27">
        <v>1.863</v>
      </c>
      <c r="L27">
        <v>15000</v>
      </c>
      <c r="M27">
        <v>0</v>
      </c>
      <c r="N27">
        <v>150</v>
      </c>
      <c r="O27">
        <v>119</v>
      </c>
      <c r="P27">
        <v>25721</v>
      </c>
      <c r="Q27">
        <v>45516.534</v>
      </c>
      <c r="R27">
        <v>1.8035902110651427</v>
      </c>
      <c r="S27">
        <v>47.413056249999997</v>
      </c>
      <c r="T27">
        <v>47.413056249999997</v>
      </c>
      <c r="U27">
        <v>1.80359</v>
      </c>
      <c r="V27">
        <v>960</v>
      </c>
      <c r="W27" t="str">
        <v>36843-ESPINET SOLE, JOSEP MARIA</v>
      </c>
    </row>
    <row r="28" spans="1:23" x14ac:dyDescent="0.25">
      <c r="A28" t="str">
        <v>2025-10-11</v>
      </c>
      <c r="B28" t="str">
        <v>36843-ESPINET SOLE, JOSEP MARIA-L:081-N:3-A:A13-POLLO AMARILLO MACHO</v>
      </c>
      <c r="C28" t="str">
        <v>POLLO AMARILLO MACHO</v>
      </c>
      <c r="D28">
        <v>13816</v>
      </c>
      <c r="E28" t="str">
        <v>Broiler Amarillo</v>
      </c>
      <c r="F28">
        <v>33</v>
      </c>
      <c r="G28">
        <v>0</v>
      </c>
      <c r="H28" t="str">
        <v>Abierto</v>
      </c>
      <c r="I28">
        <v>1.8580000000000001</v>
      </c>
      <c r="J28">
        <v>1.8568199999999999</v>
      </c>
      <c r="K28">
        <v>1.863</v>
      </c>
      <c r="L28">
        <v>14000</v>
      </c>
      <c r="M28">
        <v>0</v>
      </c>
      <c r="N28">
        <v>180</v>
      </c>
      <c r="O28">
        <v>87</v>
      </c>
      <c r="P28">
        <v>27684</v>
      </c>
      <c r="Q28">
        <v>48871.292000000001</v>
      </c>
      <c r="R28">
        <v>2.0477845994526223</v>
      </c>
      <c r="S28">
        <v>53.704716483516485</v>
      </c>
      <c r="T28">
        <v>53.704716483516485</v>
      </c>
      <c r="U28">
        <v>2.0477799999999999</v>
      </c>
      <c r="V28">
        <v>910</v>
      </c>
      <c r="W28" t="str">
        <v>36843-ESPINET SOLE, JOSEP MARIA</v>
      </c>
    </row>
    <row r="29" spans="1:23" x14ac:dyDescent="0.25">
      <c r="A29" t="str">
        <v>2025-10-11</v>
      </c>
      <c r="B29" t="str">
        <v>36843-ESPINET SOLE, JOSEP MARIA-L:081-N:4-A:A13-POLLO AMARILLO MACHO</v>
      </c>
      <c r="C29" t="str">
        <v>POLLO AMARILLO MACHO</v>
      </c>
      <c r="D29">
        <v>14797</v>
      </c>
      <c r="E29" t="str">
        <v>Broiler Amarillo</v>
      </c>
      <c r="F29">
        <v>33</v>
      </c>
      <c r="G29">
        <v>0</v>
      </c>
      <c r="H29" t="str">
        <v>Abierto</v>
      </c>
      <c r="I29">
        <v>1.8580000000000001</v>
      </c>
      <c r="J29">
        <v>1.8568199999999999</v>
      </c>
      <c r="K29">
        <v>1.863</v>
      </c>
      <c r="L29">
        <v>15000</v>
      </c>
      <c r="M29">
        <v>0</v>
      </c>
      <c r="N29">
        <v>200</v>
      </c>
      <c r="O29">
        <v>256</v>
      </c>
      <c r="P29">
        <v>25483</v>
      </c>
      <c r="Q29">
        <v>45114.04</v>
      </c>
      <c r="R29">
        <v>1.7758188153310106</v>
      </c>
      <c r="S29">
        <v>46.701904761904764</v>
      </c>
      <c r="T29">
        <v>46.701904761904764</v>
      </c>
      <c r="U29">
        <v>1.77582</v>
      </c>
      <c r="V29">
        <v>966</v>
      </c>
      <c r="W29" t="str">
        <v>36843-ESPINET SOLE, JOSEP MARIA</v>
      </c>
    </row>
    <row r="30" spans="1:23" x14ac:dyDescent="0.25">
      <c r="A30" t="str">
        <v>2025-10-11</v>
      </c>
      <c r="B30" t="str">
        <v>36029-CAMÍ DE FLIX - MATEU JOVE LLUIS-2-L:029-N:1-A:A14-POLLO AMARILLO HEMBRAS</v>
      </c>
      <c r="C30" t="str">
        <v>POLLO AMARILLO HEMBRAS</v>
      </c>
      <c r="D30">
        <v>8398</v>
      </c>
      <c r="E30" t="str">
        <v>Broiler Amarillo</v>
      </c>
      <c r="F30">
        <v>32</v>
      </c>
      <c r="G30">
        <v>0</v>
      </c>
      <c r="H30" t="str">
        <v>Abierto</v>
      </c>
      <c r="I30">
        <v>1.827</v>
      </c>
      <c r="J30">
        <v>1.8528100000000001</v>
      </c>
      <c r="K30">
        <v>1.5760000000000001</v>
      </c>
      <c r="L30">
        <v>8800</v>
      </c>
      <c r="M30">
        <v>0</v>
      </c>
      <c r="N30">
        <v>400</v>
      </c>
      <c r="O30">
        <v>186</v>
      </c>
      <c r="P30">
        <v>16776</v>
      </c>
      <c r="Q30">
        <v>32258.328000000001</v>
      </c>
      <c r="R30">
        <v>0.93200000000000005</v>
      </c>
      <c r="S30">
        <v>30.722217142857144</v>
      </c>
      <c r="T30">
        <v>30.722217142857144</v>
      </c>
      <c r="U30">
        <v>0.93200000000000005</v>
      </c>
      <c r="V30">
        <v>1050</v>
      </c>
      <c r="W30" t="str">
        <v>36029-CAMÍ DE FLIX - MATEU JOVE LLUIS-2</v>
      </c>
    </row>
    <row r="31" spans="1:23" x14ac:dyDescent="0.25">
      <c r="A31" t="str">
        <v>2025-10-11</v>
      </c>
      <c r="B31" t="str">
        <v>36786-BONFILL SABATE JOAQUIN-L:089-N:2-A:A14-POLLO AMARILLO HEMBRAS</v>
      </c>
      <c r="C31" t="str">
        <v>POLLO AMARILLO HEMBRAS</v>
      </c>
      <c r="D31">
        <v>41831</v>
      </c>
      <c r="E31" t="str">
        <v>Broiler Amarillo</v>
      </c>
      <c r="F31">
        <v>33</v>
      </c>
      <c r="G31">
        <v>0</v>
      </c>
      <c r="H31" t="str">
        <v>Abierto</v>
      </c>
      <c r="I31">
        <v>1.7430000000000001</v>
      </c>
      <c r="J31">
        <v>1.7633099999999999</v>
      </c>
      <c r="K31">
        <v>1.649</v>
      </c>
      <c r="L31">
        <v>42000</v>
      </c>
      <c r="M31">
        <v>0</v>
      </c>
      <c r="N31">
        <v>169</v>
      </c>
      <c r="O31">
        <v>169</v>
      </c>
      <c r="P31">
        <v>83236</v>
      </c>
      <c r="Q31">
        <v>152533.24799999999</v>
      </c>
      <c r="R31">
        <v>6.6060317460317464</v>
      </c>
      <c r="S31">
        <v>189.71797014925374</v>
      </c>
      <c r="T31">
        <v>189.71797014925374</v>
      </c>
      <c r="U31">
        <v>6.6060299999999996</v>
      </c>
      <c r="V31">
        <v>804</v>
      </c>
      <c r="W31" t="str">
        <v>36786-BONFILL SABATE JOAQUIN</v>
      </c>
    </row>
    <row r="32" spans="1:23" x14ac:dyDescent="0.25">
      <c r="A32" t="str">
        <v>2025-10-11</v>
      </c>
      <c r="B32" t="str">
        <v>36786-BONFILL SABATE JOAQUIN-L:089-N:1-A:A14-POLLO AMARILLO HEMBRAS</v>
      </c>
      <c r="C32" t="str">
        <v>POLLO AMARILLO HEMBRAS</v>
      </c>
      <c r="D32">
        <v>12793</v>
      </c>
      <c r="E32" t="str">
        <v>Broiler Amarillo</v>
      </c>
      <c r="F32">
        <v>33</v>
      </c>
      <c r="G32">
        <v>0</v>
      </c>
      <c r="H32" t="str">
        <v>Abierto</v>
      </c>
      <c r="I32">
        <v>1.7330000000000001</v>
      </c>
      <c r="J32">
        <v>1.7511399999999999</v>
      </c>
      <c r="K32">
        <v>1.649</v>
      </c>
      <c r="L32">
        <v>13000</v>
      </c>
      <c r="M32">
        <v>0</v>
      </c>
      <c r="N32">
        <v>207</v>
      </c>
      <c r="O32">
        <v>207</v>
      </c>
      <c r="P32">
        <v>25181</v>
      </c>
      <c r="Q32">
        <v>45806.572999999997</v>
      </c>
      <c r="R32">
        <v>0.59529550827423172</v>
      </c>
      <c r="S32">
        <v>16.965397407407409</v>
      </c>
      <c r="T32">
        <v>16.965397407407409</v>
      </c>
      <c r="U32">
        <v>0.59530000000000005</v>
      </c>
      <c r="V32">
        <v>2700</v>
      </c>
      <c r="W32" t="str">
        <v>36786-BONFILL SABATE JOAQUIN</v>
      </c>
    </row>
    <row r="33" spans="1:23" x14ac:dyDescent="0.25">
      <c r="A33" t="str">
        <v>2025-10-11</v>
      </c>
      <c r="B33" t="str">
        <v>36015-GJA BAIGET - MATEU JOVE, LLUIS-1-L:030-N:1-A:A14-POLLO AMARILLO HEMBRAS</v>
      </c>
      <c r="C33" t="str">
        <v>POLLO AMARILLO HEMBRAS</v>
      </c>
      <c r="D33">
        <v>5495</v>
      </c>
      <c r="E33" t="str">
        <v>Broiler Amarillo</v>
      </c>
      <c r="F33">
        <v>32</v>
      </c>
      <c r="G33">
        <v>0</v>
      </c>
      <c r="H33" t="str">
        <v>Abierto</v>
      </c>
      <c r="I33">
        <v>1.7120299999999999</v>
      </c>
      <c r="J33">
        <v>1.7187300000000001</v>
      </c>
      <c r="K33">
        <v>1.5760000000000001</v>
      </c>
      <c r="L33">
        <v>11700</v>
      </c>
      <c r="M33">
        <v>-5867</v>
      </c>
      <c r="N33">
        <v>337</v>
      </c>
      <c r="O33">
        <v>341</v>
      </c>
      <c r="P33">
        <v>14965</v>
      </c>
      <c r="Q33">
        <v>28519.107</v>
      </c>
      <c r="R33">
        <v>0.59860000000000002</v>
      </c>
      <c r="S33">
        <v>20.370790714285715</v>
      </c>
      <c r="T33">
        <v>20.370790714285715</v>
      </c>
      <c r="U33">
        <v>0.59860000000000002</v>
      </c>
      <c r="V33">
        <v>1400</v>
      </c>
      <c r="W33" t="str">
        <v>36015-GJA BAIGET - MATEU JOVE, LLUIS-1</v>
      </c>
    </row>
    <row r="34" spans="1:23" x14ac:dyDescent="0.25">
      <c r="A34" t="str">
        <v>2025-10-11</v>
      </c>
      <c r="B34" t="str">
        <v>36843-ESPINET SOLE, JOSEP MARIA-L:081-N:1-A:A14-POLLO AMARILLO HEMBRAS</v>
      </c>
      <c r="C34" t="str">
        <v>POLLO AMARILLO HEMBRAS</v>
      </c>
      <c r="D34">
        <v>13868</v>
      </c>
      <c r="E34" t="str">
        <v>Broiler Amarillo</v>
      </c>
      <c r="F34">
        <v>33</v>
      </c>
      <c r="G34">
        <v>0</v>
      </c>
      <c r="H34" t="str">
        <v>Abierto</v>
      </c>
      <c r="I34">
        <v>1.6930000000000001</v>
      </c>
      <c r="J34">
        <v>1.70251</v>
      </c>
      <c r="K34">
        <v>1.649</v>
      </c>
      <c r="L34">
        <v>14000</v>
      </c>
      <c r="M34">
        <v>0</v>
      </c>
      <c r="N34">
        <v>130</v>
      </c>
      <c r="O34">
        <v>222</v>
      </c>
      <c r="P34">
        <v>27713</v>
      </c>
      <c r="Q34">
        <v>49202.534</v>
      </c>
      <c r="R34">
        <v>2.0497781065088758</v>
      </c>
      <c r="S34">
        <v>54.068718681318678</v>
      </c>
      <c r="T34">
        <v>54.068718681318678</v>
      </c>
      <c r="U34">
        <v>2.0497800000000002</v>
      </c>
      <c r="V34">
        <v>910</v>
      </c>
      <c r="W34" t="str">
        <v>36843-ESPINET SOLE, JOSEP MARIA</v>
      </c>
    </row>
    <row r="35" spans="1:23" x14ac:dyDescent="0.25">
      <c r="A35" t="str">
        <v>2025-10-11</v>
      </c>
      <c r="B35" t="str">
        <v>36843-ESPINET SOLE, JOSEP MARIA-L:081-N:3-A:A14-POLLO AMARILLO HEMBRAS</v>
      </c>
      <c r="C35" t="str">
        <v>POLLO AMARILLO HEMBRAS</v>
      </c>
      <c r="D35">
        <v>13868</v>
      </c>
      <c r="E35" t="str">
        <v>Broiler Amarillo</v>
      </c>
      <c r="F35">
        <v>33</v>
      </c>
      <c r="G35">
        <v>0</v>
      </c>
      <c r="H35" t="str">
        <v>Abierto</v>
      </c>
      <c r="I35">
        <v>1.673</v>
      </c>
      <c r="J35">
        <v>1.67818</v>
      </c>
      <c r="K35">
        <v>1.649</v>
      </c>
      <c r="L35">
        <v>14000</v>
      </c>
      <c r="M35">
        <v>0</v>
      </c>
      <c r="N35">
        <v>130</v>
      </c>
      <c r="O35">
        <v>87</v>
      </c>
      <c r="P35">
        <v>27684</v>
      </c>
      <c r="Q35">
        <v>48871.292000000001</v>
      </c>
      <c r="R35">
        <v>2.0477845994526223</v>
      </c>
      <c r="S35">
        <v>53.704716483516485</v>
      </c>
      <c r="T35">
        <v>53.704716483516485</v>
      </c>
      <c r="U35">
        <v>2.0477799999999999</v>
      </c>
      <c r="V35">
        <v>910</v>
      </c>
      <c r="W35" t="str">
        <v>36843-ESPINET SOLE, JOSEP MARIA</v>
      </c>
    </row>
    <row r="36" spans="1:23" x14ac:dyDescent="0.25">
      <c r="A36" t="str">
        <v>2025-10-11</v>
      </c>
      <c r="B36" t="str">
        <v>36990-SOLER SURIOL SCP-2-L:034-N:2-A:A13-POLLO AMARILLO MACHO</v>
      </c>
      <c r="C36" t="str">
        <v>POLLO AMARILLO MACHO</v>
      </c>
      <c r="D36">
        <v>13038</v>
      </c>
      <c r="E36" t="str">
        <v>Broiler Amarillo</v>
      </c>
      <c r="F36">
        <v>29</v>
      </c>
      <c r="G36">
        <v>0</v>
      </c>
      <c r="H36" t="str">
        <v>Abierto</v>
      </c>
      <c r="I36">
        <v>1.6559999999999999</v>
      </c>
      <c r="J36">
        <v>1.68696</v>
      </c>
      <c r="K36">
        <v>1.5049999999999999</v>
      </c>
      <c r="L36">
        <v>13400</v>
      </c>
      <c r="M36">
        <v>0</v>
      </c>
      <c r="N36">
        <v>354</v>
      </c>
      <c r="O36">
        <v>428</v>
      </c>
      <c r="P36">
        <v>25980</v>
      </c>
      <c r="Q36">
        <v>39774.438000000002</v>
      </c>
      <c r="R36">
        <v>0.89432013769363172</v>
      </c>
      <c r="S36">
        <v>27.05744081632653</v>
      </c>
      <c r="T36">
        <v>27.05744081632653</v>
      </c>
      <c r="U36">
        <v>0.89432</v>
      </c>
      <c r="V36">
        <v>1470</v>
      </c>
      <c r="W36" t="str">
        <v>36990-SOLER SURIOL SCP-2</v>
      </c>
    </row>
    <row r="37" spans="1:23" x14ac:dyDescent="0.25">
      <c r="A37" t="str">
        <v>2025-10-11</v>
      </c>
      <c r="B37" t="str">
        <v>36843-ESPINET SOLE, JOSEP MARIA-L:081-N:2-A:A14-POLLO AMARILLO HEMBRAS</v>
      </c>
      <c r="C37" t="str">
        <v>POLLO AMARILLO HEMBRAS</v>
      </c>
      <c r="D37">
        <v>10876</v>
      </c>
      <c r="E37" t="str">
        <v>Broiler Amarillo</v>
      </c>
      <c r="F37">
        <v>33</v>
      </c>
      <c r="G37">
        <v>0</v>
      </c>
      <c r="H37" t="str">
        <v>Abierto</v>
      </c>
      <c r="I37">
        <v>1.649</v>
      </c>
      <c r="J37">
        <v>1.649</v>
      </c>
      <c r="K37">
        <v>1.649</v>
      </c>
      <c r="L37">
        <v>15000</v>
      </c>
      <c r="M37">
        <v>-4050</v>
      </c>
      <c r="N37">
        <v>68</v>
      </c>
      <c r="O37">
        <v>68</v>
      </c>
      <c r="P37">
        <v>25721</v>
      </c>
      <c r="Q37">
        <v>45516.534</v>
      </c>
      <c r="R37">
        <v>1.8035902110651427</v>
      </c>
      <c r="S37">
        <v>47.413056249999997</v>
      </c>
      <c r="T37">
        <v>47.413056249999997</v>
      </c>
      <c r="U37">
        <v>1.80359</v>
      </c>
      <c r="V37">
        <v>960</v>
      </c>
      <c r="W37" t="str">
        <v>36843-ESPINET SOLE, JOSEP MARIA</v>
      </c>
    </row>
    <row r="38" spans="1:23" x14ac:dyDescent="0.25">
      <c r="A38" t="str">
        <v>2025-10-11</v>
      </c>
      <c r="B38" t="str">
        <v>36843-ESPINET SOLE, JOSEP MARIA-L:081-N:4-A:A14-POLLO AMARILLO HEMBRAS</v>
      </c>
      <c r="C38" t="str">
        <v>POLLO AMARILLO HEMBRAS</v>
      </c>
      <c r="D38">
        <v>10686</v>
      </c>
      <c r="E38" t="str">
        <v>Broiler Amarillo</v>
      </c>
      <c r="F38">
        <v>33</v>
      </c>
      <c r="G38">
        <v>0</v>
      </c>
      <c r="H38" t="str">
        <v>Abierto</v>
      </c>
      <c r="I38">
        <v>1.649</v>
      </c>
      <c r="J38">
        <v>1.649</v>
      </c>
      <c r="K38">
        <v>1.649</v>
      </c>
      <c r="L38">
        <v>15000</v>
      </c>
      <c r="M38">
        <v>-4050</v>
      </c>
      <c r="N38">
        <v>256</v>
      </c>
      <c r="O38">
        <v>256</v>
      </c>
      <c r="P38">
        <v>25483</v>
      </c>
      <c r="Q38">
        <v>45114.04</v>
      </c>
      <c r="R38">
        <v>1.7758188153310106</v>
      </c>
      <c r="S38">
        <v>46.701904761904764</v>
      </c>
      <c r="T38">
        <v>46.701904761904764</v>
      </c>
      <c r="U38">
        <v>1.77582</v>
      </c>
      <c r="V38">
        <v>966</v>
      </c>
      <c r="W38" t="str">
        <v>36843-ESPINET SOLE, JOSEP MARIA</v>
      </c>
    </row>
    <row r="39" spans="1:23" x14ac:dyDescent="0.25">
      <c r="A39" t="str">
        <v>2025-10-11</v>
      </c>
      <c r="B39" t="str">
        <v>36990-SOLER SURIOL SCP-2-L:034-N:3-A:A13-POLLO AMARILLO MACHO</v>
      </c>
      <c r="C39" t="str">
        <v>POLLO AMARILLO MACHO</v>
      </c>
      <c r="D39">
        <v>12972</v>
      </c>
      <c r="E39" t="str">
        <v>Broiler Amarillo</v>
      </c>
      <c r="F39">
        <v>29</v>
      </c>
      <c r="G39">
        <v>0</v>
      </c>
      <c r="H39" t="str">
        <v>Abierto</v>
      </c>
      <c r="I39">
        <v>1.6359999999999999</v>
      </c>
      <c r="J39">
        <v>1.6628499999999999</v>
      </c>
      <c r="K39">
        <v>1.5049999999999999</v>
      </c>
      <c r="L39">
        <v>13300</v>
      </c>
      <c r="M39">
        <v>0</v>
      </c>
      <c r="N39">
        <v>324</v>
      </c>
      <c r="O39">
        <v>326</v>
      </c>
      <c r="P39">
        <v>26046</v>
      </c>
      <c r="Q39">
        <v>40898.561999999998</v>
      </c>
      <c r="R39">
        <v>0.89659208261617895</v>
      </c>
      <c r="S39">
        <v>27.822151020408164</v>
      </c>
      <c r="T39">
        <v>27.822151020408164</v>
      </c>
      <c r="U39">
        <v>0.89659</v>
      </c>
      <c r="V39">
        <v>1470</v>
      </c>
      <c r="W39" t="str">
        <v>36990-SOLER SURIOL SCP-2</v>
      </c>
    </row>
    <row r="40" spans="1:23" x14ac:dyDescent="0.25">
      <c r="A40" t="str">
        <v>2025-10-11</v>
      </c>
      <c r="B40" t="str">
        <v>36990-SOLER SURIOL SCP-2-L:034-N:1-A:A13-POLLO AMARILLO MACHO</v>
      </c>
      <c r="C40" t="str">
        <v>POLLO AMARILLO MACHO</v>
      </c>
      <c r="D40">
        <v>6532</v>
      </c>
      <c r="E40" t="str">
        <v>Broiler Amarillo</v>
      </c>
      <c r="F40">
        <v>29</v>
      </c>
      <c r="G40">
        <v>0</v>
      </c>
      <c r="H40" t="str">
        <v>Abierto</v>
      </c>
      <c r="I40">
        <v>1.556</v>
      </c>
      <c r="J40">
        <v>1.5664499999999999</v>
      </c>
      <c r="K40">
        <v>1.5049999999999999</v>
      </c>
      <c r="L40">
        <v>6700</v>
      </c>
      <c r="M40">
        <v>0</v>
      </c>
      <c r="N40">
        <v>164</v>
      </c>
      <c r="O40">
        <v>205</v>
      </c>
      <c r="P40">
        <v>13066</v>
      </c>
      <c r="Q40">
        <v>19605.421999999999</v>
      </c>
      <c r="R40">
        <v>0.94407514450867047</v>
      </c>
      <c r="S40">
        <v>28.007745714285715</v>
      </c>
      <c r="T40">
        <v>28.007745714285715</v>
      </c>
      <c r="U40">
        <v>0.94408000000000003</v>
      </c>
      <c r="V40">
        <v>700</v>
      </c>
      <c r="W40" t="str">
        <v>36990-SOLER SURIOL SCP-2</v>
      </c>
    </row>
    <row r="41" spans="1:23" x14ac:dyDescent="0.25">
      <c r="A41" t="str">
        <v>2025-10-11</v>
      </c>
      <c r="B41" t="str">
        <v>36967-BLAI PONS COLL (Culleré)-L:037-N:3-A:A13-POLLO AMARILLO MACHO</v>
      </c>
      <c r="C41" t="str">
        <v>POLLO AMARILLO MACHO</v>
      </c>
      <c r="D41">
        <v>14846</v>
      </c>
      <c r="E41" t="str">
        <v>Broiler Amarillo</v>
      </c>
      <c r="F41">
        <v>29</v>
      </c>
      <c r="G41">
        <v>0</v>
      </c>
      <c r="H41" t="str">
        <v>Abierto</v>
      </c>
      <c r="I41">
        <v>1.5549999999999999</v>
      </c>
      <c r="J41">
        <v>1.806</v>
      </c>
      <c r="K41">
        <v>1.5049999999999999</v>
      </c>
      <c r="L41">
        <v>15400</v>
      </c>
      <c r="M41">
        <v>0</v>
      </c>
      <c r="N41">
        <v>551</v>
      </c>
      <c r="O41">
        <v>301</v>
      </c>
      <c r="P41">
        <v>29950</v>
      </c>
      <c r="Q41">
        <v>43566.553999999996</v>
      </c>
      <c r="R41">
        <v>0.93593749999999998</v>
      </c>
      <c r="S41">
        <v>24.203641111111111</v>
      </c>
      <c r="T41">
        <v>24.203641111111111</v>
      </c>
      <c r="U41">
        <v>0.93593999999999999</v>
      </c>
      <c r="V41">
        <v>1800</v>
      </c>
      <c r="W41" t="str">
        <v>36967-BLAI PONS COLL (Culleré)</v>
      </c>
    </row>
    <row r="42" spans="1:23" x14ac:dyDescent="0.25">
      <c r="A42" t="str">
        <v>2025-10-11</v>
      </c>
      <c r="B42" t="str">
        <v>36967-BLAI PONS COLL (Culleré)-L:037-N:2-A:A15-POLLO AMARILLO MIXTO</v>
      </c>
      <c r="C42" t="str">
        <v>POLLO AMARILLO MIXTO</v>
      </c>
      <c r="D42">
        <v>21247</v>
      </c>
      <c r="E42" t="str">
        <v>Broiler Amarillo</v>
      </c>
      <c r="F42">
        <v>29</v>
      </c>
      <c r="G42">
        <v>0</v>
      </c>
      <c r="H42" t="str">
        <v>Abierto</v>
      </c>
      <c r="I42">
        <v>1.5149999999999999</v>
      </c>
      <c r="J42">
        <v>1.9875</v>
      </c>
      <c r="K42">
        <v>1.431</v>
      </c>
      <c r="L42">
        <v>22000</v>
      </c>
      <c r="M42">
        <v>0</v>
      </c>
      <c r="N42">
        <v>750</v>
      </c>
      <c r="O42">
        <v>701</v>
      </c>
      <c r="P42">
        <v>21247</v>
      </c>
      <c r="Q42">
        <v>32189.205000000002</v>
      </c>
      <c r="R42">
        <v>1.0623499999999999</v>
      </c>
      <c r="S42">
        <v>26.824337499999999</v>
      </c>
      <c r="T42">
        <v>26.824337499999999</v>
      </c>
      <c r="U42">
        <v>1.0623499999999999</v>
      </c>
      <c r="V42">
        <v>1200</v>
      </c>
      <c r="W42" t="str">
        <v>36967-BLAI PONS COLL (Culleré)</v>
      </c>
    </row>
    <row r="43" spans="1:23" x14ac:dyDescent="0.25">
      <c r="A43" t="str">
        <v>2025-10-11</v>
      </c>
      <c r="B43" t="str">
        <v>36967-BLAI PONS COLL (Culleré)-L:037-N:1-A:A15-POLLO AMARILLO MIXTO</v>
      </c>
      <c r="C43" t="str">
        <v>POLLO AMARILLO MIXTO</v>
      </c>
      <c r="D43">
        <v>21141</v>
      </c>
      <c r="E43" t="str">
        <v>Broiler Amarillo</v>
      </c>
      <c r="F43">
        <v>29</v>
      </c>
      <c r="G43">
        <v>0</v>
      </c>
      <c r="H43" t="str">
        <v>Abierto</v>
      </c>
      <c r="I43">
        <v>1.5149999999999999</v>
      </c>
      <c r="J43">
        <v>1.9875</v>
      </c>
      <c r="K43">
        <v>1.431</v>
      </c>
      <c r="L43">
        <v>22000</v>
      </c>
      <c r="M43">
        <v>0</v>
      </c>
      <c r="N43">
        <v>856</v>
      </c>
      <c r="O43">
        <v>25</v>
      </c>
      <c r="P43">
        <v>21141</v>
      </c>
      <c r="Q43">
        <v>32028.615000000002</v>
      </c>
      <c r="R43">
        <v>1.05705</v>
      </c>
      <c r="S43">
        <v>26.690512500000001</v>
      </c>
      <c r="T43">
        <v>26.690512500000001</v>
      </c>
      <c r="U43">
        <v>1.05705</v>
      </c>
      <c r="V43">
        <v>1200</v>
      </c>
      <c r="W43" t="str">
        <v>36967-BLAI PONS COLL (Culleré)</v>
      </c>
    </row>
    <row r="44" spans="1:23" x14ac:dyDescent="0.25">
      <c r="A44" t="str">
        <v>2025-10-11</v>
      </c>
      <c r="B44" t="str">
        <v>36990-SOLER SURIOL SCP-2-L:034-N:3-A:A14-POLLO AMARILLO HEMBRAS</v>
      </c>
      <c r="C44" t="str">
        <v>POLLO AMARILLO HEMBRAS</v>
      </c>
      <c r="D44">
        <v>13074</v>
      </c>
      <c r="E44" t="str">
        <v>Broiler Amarillo</v>
      </c>
      <c r="F44">
        <v>29</v>
      </c>
      <c r="G44">
        <v>0</v>
      </c>
      <c r="H44" t="str">
        <v>Abierto</v>
      </c>
      <c r="I44">
        <v>1.5049999999999999</v>
      </c>
      <c r="J44">
        <v>1.5330699999999999</v>
      </c>
      <c r="K44">
        <v>1.3560000000000001</v>
      </c>
      <c r="L44">
        <v>13400</v>
      </c>
      <c r="M44">
        <v>0</v>
      </c>
      <c r="N44">
        <v>324</v>
      </c>
      <c r="O44">
        <v>341</v>
      </c>
      <c r="P44">
        <v>26046</v>
      </c>
      <c r="Q44">
        <v>40898.561999999998</v>
      </c>
      <c r="R44">
        <v>0.89659208261617895</v>
      </c>
      <c r="S44">
        <v>27.822151020408164</v>
      </c>
      <c r="T44">
        <v>27.822151020408164</v>
      </c>
      <c r="U44">
        <v>0.89659</v>
      </c>
      <c r="V44">
        <v>1470</v>
      </c>
      <c r="W44" t="str">
        <v>36990-SOLER SURIOL SCP-2</v>
      </c>
    </row>
    <row r="45" spans="1:23" x14ac:dyDescent="0.25">
      <c r="A45" t="str">
        <v>2025-10-11</v>
      </c>
      <c r="B45" t="str">
        <v>36990-SOLER SURIOL SCP-2-L:034-N:1-A:A14-POLLO AMARILLO HEMBRAS</v>
      </c>
      <c r="C45" t="str">
        <v>POLLO AMARILLO HEMBRAS</v>
      </c>
      <c r="D45">
        <v>6534</v>
      </c>
      <c r="E45" t="str">
        <v>Broiler Amarillo</v>
      </c>
      <c r="F45">
        <v>29</v>
      </c>
      <c r="G45">
        <v>0</v>
      </c>
      <c r="H45" t="str">
        <v>Abierto</v>
      </c>
      <c r="I45">
        <v>1.4450000000000001</v>
      </c>
      <c r="J45">
        <v>1.4617800000000001</v>
      </c>
      <c r="K45">
        <v>1.3560000000000001</v>
      </c>
      <c r="L45">
        <v>6700</v>
      </c>
      <c r="M45">
        <v>0</v>
      </c>
      <c r="N45">
        <v>164</v>
      </c>
      <c r="O45">
        <v>205</v>
      </c>
      <c r="P45">
        <v>13066</v>
      </c>
      <c r="Q45">
        <v>19605.421999999999</v>
      </c>
      <c r="R45">
        <v>0.94407514450867047</v>
      </c>
      <c r="S45">
        <v>28.007745714285715</v>
      </c>
      <c r="T45">
        <v>28.007745714285715</v>
      </c>
      <c r="U45">
        <v>0.94408000000000003</v>
      </c>
      <c r="V45">
        <v>700</v>
      </c>
      <c r="W45" t="str">
        <v>36990-SOLER SURIOL SCP-2</v>
      </c>
    </row>
    <row r="46" spans="1:23" x14ac:dyDescent="0.25">
      <c r="A46" t="str">
        <v>2025-10-11</v>
      </c>
      <c r="B46" t="str">
        <v>36990-SOLER SURIOL SCP-2-L:034-N:2-A:A14-POLLO AMARILLO HEMBRAS</v>
      </c>
      <c r="C46" t="str">
        <v>POLLO AMARILLO HEMBRAS</v>
      </c>
      <c r="D46">
        <v>12942</v>
      </c>
      <c r="E46" t="str">
        <v>Broiler Amarillo</v>
      </c>
      <c r="F46">
        <v>29</v>
      </c>
      <c r="G46">
        <v>0</v>
      </c>
      <c r="H46" t="str">
        <v>Abierto</v>
      </c>
      <c r="I46">
        <v>1.405</v>
      </c>
      <c r="J46">
        <v>1.4142300000000001</v>
      </c>
      <c r="K46">
        <v>1.3560000000000001</v>
      </c>
      <c r="L46">
        <v>13300</v>
      </c>
      <c r="M46">
        <v>0</v>
      </c>
      <c r="N46">
        <v>354</v>
      </c>
      <c r="O46">
        <v>425</v>
      </c>
      <c r="P46">
        <v>25980</v>
      </c>
      <c r="Q46">
        <v>39774.438000000002</v>
      </c>
      <c r="R46">
        <v>0.89432013769363172</v>
      </c>
      <c r="S46">
        <v>27.05744081632653</v>
      </c>
      <c r="T46">
        <v>27.05744081632653</v>
      </c>
      <c r="U46">
        <v>0.89432</v>
      </c>
      <c r="V46">
        <v>1470</v>
      </c>
      <c r="W46" t="str">
        <v>36990-SOLER SURIOL SCP-2</v>
      </c>
    </row>
    <row r="47" spans="1:23" x14ac:dyDescent="0.25">
      <c r="A47" t="str">
        <v>2025-10-11</v>
      </c>
      <c r="B47" t="str">
        <v>36736-RIBELLES SEGURA SCP-L:117-N:2-A:A13-POLLO AMARILLO MACHO</v>
      </c>
      <c r="C47" t="str">
        <v>POLLO AMARILLO MACHO</v>
      </c>
      <c r="D47">
        <v>20827</v>
      </c>
      <c r="E47" t="str">
        <v>Broiler Amarillo</v>
      </c>
      <c r="F47">
        <v>25</v>
      </c>
      <c r="G47">
        <v>0</v>
      </c>
      <c r="H47" t="str">
        <v>Abierto</v>
      </c>
      <c r="I47">
        <v>1.3839999999999999</v>
      </c>
      <c r="J47">
        <v>1.4384300000000001</v>
      </c>
      <c r="K47">
        <v>1.167</v>
      </c>
      <c r="L47">
        <v>21000</v>
      </c>
      <c r="M47">
        <v>0</v>
      </c>
      <c r="N47">
        <v>170</v>
      </c>
      <c r="O47">
        <v>319</v>
      </c>
      <c r="P47">
        <v>41454</v>
      </c>
      <c r="Q47">
        <v>53638.849000000002</v>
      </c>
      <c r="R47">
        <v>1.8424</v>
      </c>
      <c r="S47">
        <v>42.402252173913041</v>
      </c>
      <c r="T47">
        <v>42.402252173913041</v>
      </c>
      <c r="U47">
        <v>1.8424</v>
      </c>
      <c r="V47">
        <v>1265</v>
      </c>
      <c r="W47" t="str">
        <v>36736-RIBELLES SEGURA SCP</v>
      </c>
    </row>
    <row r="48" spans="1:23" x14ac:dyDescent="0.25">
      <c r="A48" t="str">
        <v>2025-10-11</v>
      </c>
      <c r="B48" t="str">
        <v>36967-BLAI PONS COLL (Culleré)-L:037-N:3-A:A14-POLLO AMARILLO HEMBRAS</v>
      </c>
      <c r="C48" t="str">
        <v>POLLO AMARILLO HEMBRAS</v>
      </c>
      <c r="D48">
        <v>15104</v>
      </c>
      <c r="E48" t="str">
        <v>Broiler Amarillo</v>
      </c>
      <c r="F48">
        <v>29</v>
      </c>
      <c r="G48">
        <v>0</v>
      </c>
      <c r="H48" t="str">
        <v>Abierto</v>
      </c>
      <c r="I48">
        <v>1.3560000000000001</v>
      </c>
      <c r="J48">
        <v>1.3560000000000001</v>
      </c>
      <c r="K48">
        <v>1.3560000000000001</v>
      </c>
      <c r="L48">
        <v>15400</v>
      </c>
      <c r="M48">
        <v>0</v>
      </c>
      <c r="N48">
        <v>296</v>
      </c>
      <c r="O48">
        <v>296</v>
      </c>
      <c r="P48">
        <v>29950</v>
      </c>
      <c r="Q48">
        <v>43566.553999999996</v>
      </c>
      <c r="R48">
        <v>0.93593749999999998</v>
      </c>
      <c r="S48">
        <v>24.203641111111111</v>
      </c>
      <c r="T48">
        <v>24.203641111111111</v>
      </c>
      <c r="U48">
        <v>0.93593999999999999</v>
      </c>
      <c r="V48">
        <v>1800</v>
      </c>
      <c r="W48" t="str">
        <v>36967-BLAI PONS COLL (Culleré)</v>
      </c>
    </row>
    <row r="49" spans="1:23" x14ac:dyDescent="0.25">
      <c r="A49" t="str">
        <v>2025-10-11</v>
      </c>
      <c r="B49" t="str">
        <v>36387-AGROPECUARIA SAUS-L:090-N:3-A:A13-POLLO AMARILLO MACHO</v>
      </c>
      <c r="C49" t="str">
        <v>POLLO AMARILLO MACHO</v>
      </c>
      <c r="D49">
        <v>17995</v>
      </c>
      <c r="E49" t="str">
        <v>Broiler Amarillo</v>
      </c>
      <c r="F49">
        <v>26</v>
      </c>
      <c r="G49">
        <v>0</v>
      </c>
      <c r="H49" t="str">
        <v>Abierto</v>
      </c>
      <c r="I49">
        <v>1.34</v>
      </c>
      <c r="J49">
        <v>1.3616600000000001</v>
      </c>
      <c r="K49">
        <v>1.2490000000000001</v>
      </c>
      <c r="L49">
        <v>18200</v>
      </c>
      <c r="M49">
        <v>0</v>
      </c>
      <c r="N49">
        <v>200</v>
      </c>
      <c r="O49">
        <v>276</v>
      </c>
      <c r="P49">
        <v>35876</v>
      </c>
      <c r="Q49">
        <v>45677.786</v>
      </c>
      <c r="R49">
        <v>1.9508428493746601</v>
      </c>
      <c r="S49">
        <v>36.252211111111109</v>
      </c>
      <c r="T49">
        <v>36.252211111111109</v>
      </c>
      <c r="U49">
        <v>1.9508399999999999</v>
      </c>
      <c r="V49">
        <v>1260</v>
      </c>
      <c r="W49" t="str">
        <v>36387-AGROPECUARIA SAUS</v>
      </c>
    </row>
    <row r="50" spans="1:23" x14ac:dyDescent="0.25">
      <c r="A50" t="str">
        <v>2025-10-11</v>
      </c>
      <c r="B50" t="str">
        <v>36387-AGROPECUARIA SAUS-L:090-N:4-A:A13-POLLO AMARILLO MACHO</v>
      </c>
      <c r="C50" t="str">
        <v>POLLO AMARILLO MACHO</v>
      </c>
      <c r="D50">
        <v>18242</v>
      </c>
      <c r="E50" t="str">
        <v>Broiler Amarillo</v>
      </c>
      <c r="F50">
        <v>26</v>
      </c>
      <c r="G50">
        <v>0</v>
      </c>
      <c r="H50" t="str">
        <v>Abierto</v>
      </c>
      <c r="I50">
        <v>1.34</v>
      </c>
      <c r="J50">
        <v>1.3616600000000001</v>
      </c>
      <c r="K50">
        <v>1.2490000000000001</v>
      </c>
      <c r="L50">
        <v>18400</v>
      </c>
      <c r="M50">
        <v>0</v>
      </c>
      <c r="N50">
        <v>150</v>
      </c>
      <c r="O50">
        <v>280</v>
      </c>
      <c r="P50">
        <v>36129</v>
      </c>
      <c r="Q50">
        <v>46016.002</v>
      </c>
      <c r="R50">
        <v>1.9646003262642742</v>
      </c>
      <c r="S50">
        <v>36.520636507936509</v>
      </c>
      <c r="T50">
        <v>36.520636507936509</v>
      </c>
      <c r="U50">
        <v>1.9645999999999999</v>
      </c>
      <c r="V50">
        <v>1260</v>
      </c>
      <c r="W50" t="str">
        <v>36387-AGROPECUARIA SAUS</v>
      </c>
    </row>
    <row r="51" spans="1:23" x14ac:dyDescent="0.25">
      <c r="A51" t="str">
        <v>2025-10-11</v>
      </c>
      <c r="B51" t="str">
        <v>36736-RIBELLES SEGURA SCP-L:117-N:1-A:A13-POLLO AMARILLO MACHO</v>
      </c>
      <c r="C51" t="str">
        <v>POLLO AMARILLO MACHO</v>
      </c>
      <c r="D51">
        <v>16427</v>
      </c>
      <c r="E51" t="str">
        <v>Broiler Amarillo</v>
      </c>
      <c r="F51">
        <v>25</v>
      </c>
      <c r="G51">
        <v>0</v>
      </c>
      <c r="H51" t="str">
        <v>Abierto</v>
      </c>
      <c r="I51">
        <v>1.3340000000000001</v>
      </c>
      <c r="J51">
        <v>1.37588</v>
      </c>
      <c r="K51">
        <v>1.167</v>
      </c>
      <c r="L51">
        <v>16600</v>
      </c>
      <c r="M51">
        <v>0</v>
      </c>
      <c r="N51">
        <v>170</v>
      </c>
      <c r="O51">
        <v>254</v>
      </c>
      <c r="P51">
        <v>41444</v>
      </c>
      <c r="Q51">
        <v>52009.069000000003</v>
      </c>
      <c r="R51">
        <v>1.8419555555555556</v>
      </c>
      <c r="S51">
        <v>41.113888537549407</v>
      </c>
      <c r="T51">
        <v>41.113888537549407</v>
      </c>
      <c r="U51">
        <v>1.84196</v>
      </c>
      <c r="V51">
        <v>1265</v>
      </c>
      <c r="W51" t="str">
        <v>36736-RIBELLES SEGURA SCP</v>
      </c>
    </row>
    <row r="52" spans="1:23" x14ac:dyDescent="0.25">
      <c r="A52" t="str">
        <v>2025-10-11</v>
      </c>
      <c r="B52" t="str">
        <v>36991-PESSARRODONA AVIRAM SL-L:034-N:1-A:A13-POLLO AMARILLO MACHO</v>
      </c>
      <c r="C52" t="str">
        <v>POLLO AMARILLO MACHO</v>
      </c>
      <c r="D52">
        <v>23214</v>
      </c>
      <c r="E52" t="str">
        <v>Broiler Amarillo</v>
      </c>
      <c r="F52">
        <v>25</v>
      </c>
      <c r="G52">
        <v>0</v>
      </c>
      <c r="H52" t="str">
        <v>Abierto</v>
      </c>
      <c r="I52">
        <v>1.319</v>
      </c>
      <c r="J52">
        <v>1.3737600000000001</v>
      </c>
      <c r="K52">
        <v>1.167</v>
      </c>
      <c r="L52">
        <v>23400</v>
      </c>
      <c r="M52">
        <v>0</v>
      </c>
      <c r="N52">
        <v>181</v>
      </c>
      <c r="O52">
        <v>348</v>
      </c>
      <c r="P52">
        <v>46631</v>
      </c>
      <c r="Q52">
        <v>57946.904999999999</v>
      </c>
      <c r="R52">
        <v>2.1076158192090393</v>
      </c>
      <c r="S52">
        <v>41.390646428571429</v>
      </c>
      <c r="T52">
        <v>41.390646428571429</v>
      </c>
      <c r="U52">
        <v>2.1076199999999998</v>
      </c>
      <c r="V52">
        <v>1400</v>
      </c>
      <c r="W52" t="str">
        <v>36991-PESSARRODONA AVIRAM SL</v>
      </c>
    </row>
    <row r="53" spans="1:23" x14ac:dyDescent="0.25">
      <c r="A53" t="str">
        <v>2025-10-11</v>
      </c>
      <c r="B53" t="str">
        <v>36991-PESSARRODONA AVIRAM SL-L:034-N:2-A:A13-POLLO AMARILLO MACHO</v>
      </c>
      <c r="C53" t="str">
        <v>POLLO AMARILLO MACHO</v>
      </c>
      <c r="D53">
        <v>44736</v>
      </c>
      <c r="E53" t="str">
        <v>Broiler Amarillo</v>
      </c>
      <c r="F53">
        <v>25</v>
      </c>
      <c r="G53">
        <v>0</v>
      </c>
      <c r="H53" t="str">
        <v>Abierto</v>
      </c>
      <c r="I53">
        <v>1.3089999999999999</v>
      </c>
      <c r="J53">
        <v>1.3601399999999999</v>
      </c>
      <c r="K53">
        <v>1.167</v>
      </c>
      <c r="L53">
        <v>45200</v>
      </c>
      <c r="M53">
        <v>0</v>
      </c>
      <c r="N53">
        <v>456</v>
      </c>
      <c r="O53">
        <v>684</v>
      </c>
      <c r="P53">
        <v>92275</v>
      </c>
      <c r="Q53">
        <v>113086.65700000001</v>
      </c>
      <c r="R53">
        <v>2.027353619685818</v>
      </c>
      <c r="S53">
        <v>39.266200347222224</v>
      </c>
      <c r="T53">
        <v>39.266200347222224</v>
      </c>
      <c r="U53">
        <v>2.0273500000000002</v>
      </c>
      <c r="V53">
        <v>2880</v>
      </c>
      <c r="W53" t="str">
        <v>36991-PESSARRODONA AVIRAM SL</v>
      </c>
    </row>
    <row r="54" spans="1:23" x14ac:dyDescent="0.25">
      <c r="A54" t="str">
        <v>2025-10-11</v>
      </c>
      <c r="B54" t="str">
        <v>36016-SANFELIU IBAÑEZ EUGENI-L:030-N:2-A:A15-POLLO AMARILLO MIXTO</v>
      </c>
      <c r="C54" t="str">
        <v>POLLO AMARILLO MIXTO</v>
      </c>
      <c r="D54">
        <v>59151</v>
      </c>
      <c r="E54" t="str">
        <v>Broiler Amarillo</v>
      </c>
      <c r="F54">
        <v>26</v>
      </c>
      <c r="G54">
        <v>0</v>
      </c>
      <c r="H54" t="str">
        <v>Abierto</v>
      </c>
      <c r="I54">
        <v>1.2729999999999999</v>
      </c>
      <c r="J54">
        <v>1.29088</v>
      </c>
      <c r="K54">
        <v>1.1950000000000001</v>
      </c>
      <c r="L54">
        <v>60000</v>
      </c>
      <c r="M54">
        <v>0</v>
      </c>
      <c r="N54">
        <v>846</v>
      </c>
      <c r="O54">
        <v>923</v>
      </c>
      <c r="P54">
        <v>59151</v>
      </c>
      <c r="Q54">
        <v>75299.222999999998</v>
      </c>
      <c r="R54">
        <v>2.1509454545454547</v>
      </c>
      <c r="S54">
        <v>47.062014374999997</v>
      </c>
      <c r="T54">
        <v>47.062014374999997</v>
      </c>
      <c r="U54">
        <v>2.1509499999999999</v>
      </c>
      <c r="V54">
        <v>1600</v>
      </c>
      <c r="W54" t="str">
        <v>36016-SANFELIU IBAÑEZ EUGENI</v>
      </c>
    </row>
    <row r="55" spans="1:23" x14ac:dyDescent="0.25">
      <c r="A55" t="str">
        <v>2025-10-11</v>
      </c>
      <c r="B55" t="str">
        <v>36387-AGROPECUARIA SAUS-L:090-N:2-A:A15-POLLO AMARILLO MIXTO</v>
      </c>
      <c r="C55" t="str">
        <v>POLLO AMARILLO MIXTO</v>
      </c>
      <c r="D55">
        <v>37555</v>
      </c>
      <c r="E55" t="str">
        <v>Broiler Amarillo</v>
      </c>
      <c r="F55">
        <v>26</v>
      </c>
      <c r="G55">
        <v>0</v>
      </c>
      <c r="H55" t="str">
        <v>Abierto</v>
      </c>
      <c r="I55">
        <v>1.2529999999999999</v>
      </c>
      <c r="J55">
        <v>1.2663199999999999</v>
      </c>
      <c r="K55">
        <v>1.1950000000000001</v>
      </c>
      <c r="L55">
        <v>38880</v>
      </c>
      <c r="M55">
        <v>0</v>
      </c>
      <c r="N55">
        <v>1320</v>
      </c>
      <c r="O55">
        <v>90</v>
      </c>
      <c r="P55">
        <v>37555</v>
      </c>
      <c r="Q55">
        <v>47056.415000000001</v>
      </c>
      <c r="R55">
        <v>1.9652014652014651</v>
      </c>
      <c r="S55">
        <v>35.920927480916028</v>
      </c>
      <c r="T55">
        <v>35.920927480916028</v>
      </c>
      <c r="U55">
        <v>1.9652000000000001</v>
      </c>
      <c r="V55">
        <v>1310</v>
      </c>
      <c r="W55" t="str">
        <v>36387-AGROPECUARIA SAUS</v>
      </c>
    </row>
    <row r="56" spans="1:23" x14ac:dyDescent="0.25">
      <c r="A56" t="str">
        <v>2025-10-11</v>
      </c>
      <c r="B56" t="str">
        <v>36387-AGROPECUARIA SAUS-L:090-N:1-A:A15-POLLO AMARILLO MIXTO</v>
      </c>
      <c r="C56" t="str">
        <v>POLLO AMARILLO MIXTO</v>
      </c>
      <c r="D56">
        <v>38220</v>
      </c>
      <c r="E56" t="str">
        <v>Broiler Amarillo</v>
      </c>
      <c r="F56">
        <v>26</v>
      </c>
      <c r="G56">
        <v>0</v>
      </c>
      <c r="H56" t="str">
        <v>Abierto</v>
      </c>
      <c r="I56">
        <v>1.2430000000000001</v>
      </c>
      <c r="J56">
        <v>1.2540199999999999</v>
      </c>
      <c r="K56">
        <v>1.1950000000000001</v>
      </c>
      <c r="L56">
        <v>38880</v>
      </c>
      <c r="M56">
        <v>0</v>
      </c>
      <c r="N56">
        <v>650</v>
      </c>
      <c r="O56">
        <v>0</v>
      </c>
      <c r="P56">
        <v>38220</v>
      </c>
      <c r="Q56">
        <v>47507.46</v>
      </c>
      <c r="R56">
        <v>2</v>
      </c>
      <c r="S56">
        <v>36.265236641221371</v>
      </c>
      <c r="T56">
        <v>36.265236641221371</v>
      </c>
      <c r="U56">
        <v>2</v>
      </c>
      <c r="V56">
        <v>1310</v>
      </c>
      <c r="W56" t="str">
        <v>36387-AGROPECUARIA SAUS</v>
      </c>
    </row>
    <row r="57" spans="1:23" x14ac:dyDescent="0.25">
      <c r="A57" t="str">
        <v>2025-10-11</v>
      </c>
      <c r="B57" t="str">
        <v>36016-SANFELIU IBAÑEZ EUGENI-L:030-N:1-A:A15-POLLO AMARILLO MIXTO</v>
      </c>
      <c r="C57" t="str">
        <v>POLLO AMARILLO MIXTO</v>
      </c>
      <c r="D57">
        <v>57208</v>
      </c>
      <c r="E57" t="str">
        <v>Broiler Amarillo</v>
      </c>
      <c r="F57">
        <v>26</v>
      </c>
      <c r="G57">
        <v>0</v>
      </c>
      <c r="H57" t="str">
        <v>Abierto</v>
      </c>
      <c r="I57">
        <v>1.2230000000000001</v>
      </c>
      <c r="J57">
        <v>1.22942</v>
      </c>
      <c r="K57">
        <v>1.1950000000000001</v>
      </c>
      <c r="L57">
        <v>60000</v>
      </c>
      <c r="M57">
        <v>0</v>
      </c>
      <c r="N57">
        <v>2789</v>
      </c>
      <c r="O57">
        <v>923</v>
      </c>
      <c r="P57">
        <v>57208</v>
      </c>
      <c r="Q57">
        <v>69965.384000000005</v>
      </c>
      <c r="R57">
        <v>2.080290909090909</v>
      </c>
      <c r="S57">
        <v>43.188508641975311</v>
      </c>
      <c r="T57">
        <v>43.188508641975311</v>
      </c>
      <c r="U57">
        <v>2.0802900000000002</v>
      </c>
      <c r="V57">
        <v>1620</v>
      </c>
      <c r="W57" t="str">
        <v>36016-SANFELIU IBAÑEZ EUGENI</v>
      </c>
    </row>
    <row r="58" spans="1:23" x14ac:dyDescent="0.25">
      <c r="A58" t="str">
        <v>2025-10-11</v>
      </c>
      <c r="B58" t="str">
        <v>36387-AGROPECUARIA SAUS-L:090-N:4-A:A14-POLLO AMARILLO HEMBRAS</v>
      </c>
      <c r="C58" t="str">
        <v>POLLO AMARILLO HEMBRAS</v>
      </c>
      <c r="D58">
        <v>17887</v>
      </c>
      <c r="E58" t="str">
        <v>Broiler Amarillo</v>
      </c>
      <c r="F58">
        <v>26</v>
      </c>
      <c r="G58">
        <v>0</v>
      </c>
      <c r="H58" t="str">
        <v>Abierto</v>
      </c>
      <c r="I58">
        <v>1.206</v>
      </c>
      <c r="J58">
        <v>1.2203299999999999</v>
      </c>
      <c r="K58">
        <v>1.141</v>
      </c>
      <c r="L58">
        <v>18000</v>
      </c>
      <c r="M58">
        <v>0</v>
      </c>
      <c r="N58">
        <v>110</v>
      </c>
      <c r="O58">
        <v>273</v>
      </c>
      <c r="P58">
        <v>36129</v>
      </c>
      <c r="Q58">
        <v>46016.002</v>
      </c>
      <c r="R58">
        <v>1.9646003262642742</v>
      </c>
      <c r="S58">
        <v>36.520636507936509</v>
      </c>
      <c r="T58">
        <v>36.520636507936509</v>
      </c>
      <c r="U58">
        <v>1.9645999999999999</v>
      </c>
      <c r="V58">
        <v>1260</v>
      </c>
      <c r="W58" t="str">
        <v>36387-AGROPECUARIA SAUS</v>
      </c>
    </row>
    <row r="59" spans="1:23" x14ac:dyDescent="0.25">
      <c r="A59" t="str">
        <v>2025-10-11</v>
      </c>
      <c r="B59" t="str">
        <v>36387-AGROPECUARIA SAUS-L:090-N:3-A:A14-POLLO AMARILLO HEMBRAS</v>
      </c>
      <c r="C59" t="str">
        <v>POLLO AMARILLO HEMBRAS</v>
      </c>
      <c r="D59">
        <v>17881</v>
      </c>
      <c r="E59" t="str">
        <v>Broiler Amarillo</v>
      </c>
      <c r="F59">
        <v>26</v>
      </c>
      <c r="G59">
        <v>0</v>
      </c>
      <c r="H59" t="str">
        <v>Abierto</v>
      </c>
      <c r="I59">
        <v>1.206</v>
      </c>
      <c r="J59">
        <v>1.2203299999999999</v>
      </c>
      <c r="K59">
        <v>1.141</v>
      </c>
      <c r="L59">
        <v>18000</v>
      </c>
      <c r="M59">
        <v>0</v>
      </c>
      <c r="N59">
        <v>115</v>
      </c>
      <c r="O59">
        <v>273</v>
      </c>
      <c r="P59">
        <v>35876</v>
      </c>
      <c r="Q59">
        <v>45677.786</v>
      </c>
      <c r="R59">
        <v>1.9508428493746601</v>
      </c>
      <c r="S59">
        <v>36.252211111111109</v>
      </c>
      <c r="T59">
        <v>36.252211111111109</v>
      </c>
      <c r="U59">
        <v>1.9508399999999999</v>
      </c>
      <c r="V59">
        <v>1260</v>
      </c>
      <c r="W59" t="str">
        <v>36387-AGROPECUARIA SAUS</v>
      </c>
    </row>
    <row r="60" spans="1:23" x14ac:dyDescent="0.25">
      <c r="A60" t="str">
        <v>2025-10-11</v>
      </c>
      <c r="B60" t="str">
        <v>36736-RIBELLES SEGURA SCP-L:117-N:1-A:A14-POLLO AMARILLO HEMBRAS</v>
      </c>
      <c r="C60" t="str">
        <v>POLLO AMARILLO HEMBRAS</v>
      </c>
      <c r="D60">
        <v>25017</v>
      </c>
      <c r="E60" t="str">
        <v>Broiler Amarillo</v>
      </c>
      <c r="F60">
        <v>25</v>
      </c>
      <c r="G60">
        <v>0</v>
      </c>
      <c r="H60" t="str">
        <v>Abierto</v>
      </c>
      <c r="I60">
        <v>1.2030000000000001</v>
      </c>
      <c r="J60">
        <v>1.2336</v>
      </c>
      <c r="K60">
        <v>1.0720000000000001</v>
      </c>
      <c r="L60">
        <v>25200</v>
      </c>
      <c r="M60">
        <v>0</v>
      </c>
      <c r="N60">
        <v>180</v>
      </c>
      <c r="O60">
        <v>375</v>
      </c>
      <c r="P60">
        <v>41444</v>
      </c>
      <c r="Q60">
        <v>52009.069000000003</v>
      </c>
      <c r="R60">
        <v>1.8419555555555556</v>
      </c>
      <c r="S60">
        <v>41.113888537549407</v>
      </c>
      <c r="T60">
        <v>41.113888537549407</v>
      </c>
      <c r="U60">
        <v>1.84196</v>
      </c>
      <c r="V60">
        <v>1265</v>
      </c>
      <c r="W60" t="str">
        <v>36736-RIBELLES SEGURA SCP</v>
      </c>
    </row>
    <row r="61" spans="1:23" x14ac:dyDescent="0.25">
      <c r="A61" t="str">
        <v>2025-10-11</v>
      </c>
      <c r="B61" t="str">
        <v>36736-RIBELLES SEGURA SCP-L:117-N:2-A:A14-POLLO AMARILLO HEMBRAS</v>
      </c>
      <c r="C61" t="str">
        <v>POLLO AMARILLO HEMBRAS</v>
      </c>
      <c r="D61">
        <v>20627</v>
      </c>
      <c r="E61" t="str">
        <v>Broiler Amarillo</v>
      </c>
      <c r="F61">
        <v>25</v>
      </c>
      <c r="G61">
        <v>0</v>
      </c>
      <c r="H61" t="str">
        <v>Abierto</v>
      </c>
      <c r="I61">
        <v>1.2030000000000001</v>
      </c>
      <c r="J61">
        <v>1.2336</v>
      </c>
      <c r="K61">
        <v>1.0720000000000001</v>
      </c>
      <c r="L61">
        <v>20800</v>
      </c>
      <c r="M61">
        <v>0</v>
      </c>
      <c r="N61">
        <v>170</v>
      </c>
      <c r="O61">
        <v>318</v>
      </c>
      <c r="P61">
        <v>41454</v>
      </c>
      <c r="Q61">
        <v>53638.849000000002</v>
      </c>
      <c r="R61">
        <v>1.8424</v>
      </c>
      <c r="S61">
        <v>42.402252173913041</v>
      </c>
      <c r="T61">
        <v>42.402252173913041</v>
      </c>
      <c r="U61">
        <v>1.8424</v>
      </c>
      <c r="V61">
        <v>1265</v>
      </c>
      <c r="W61" t="str">
        <v>36736-RIBELLES SEGURA SCP</v>
      </c>
    </row>
    <row r="62" spans="1:23" x14ac:dyDescent="0.25">
      <c r="A62" t="str">
        <v>2025-10-11</v>
      </c>
      <c r="B62" t="str">
        <v>36991-PESSARRODONA AVIRAM SL-L:034-N:1-A:A14-POLLO AMARILLO HEMBRAS</v>
      </c>
      <c r="C62" t="str">
        <v>POLLO AMARILLO HEMBRAS</v>
      </c>
      <c r="D62">
        <v>23417</v>
      </c>
      <c r="E62" t="str">
        <v>Broiler Amarillo</v>
      </c>
      <c r="F62">
        <v>25</v>
      </c>
      <c r="G62">
        <v>0</v>
      </c>
      <c r="H62" t="str">
        <v>Abierto</v>
      </c>
      <c r="I62">
        <v>1.167</v>
      </c>
      <c r="J62">
        <v>1.1984999999999999</v>
      </c>
      <c r="K62">
        <v>1.0720000000000001</v>
      </c>
      <c r="L62">
        <v>23600</v>
      </c>
      <c r="M62">
        <v>0</v>
      </c>
      <c r="N62">
        <v>181</v>
      </c>
      <c r="O62">
        <v>356</v>
      </c>
      <c r="P62">
        <v>46631</v>
      </c>
      <c r="Q62">
        <v>57946.904999999999</v>
      </c>
      <c r="R62">
        <v>2.1076158192090393</v>
      </c>
      <c r="S62">
        <v>41.390646428571429</v>
      </c>
      <c r="T62">
        <v>41.390646428571429</v>
      </c>
      <c r="U62">
        <v>2.1076199999999998</v>
      </c>
      <c r="V62">
        <v>1400</v>
      </c>
      <c r="W62" t="str">
        <v>36991-PESSARRODONA AVIRAM SL</v>
      </c>
    </row>
    <row r="63" spans="1:23" x14ac:dyDescent="0.25">
      <c r="A63" t="str">
        <v>2025-10-11</v>
      </c>
      <c r="B63" t="str">
        <v>36526-FARRUS FARRAN ANTONIO-L:148-N:1-A:A15-POLLO AMARILLO MIXTO</v>
      </c>
      <c r="C63" t="str">
        <v>POLLO AMARILLO MIXTO</v>
      </c>
      <c r="D63">
        <v>24793</v>
      </c>
      <c r="E63" t="str">
        <v>Broiler Amarillo</v>
      </c>
      <c r="F63">
        <v>24</v>
      </c>
      <c r="G63">
        <v>0</v>
      </c>
      <c r="H63" t="str">
        <v>Abierto</v>
      </c>
      <c r="I63">
        <v>1.1619999999999999</v>
      </c>
      <c r="J63">
        <v>1.5380199999999999</v>
      </c>
      <c r="K63">
        <v>1.0449999999999999</v>
      </c>
      <c r="L63">
        <v>25000</v>
      </c>
      <c r="M63">
        <v>0</v>
      </c>
      <c r="N63">
        <v>200</v>
      </c>
      <c r="O63">
        <v>371</v>
      </c>
      <c r="P63">
        <v>24793</v>
      </c>
      <c r="Q63">
        <v>28809.466</v>
      </c>
      <c r="R63">
        <v>1.8365185185185184</v>
      </c>
      <c r="S63">
        <v>34.29698333333333</v>
      </c>
      <c r="T63">
        <v>34.29698333333333</v>
      </c>
      <c r="U63">
        <v>1.8365199999999999</v>
      </c>
      <c r="V63">
        <v>840</v>
      </c>
      <c r="W63" t="str">
        <v>36526-FARRUS FARRAN ANTONIO</v>
      </c>
    </row>
    <row r="64" spans="1:23" x14ac:dyDescent="0.25">
      <c r="A64" t="str">
        <v>2025-10-11</v>
      </c>
      <c r="B64" t="str">
        <v>36526-FARRUS FARRAN ANTONIO-L:148-N:2-A:A15-POLLO AMARILLO MIXTO</v>
      </c>
      <c r="C64" t="str">
        <v>POLLO AMARILLO MIXTO</v>
      </c>
      <c r="D64">
        <v>24854</v>
      </c>
      <c r="E64" t="str">
        <v>Broiler Amarillo</v>
      </c>
      <c r="F64">
        <v>24</v>
      </c>
      <c r="G64">
        <v>0</v>
      </c>
      <c r="H64" t="str">
        <v>Abierto</v>
      </c>
      <c r="I64">
        <v>1.1619999999999999</v>
      </c>
      <c r="J64">
        <v>1.5380199999999999</v>
      </c>
      <c r="K64">
        <v>1.0449999999999999</v>
      </c>
      <c r="L64">
        <v>25000</v>
      </c>
      <c r="M64">
        <v>0</v>
      </c>
      <c r="N64">
        <v>140</v>
      </c>
      <c r="O64">
        <v>371</v>
      </c>
      <c r="P64">
        <v>24854</v>
      </c>
      <c r="Q64">
        <v>28880.348000000002</v>
      </c>
      <c r="R64">
        <v>1.841037037037037</v>
      </c>
      <c r="S64">
        <v>34.381366666666665</v>
      </c>
      <c r="T64">
        <v>34.381366666666665</v>
      </c>
      <c r="U64">
        <v>1.84104</v>
      </c>
      <c r="V64">
        <v>840</v>
      </c>
      <c r="W64" t="str">
        <v>36526-FARRUS FARRAN ANTONIO</v>
      </c>
    </row>
    <row r="65" spans="1:23" x14ac:dyDescent="0.25">
      <c r="A65" t="str">
        <v>2025-10-11</v>
      </c>
      <c r="B65" t="str">
        <v>36991-PESSARRODONA AVIRAM SL-L:034-N:2-A:A14-POLLO AMARILLO HEMBRAS</v>
      </c>
      <c r="C65" t="str">
        <v>POLLO AMARILLO HEMBRAS</v>
      </c>
      <c r="D65">
        <v>47539</v>
      </c>
      <c r="E65" t="str">
        <v>Broiler Amarillo</v>
      </c>
      <c r="F65">
        <v>25</v>
      </c>
      <c r="G65">
        <v>0</v>
      </c>
      <c r="H65" t="str">
        <v>Abierto</v>
      </c>
      <c r="I65">
        <v>1.147</v>
      </c>
      <c r="J65">
        <v>1.17188</v>
      </c>
      <c r="K65">
        <v>1.0720000000000001</v>
      </c>
      <c r="L65">
        <v>48000</v>
      </c>
      <c r="M65">
        <v>0</v>
      </c>
      <c r="N65">
        <v>456</v>
      </c>
      <c r="O65">
        <v>627</v>
      </c>
      <c r="P65">
        <v>92275</v>
      </c>
      <c r="Q65">
        <v>113086.65700000001</v>
      </c>
      <c r="R65">
        <v>2.027353619685818</v>
      </c>
      <c r="S65">
        <v>39.266200347222224</v>
      </c>
      <c r="T65">
        <v>39.266200347222224</v>
      </c>
      <c r="U65">
        <v>2.0273500000000002</v>
      </c>
      <c r="V65">
        <v>2880</v>
      </c>
      <c r="W65" t="str">
        <v>36991-PESSARRODONA AVIRAM SL</v>
      </c>
    </row>
    <row r="66" spans="1:23" x14ac:dyDescent="0.25">
      <c r="A66" t="str">
        <v>2025-10-11</v>
      </c>
      <c r="B66" t="str">
        <v>36527-GEMMARTI-L:050-N:2-A:A15-POLLO AMARILLO MIXTO</v>
      </c>
      <c r="C66" t="str">
        <v>POLLO AMARILLO MIXTO</v>
      </c>
      <c r="D66">
        <v>18349</v>
      </c>
      <c r="E66" t="str">
        <v>Broiler Amarillo</v>
      </c>
      <c r="F66">
        <v>23</v>
      </c>
      <c r="G66">
        <v>0</v>
      </c>
      <c r="H66" t="str">
        <v>Abierto</v>
      </c>
      <c r="I66">
        <v>1.1259999999999999</v>
      </c>
      <c r="J66">
        <v>1.66503</v>
      </c>
      <c r="K66">
        <v>0.97199999999999998</v>
      </c>
      <c r="L66">
        <v>18540</v>
      </c>
      <c r="M66">
        <v>0</v>
      </c>
      <c r="N66">
        <v>187</v>
      </c>
      <c r="O66">
        <v>271</v>
      </c>
      <c r="P66">
        <v>18349</v>
      </c>
      <c r="Q66">
        <v>20660.973999999998</v>
      </c>
      <c r="R66">
        <v>1.7475238095238095</v>
      </c>
      <c r="S66">
        <v>31.786113846153846</v>
      </c>
      <c r="T66">
        <v>31.786113846153846</v>
      </c>
      <c r="U66">
        <v>1.74752</v>
      </c>
      <c r="V66">
        <v>650</v>
      </c>
      <c r="W66" t="str">
        <v>36527-GEMMARTI</v>
      </c>
    </row>
    <row r="67" spans="1:23" x14ac:dyDescent="0.25">
      <c r="A67" t="str">
        <v>2025-10-11</v>
      </c>
      <c r="B67" t="str">
        <v>36527-GEMMARTI-L:050-N:1-A:A15-POLLO AMARILLO MIXTO</v>
      </c>
      <c r="C67" t="str">
        <v>POLLO AMARILLO MIXTO</v>
      </c>
      <c r="D67">
        <v>18332</v>
      </c>
      <c r="E67" t="str">
        <v>Broiler Amarillo</v>
      </c>
      <c r="F67">
        <v>23</v>
      </c>
      <c r="G67">
        <v>0</v>
      </c>
      <c r="H67" t="str">
        <v>Abierto</v>
      </c>
      <c r="I67">
        <v>1.1259999999999999</v>
      </c>
      <c r="J67">
        <v>1.66503</v>
      </c>
      <c r="K67">
        <v>0.97199999999999998</v>
      </c>
      <c r="L67">
        <v>18540</v>
      </c>
      <c r="M67">
        <v>0</v>
      </c>
      <c r="N67">
        <v>200</v>
      </c>
      <c r="O67">
        <v>80</v>
      </c>
      <c r="P67">
        <v>18332</v>
      </c>
      <c r="Q67">
        <v>20641.831999999999</v>
      </c>
      <c r="R67">
        <v>1.7459047619047618</v>
      </c>
      <c r="S67">
        <v>31.756664615384615</v>
      </c>
      <c r="T67">
        <v>31.756664615384615</v>
      </c>
      <c r="U67">
        <v>1.7459</v>
      </c>
      <c r="V67">
        <v>650</v>
      </c>
      <c r="W67" t="str">
        <v>36527-GEMMARTI</v>
      </c>
    </row>
    <row r="68" spans="1:23" x14ac:dyDescent="0.25">
      <c r="A68" t="str">
        <v>2025-10-11</v>
      </c>
      <c r="B68" t="str">
        <v>36991-PESSARRODONA AVIRAM SL-L:034-N:3-A:A13-POLLO AMARILLO MACHO</v>
      </c>
      <c r="C68" t="str">
        <v>POLLO AMARILLO MACHO</v>
      </c>
      <c r="D68">
        <v>37720</v>
      </c>
      <c r="E68" t="str">
        <v>Broiler Amarillo</v>
      </c>
      <c r="F68">
        <v>22</v>
      </c>
      <c r="G68">
        <v>0</v>
      </c>
      <c r="H68" t="str">
        <v>Abierto</v>
      </c>
      <c r="I68">
        <v>1.091</v>
      </c>
      <c r="J68">
        <v>1.79006</v>
      </c>
      <c r="K68">
        <v>0.93300000000000005</v>
      </c>
      <c r="L68">
        <v>38000</v>
      </c>
      <c r="M68">
        <v>0</v>
      </c>
      <c r="N68">
        <v>280</v>
      </c>
      <c r="O68">
        <v>357</v>
      </c>
      <c r="P68">
        <v>75440</v>
      </c>
      <c r="Q68">
        <v>79061.119999999995</v>
      </c>
      <c r="R68">
        <v>1.9890318498207129</v>
      </c>
      <c r="S68">
        <v>32.942133333333331</v>
      </c>
      <c r="T68">
        <v>32.942133333333331</v>
      </c>
      <c r="U68">
        <v>1.9890300000000001</v>
      </c>
      <c r="V68">
        <v>2400</v>
      </c>
      <c r="W68" t="str">
        <v>36991-PESSARRODONA AVIRAM SL</v>
      </c>
    </row>
    <row r="69" spans="1:23" x14ac:dyDescent="0.25">
      <c r="A69" t="str">
        <v>2025-10-11</v>
      </c>
      <c r="B69" t="str">
        <v>36991-PESSARRODONA AVIRAM SL-L:034-N:3-A:A14-POLLO AMARILLO HEMBRAS</v>
      </c>
      <c r="C69" t="str">
        <v>POLLO AMARILLO HEMBRAS</v>
      </c>
      <c r="D69">
        <v>37720</v>
      </c>
      <c r="E69" t="str">
        <v>Broiler Amarillo</v>
      </c>
      <c r="F69">
        <v>22</v>
      </c>
      <c r="G69">
        <v>0</v>
      </c>
      <c r="H69" t="str">
        <v>Abierto</v>
      </c>
      <c r="I69">
        <v>1.0049999999999999</v>
      </c>
      <c r="J69">
        <v>1.5601100000000001</v>
      </c>
      <c r="K69">
        <v>0.86899999999999999</v>
      </c>
      <c r="L69">
        <v>38000</v>
      </c>
      <c r="M69">
        <v>0</v>
      </c>
      <c r="N69">
        <v>280</v>
      </c>
      <c r="O69">
        <v>430</v>
      </c>
      <c r="P69">
        <v>75440</v>
      </c>
      <c r="Q69">
        <v>79061.119999999995</v>
      </c>
      <c r="R69">
        <v>1.9890318498207129</v>
      </c>
      <c r="S69">
        <v>32.942133333333331</v>
      </c>
      <c r="T69">
        <v>32.942133333333331</v>
      </c>
      <c r="U69">
        <v>1.9890300000000001</v>
      </c>
      <c r="V69">
        <v>2400</v>
      </c>
      <c r="W69" t="str">
        <v>36991-PESSARRODONA AVIRAM SL</v>
      </c>
    </row>
    <row r="70" spans="1:23" x14ac:dyDescent="0.25">
      <c r="A70" t="str">
        <v>2025-10-11</v>
      </c>
      <c r="B70" t="str">
        <v>36946-TRIBO MUÑOZ CRISTINA - 2-L:040-N:1-A:A13-POLLO AMARILLO MACHO</v>
      </c>
      <c r="C70" t="str">
        <v>POLLO AMARILLO MACHO</v>
      </c>
      <c r="D70">
        <v>8766</v>
      </c>
      <c r="E70" t="str">
        <v>Broiler Amarillo</v>
      </c>
      <c r="F70">
        <v>19</v>
      </c>
      <c r="G70">
        <v>0</v>
      </c>
      <c r="H70" t="str">
        <v>Abierto</v>
      </c>
      <c r="I70">
        <v>0.749</v>
      </c>
      <c r="J70">
        <v>0.80528</v>
      </c>
      <c r="K70">
        <v>0.71899999999999997</v>
      </c>
      <c r="L70">
        <v>9000</v>
      </c>
      <c r="M70">
        <v>0</v>
      </c>
      <c r="N70">
        <v>232</v>
      </c>
      <c r="O70">
        <v>129</v>
      </c>
      <c r="P70">
        <v>17637</v>
      </c>
      <c r="Q70">
        <v>12606.885</v>
      </c>
      <c r="R70">
        <v>2.0749411764705883</v>
      </c>
      <c r="S70">
        <v>21.011475000000001</v>
      </c>
      <c r="T70">
        <v>21.011475000000001</v>
      </c>
      <c r="U70">
        <v>2.0749399999999998</v>
      </c>
      <c r="V70">
        <v>600</v>
      </c>
      <c r="W70" t="str">
        <v>36946-TRIBO MUÑOZ CRISTINA - 2</v>
      </c>
    </row>
    <row r="71" spans="1:23" x14ac:dyDescent="0.25">
      <c r="A71" t="str">
        <v>2025-10-11</v>
      </c>
      <c r="B71" t="str">
        <v>36946-TRIBO MUÑOZ CRISTINA - 2-L:040-N:3-A:A13-POLLO AMARILLO MACHO</v>
      </c>
      <c r="C71" t="str">
        <v>POLLO AMARILLO MACHO</v>
      </c>
      <c r="D71">
        <v>13798</v>
      </c>
      <c r="E71" t="str">
        <v>Broiler Amarillo</v>
      </c>
      <c r="F71">
        <v>19</v>
      </c>
      <c r="G71">
        <v>0</v>
      </c>
      <c r="H71" t="str">
        <v>Abierto</v>
      </c>
      <c r="I71">
        <v>0.73899999999999999</v>
      </c>
      <c r="J71">
        <v>0.77651999999999999</v>
      </c>
      <c r="K71">
        <v>0.71899999999999997</v>
      </c>
      <c r="L71">
        <v>14000</v>
      </c>
      <c r="M71">
        <v>0</v>
      </c>
      <c r="N71">
        <v>200</v>
      </c>
      <c r="O71">
        <v>194</v>
      </c>
      <c r="P71">
        <v>27619</v>
      </c>
      <c r="Q71">
        <v>19788.495999999999</v>
      </c>
      <c r="R71">
        <v>2.1245384615384615</v>
      </c>
      <c r="S71">
        <v>21.987217777777779</v>
      </c>
      <c r="T71">
        <v>21.987217777777779</v>
      </c>
      <c r="U71">
        <v>2.1245400000000001</v>
      </c>
      <c r="V71">
        <v>900</v>
      </c>
      <c r="W71" t="str">
        <v>36946-TRIBO MUÑOZ CRISTINA - 2</v>
      </c>
    </row>
    <row r="72" spans="1:23" x14ac:dyDescent="0.25">
      <c r="A72" t="str">
        <v>2025-10-11</v>
      </c>
      <c r="B72" t="str">
        <v>36946-TRIBO MUÑOZ CRISTINA - 2-L:040-N:2-A:A13-POLLO AMARILLO MACHO</v>
      </c>
      <c r="C72" t="str">
        <v>POLLO AMARILLO MACHO</v>
      </c>
      <c r="D72">
        <v>8871</v>
      </c>
      <c r="E72" t="str">
        <v>Broiler Amarillo</v>
      </c>
      <c r="F72">
        <v>19</v>
      </c>
      <c r="G72">
        <v>0</v>
      </c>
      <c r="H72" t="str">
        <v>Abierto</v>
      </c>
      <c r="I72">
        <v>0.71899999999999997</v>
      </c>
      <c r="J72">
        <v>0.71899999999999997</v>
      </c>
      <c r="K72">
        <v>0.71899999999999997</v>
      </c>
      <c r="L72">
        <v>9000</v>
      </c>
      <c r="M72">
        <v>0</v>
      </c>
      <c r="N72">
        <v>129</v>
      </c>
      <c r="O72">
        <v>129</v>
      </c>
      <c r="P72">
        <v>17651</v>
      </c>
      <c r="Q72">
        <v>12559.369000000001</v>
      </c>
      <c r="R72">
        <v>2.0765882352941176</v>
      </c>
      <c r="S72">
        <v>20.932281666666668</v>
      </c>
      <c r="T72">
        <v>20.932281666666668</v>
      </c>
      <c r="U72">
        <v>2.0765899999999999</v>
      </c>
      <c r="V72">
        <v>600</v>
      </c>
      <c r="W72" t="str">
        <v>36946-TRIBO MUÑOZ CRISTINA - 2</v>
      </c>
    </row>
    <row r="73" spans="1:23" x14ac:dyDescent="0.25">
      <c r="A73" t="str">
        <v>2025-10-11</v>
      </c>
      <c r="B73" t="str">
        <v>36946-TRIBO MUÑOZ CRISTINA - 2-L:040-N:2-A:A14-POLLO AMARILLO HEMBRAS</v>
      </c>
      <c r="C73" t="str">
        <v>POLLO AMARILLO HEMBRAS</v>
      </c>
      <c r="D73">
        <v>8780</v>
      </c>
      <c r="E73" t="str">
        <v>Broiler Amarillo</v>
      </c>
      <c r="F73">
        <v>19</v>
      </c>
      <c r="G73">
        <v>0</v>
      </c>
      <c r="H73" t="str">
        <v>Abierto</v>
      </c>
      <c r="I73">
        <v>0.70399999999999996</v>
      </c>
      <c r="J73">
        <v>0.74439999999999995</v>
      </c>
      <c r="K73">
        <v>0.68100000000000005</v>
      </c>
      <c r="L73">
        <v>9000</v>
      </c>
      <c r="M73">
        <v>0</v>
      </c>
      <c r="N73">
        <v>217</v>
      </c>
      <c r="O73">
        <v>129</v>
      </c>
      <c r="P73">
        <v>17651</v>
      </c>
      <c r="Q73">
        <v>12559.369000000001</v>
      </c>
      <c r="R73">
        <v>2.0765882352941176</v>
      </c>
      <c r="S73">
        <v>20.932281666666668</v>
      </c>
      <c r="T73">
        <v>20.932281666666668</v>
      </c>
      <c r="U73">
        <v>2.0765899999999999</v>
      </c>
      <c r="V73">
        <v>600</v>
      </c>
      <c r="W73" t="str">
        <v>36946-TRIBO MUÑOZ CRISTINA - 2</v>
      </c>
    </row>
    <row r="74" spans="1:23" x14ac:dyDescent="0.25">
      <c r="A74" t="str">
        <v>2025-10-11</v>
      </c>
      <c r="B74" t="str">
        <v>36946-TRIBO MUÑOZ CRISTINA - 2-L:040-N:3-A:A14-POLLO AMARILLO HEMBRAS</v>
      </c>
      <c r="C74" t="str">
        <v>POLLO AMARILLO HEMBRAS</v>
      </c>
      <c r="D74">
        <v>13821</v>
      </c>
      <c r="E74" t="str">
        <v>Broiler Amarillo</v>
      </c>
      <c r="F74">
        <v>19</v>
      </c>
      <c r="G74">
        <v>0</v>
      </c>
      <c r="H74" t="str">
        <v>Abierto</v>
      </c>
      <c r="I74">
        <v>0.69399999999999995</v>
      </c>
      <c r="J74">
        <v>0.71682000000000001</v>
      </c>
      <c r="K74">
        <v>0.68100000000000005</v>
      </c>
      <c r="L74">
        <v>14000</v>
      </c>
      <c r="M74">
        <v>0</v>
      </c>
      <c r="N74">
        <v>177</v>
      </c>
      <c r="O74">
        <v>194</v>
      </c>
      <c r="P74">
        <v>27619</v>
      </c>
      <c r="Q74">
        <v>19788.495999999999</v>
      </c>
      <c r="R74">
        <v>2.1245384615384615</v>
      </c>
      <c r="S74">
        <v>21.987217777777779</v>
      </c>
      <c r="T74">
        <v>21.987217777777779</v>
      </c>
      <c r="U74">
        <v>2.1245400000000001</v>
      </c>
      <c r="V74">
        <v>900</v>
      </c>
      <c r="W74" t="str">
        <v>36946-TRIBO MUÑOZ CRISTINA - 2</v>
      </c>
    </row>
    <row r="75" spans="1:23" x14ac:dyDescent="0.25">
      <c r="A75" t="str">
        <v>2025-10-11</v>
      </c>
      <c r="B75" t="str">
        <v>36946-TRIBO MUÑOZ CRISTINA - 2-L:040-N:1-A:A14-POLLO AMARILLO HEMBRAS</v>
      </c>
      <c r="C75" t="str">
        <v>POLLO AMARILLO HEMBRAS</v>
      </c>
      <c r="D75">
        <v>8871</v>
      </c>
      <c r="E75" t="str">
        <v>Broiler Amarillo</v>
      </c>
      <c r="F75">
        <v>19</v>
      </c>
      <c r="G75">
        <v>0</v>
      </c>
      <c r="H75" t="str">
        <v>Abierto</v>
      </c>
      <c r="I75">
        <v>0.68100000000000005</v>
      </c>
      <c r="J75">
        <v>0.68100000000000005</v>
      </c>
      <c r="K75">
        <v>0.68100000000000005</v>
      </c>
      <c r="L75">
        <v>9000</v>
      </c>
      <c r="M75">
        <v>0</v>
      </c>
      <c r="N75">
        <v>129</v>
      </c>
      <c r="O75">
        <v>129</v>
      </c>
      <c r="P75">
        <v>17637</v>
      </c>
      <c r="Q75">
        <v>12606.885</v>
      </c>
      <c r="R75">
        <v>2.0749411764705883</v>
      </c>
      <c r="S75">
        <v>21.011475000000001</v>
      </c>
      <c r="T75">
        <v>21.011475000000001</v>
      </c>
      <c r="U75">
        <v>2.0749399999999998</v>
      </c>
      <c r="V75">
        <v>600</v>
      </c>
      <c r="W75" t="str">
        <v>36946-TRIBO MUÑOZ CRISTINA - 2</v>
      </c>
    </row>
    <row r="76" spans="1:23" x14ac:dyDescent="0.25">
      <c r="A76" t="str">
        <v>2025-10-11</v>
      </c>
      <c r="B76" t="str">
        <v>36308-CAL CASO SCP-L:147-N:1-A:A13-POLLO AMARILLO MACHO</v>
      </c>
      <c r="C76" t="str">
        <v>POLLO AMARILLO MACHO</v>
      </c>
      <c r="D76">
        <v>11617</v>
      </c>
      <c r="E76" t="str">
        <v>Broiler Amarillo</v>
      </c>
      <c r="F76">
        <v>16</v>
      </c>
      <c r="G76">
        <v>0</v>
      </c>
      <c r="H76" t="str">
        <v>Abierto</v>
      </c>
      <c r="I76">
        <v>0.58199999999999996</v>
      </c>
      <c r="J76">
        <v>0.63839999999999997</v>
      </c>
      <c r="K76">
        <v>0.53200000000000003</v>
      </c>
      <c r="L76">
        <v>11800</v>
      </c>
      <c r="M76">
        <v>0</v>
      </c>
      <c r="N76">
        <v>180</v>
      </c>
      <c r="O76">
        <v>43</v>
      </c>
      <c r="P76">
        <v>23082</v>
      </c>
      <c r="Q76">
        <v>12619.709000000001</v>
      </c>
      <c r="R76">
        <v>1.84656</v>
      </c>
      <c r="S76">
        <v>17.030646423751687</v>
      </c>
      <c r="T76">
        <v>17.030646423751687</v>
      </c>
      <c r="U76">
        <v>1.84656</v>
      </c>
      <c r="V76">
        <v>741</v>
      </c>
      <c r="W76" t="str">
        <v>36308-CAL CASO SCP</v>
      </c>
    </row>
    <row r="77" spans="1:23" x14ac:dyDescent="0.25">
      <c r="A77" t="str">
        <v>2025-10-11</v>
      </c>
      <c r="B77" t="str">
        <v>36308-CAL CASO SCP-L:147-N:2-A:A13-POLLO AMARILLO MACHO</v>
      </c>
      <c r="C77" t="str">
        <v>POLLO AMARILLO MACHO</v>
      </c>
      <c r="D77">
        <v>11606</v>
      </c>
      <c r="E77" t="str">
        <v>Broiler Amarillo</v>
      </c>
      <c r="F77">
        <v>16</v>
      </c>
      <c r="G77">
        <v>0</v>
      </c>
      <c r="H77" t="str">
        <v>Abierto</v>
      </c>
      <c r="I77">
        <v>0.58199999999999996</v>
      </c>
      <c r="J77">
        <v>0.63839999999999997</v>
      </c>
      <c r="K77">
        <v>0.53200000000000003</v>
      </c>
      <c r="L77">
        <v>11800</v>
      </c>
      <c r="M77">
        <v>0</v>
      </c>
      <c r="N77">
        <v>191</v>
      </c>
      <c r="O77">
        <v>157</v>
      </c>
      <c r="P77">
        <v>23249</v>
      </c>
      <c r="Q77">
        <v>12704.264999999999</v>
      </c>
      <c r="R77">
        <v>1.85992</v>
      </c>
      <c r="S77">
        <v>17.144757085020242</v>
      </c>
      <c r="T77">
        <v>17.144757085020242</v>
      </c>
      <c r="U77">
        <v>1.85992</v>
      </c>
      <c r="V77">
        <v>741</v>
      </c>
      <c r="W77" t="str">
        <v>36308-CAL CASO SCP</v>
      </c>
    </row>
    <row r="78" spans="1:23" x14ac:dyDescent="0.25">
      <c r="A78" t="str">
        <v>2025-10-11</v>
      </c>
      <c r="B78" t="str">
        <v>36863-GABANDE LOPEZ EVA - 2 (VERNET)-L:075-N:2-A:A13-POLLO AMARILLO MACHO</v>
      </c>
      <c r="C78" t="str">
        <v>POLLO AMARILLO MACHO</v>
      </c>
      <c r="D78">
        <v>11603</v>
      </c>
      <c r="E78" t="str">
        <v>Broiler Amarillo</v>
      </c>
      <c r="F78">
        <v>16</v>
      </c>
      <c r="G78">
        <v>0</v>
      </c>
      <c r="H78" t="str">
        <v>Abierto</v>
      </c>
      <c r="I78">
        <v>0.58199999999999996</v>
      </c>
      <c r="J78">
        <v>0.63839999999999997</v>
      </c>
      <c r="K78">
        <v>0.53200000000000003</v>
      </c>
      <c r="L78">
        <v>11800</v>
      </c>
      <c r="M78">
        <v>0</v>
      </c>
      <c r="N78">
        <v>194</v>
      </c>
      <c r="O78">
        <v>157</v>
      </c>
      <c r="P78">
        <v>23246</v>
      </c>
      <c r="Q78">
        <v>12702.519</v>
      </c>
      <c r="R78">
        <v>1.9783829787234044</v>
      </c>
      <c r="S78">
        <v>16.28528076923077</v>
      </c>
      <c r="T78">
        <v>16.28528076923077</v>
      </c>
      <c r="U78">
        <v>1.97838</v>
      </c>
      <c r="V78">
        <v>780</v>
      </c>
      <c r="W78" t="str">
        <v>36863-GABANDE LOPEZ EVA - 2 (VERNET)</v>
      </c>
    </row>
    <row r="79" spans="1:23" x14ac:dyDescent="0.25">
      <c r="A79" t="str">
        <v>2025-10-11</v>
      </c>
      <c r="B79" t="str">
        <v>36811-FORCADES PEREZ JOSEP MARIA-L:076-N:5-A:A13-POLLO AMARILLO MACHO</v>
      </c>
      <c r="C79" t="str">
        <v>POLLO AMARILLO MACHO</v>
      </c>
      <c r="D79">
        <v>25594</v>
      </c>
      <c r="E79" t="str">
        <v>Broiler Amarillo</v>
      </c>
      <c r="F79">
        <v>16</v>
      </c>
      <c r="G79">
        <v>0</v>
      </c>
      <c r="H79" t="str">
        <v>Abierto</v>
      </c>
      <c r="I79">
        <v>0.57199999999999995</v>
      </c>
      <c r="J79">
        <v>0.61712</v>
      </c>
      <c r="K79">
        <v>0.53200000000000003</v>
      </c>
      <c r="L79">
        <v>26200</v>
      </c>
      <c r="M79">
        <v>0</v>
      </c>
      <c r="N79">
        <v>594</v>
      </c>
      <c r="O79">
        <v>354</v>
      </c>
      <c r="P79">
        <v>51640</v>
      </c>
      <c r="Q79">
        <v>27949.274000000001</v>
      </c>
      <c r="R79">
        <v>2.0655999999999999</v>
      </c>
      <c r="S79">
        <v>19.195929945054946</v>
      </c>
      <c r="T79">
        <v>19.195929945054946</v>
      </c>
      <c r="U79">
        <v>2.0655999999999999</v>
      </c>
      <c r="V79">
        <v>1456</v>
      </c>
      <c r="W79" t="str">
        <v>36811-FORCADES PEREZ JOSEP MARIA</v>
      </c>
    </row>
    <row r="80" spans="1:23" x14ac:dyDescent="0.25">
      <c r="A80" t="str">
        <v>2025-10-11</v>
      </c>
      <c r="B80" t="str">
        <v>36811-FORCADES PEREZ JOSEP MARIA-L:076-N:1-A:A13-POLLO AMARILLO MACHO</v>
      </c>
      <c r="C80" t="str">
        <v>POLLO AMARILLO MACHO</v>
      </c>
      <c r="D80">
        <v>15134</v>
      </c>
      <c r="E80" t="str">
        <v>Broiler Amarillo</v>
      </c>
      <c r="F80">
        <v>16</v>
      </c>
      <c r="G80">
        <v>0</v>
      </c>
      <c r="H80" t="str">
        <v>Abierto</v>
      </c>
      <c r="I80">
        <v>0.56699999999999995</v>
      </c>
      <c r="J80">
        <v>0.60648000000000002</v>
      </c>
      <c r="K80">
        <v>0.53200000000000003</v>
      </c>
      <c r="L80">
        <v>15600</v>
      </c>
      <c r="M80">
        <v>0</v>
      </c>
      <c r="N80">
        <v>457</v>
      </c>
      <c r="O80">
        <v>212</v>
      </c>
      <c r="P80">
        <v>30722</v>
      </c>
      <c r="Q80">
        <v>16546.446</v>
      </c>
      <c r="R80">
        <v>2.0481333333333334</v>
      </c>
      <c r="S80">
        <v>19.352568421052631</v>
      </c>
      <c r="T80">
        <v>19.352568421052631</v>
      </c>
      <c r="U80">
        <v>2.04813</v>
      </c>
      <c r="V80">
        <v>855</v>
      </c>
      <c r="W80" t="str">
        <v>36811-FORCADES PEREZ JOSEP MARIA</v>
      </c>
    </row>
    <row r="81" spans="1:23" x14ac:dyDescent="0.25">
      <c r="A81" t="str">
        <v>2025-10-11</v>
      </c>
      <c r="B81" t="str">
        <v>36034-ALCOLEA MARTI, EFREN-L:028-N:1-A:A15-POLLO AMARILLO MIXTO</v>
      </c>
      <c r="C81" t="str">
        <v>POLLO AMARILLO MIXTO</v>
      </c>
      <c r="D81">
        <v>77761</v>
      </c>
      <c r="E81" t="str">
        <v>Broiler Amarillo</v>
      </c>
      <c r="F81">
        <v>15</v>
      </c>
      <c r="G81">
        <v>0</v>
      </c>
      <c r="H81" t="str">
        <v>Abierto</v>
      </c>
      <c r="I81">
        <v>0.56000000000000005</v>
      </c>
      <c r="J81">
        <v>0.66732999999999998</v>
      </c>
      <c r="K81">
        <v>0.46800000000000003</v>
      </c>
      <c r="L81">
        <v>77940</v>
      </c>
      <c r="M81">
        <v>0</v>
      </c>
      <c r="N81">
        <v>174</v>
      </c>
      <c r="O81">
        <v>824</v>
      </c>
      <c r="P81">
        <v>77761</v>
      </c>
      <c r="Q81">
        <v>43546.16</v>
      </c>
      <c r="R81">
        <v>1.9440249999999999</v>
      </c>
      <c r="S81">
        <v>21.610997518610422</v>
      </c>
      <c r="T81">
        <v>21.610997518610422</v>
      </c>
      <c r="U81">
        <v>1.9440299999999999</v>
      </c>
      <c r="V81">
        <v>2015</v>
      </c>
      <c r="W81" t="str">
        <v>36034-ALCOLEA MARTI, EFREN</v>
      </c>
    </row>
    <row r="82" spans="1:23" x14ac:dyDescent="0.25">
      <c r="A82" t="str">
        <v>2025-10-11</v>
      </c>
      <c r="B82" t="str">
        <v>36811-FORCADES PEREZ JOSEP MARIA-L:076-N:4-A:A15-POLLO AMARILLO MIXTO</v>
      </c>
      <c r="C82" t="str">
        <v>POLLO AMARILLO MIXTO</v>
      </c>
      <c r="D82">
        <v>16920</v>
      </c>
      <c r="E82" t="str">
        <v>Broiler Amarillo</v>
      </c>
      <c r="F82">
        <v>16</v>
      </c>
      <c r="G82">
        <v>0</v>
      </c>
      <c r="H82" t="str">
        <v>Abierto</v>
      </c>
      <c r="I82">
        <v>0.55600000000000005</v>
      </c>
      <c r="J82">
        <v>0.59355000000000002</v>
      </c>
      <c r="K82">
        <v>0.52200000000000002</v>
      </c>
      <c r="L82">
        <v>17100</v>
      </c>
      <c r="M82">
        <v>0</v>
      </c>
      <c r="N82">
        <v>174</v>
      </c>
      <c r="O82">
        <v>231</v>
      </c>
      <c r="P82">
        <v>16920</v>
      </c>
      <c r="Q82">
        <v>9407.52</v>
      </c>
      <c r="R82">
        <v>1.88</v>
      </c>
      <c r="S82">
        <v>20.630526315789474</v>
      </c>
      <c r="T82">
        <v>20.630526315789474</v>
      </c>
      <c r="U82">
        <v>1.88</v>
      </c>
      <c r="V82">
        <v>456</v>
      </c>
      <c r="W82" t="str">
        <v>36811-FORCADES PEREZ JOSEP MARIA</v>
      </c>
    </row>
    <row r="83" spans="1:23" x14ac:dyDescent="0.25">
      <c r="A83" t="str">
        <v>2025-10-11</v>
      </c>
      <c r="B83" t="str">
        <v>36811-FORCADES PEREZ JOSEP MARIA-L:076-N:3-A:A15-POLLO AMARILLO MIXTO</v>
      </c>
      <c r="C83" t="str">
        <v>POLLO AMARILLO MIXTO</v>
      </c>
      <c r="D83">
        <v>16924</v>
      </c>
      <c r="E83" t="str">
        <v>Broiler Amarillo</v>
      </c>
      <c r="F83">
        <v>16</v>
      </c>
      <c r="G83">
        <v>0</v>
      </c>
      <c r="H83" t="str">
        <v>Abierto</v>
      </c>
      <c r="I83">
        <v>0.55600000000000005</v>
      </c>
      <c r="J83">
        <v>0.59355000000000002</v>
      </c>
      <c r="K83">
        <v>0.52200000000000002</v>
      </c>
      <c r="L83">
        <v>17100</v>
      </c>
      <c r="M83">
        <v>0</v>
      </c>
      <c r="N83">
        <v>174</v>
      </c>
      <c r="O83">
        <v>231</v>
      </c>
      <c r="P83">
        <v>16924</v>
      </c>
      <c r="Q83">
        <v>9409.7440000000006</v>
      </c>
      <c r="R83">
        <v>1.8804444444444444</v>
      </c>
      <c r="S83">
        <v>20.63540350877193</v>
      </c>
      <c r="T83">
        <v>20.63540350877193</v>
      </c>
      <c r="U83">
        <v>1.8804399999999999</v>
      </c>
      <c r="V83">
        <v>456</v>
      </c>
      <c r="W83" t="str">
        <v>36811-FORCADES PEREZ JOSEP MARIA</v>
      </c>
    </row>
    <row r="84" spans="1:23" x14ac:dyDescent="0.25">
      <c r="A84" t="str">
        <v>2025-10-11</v>
      </c>
      <c r="B84" t="str">
        <v>36811-FORCADES PEREZ JOSEP MARIA-L:076-N:2-A:A14-POLLO AMARILLO HEMBRAS</v>
      </c>
      <c r="C84" t="str">
        <v>POLLO AMARILLO HEMBRAS</v>
      </c>
      <c r="D84">
        <v>15228</v>
      </c>
      <c r="E84" t="str">
        <v>Broiler Amarillo</v>
      </c>
      <c r="F84">
        <v>16</v>
      </c>
      <c r="G84">
        <v>0</v>
      </c>
      <c r="H84" t="str">
        <v>Abierto</v>
      </c>
      <c r="I84">
        <v>0.54</v>
      </c>
      <c r="J84">
        <v>0.57099999999999995</v>
      </c>
      <c r="K84">
        <v>0.51100000000000001</v>
      </c>
      <c r="L84">
        <v>15600</v>
      </c>
      <c r="M84">
        <v>0</v>
      </c>
      <c r="N84">
        <v>363</v>
      </c>
      <c r="O84">
        <v>123</v>
      </c>
      <c r="P84">
        <v>30732</v>
      </c>
      <c r="Q84">
        <v>16471.248</v>
      </c>
      <c r="R84">
        <v>2.0488</v>
      </c>
      <c r="S84">
        <v>19.26461754385965</v>
      </c>
      <c r="T84">
        <v>19.26461754385965</v>
      </c>
      <c r="U84">
        <v>2.0488</v>
      </c>
      <c r="V84">
        <v>855</v>
      </c>
      <c r="W84" t="str">
        <v>36811-FORCADES PEREZ JOSEP MARIA</v>
      </c>
    </row>
    <row r="85" spans="1:23" x14ac:dyDescent="0.25">
      <c r="A85" t="str">
        <v>2025-10-11</v>
      </c>
      <c r="B85" t="str">
        <v>36034-ALCOLEA MARTI, EFREN-L:028-N:2-A:A13-POLLO AMARILLO MACHO</v>
      </c>
      <c r="C85" t="str">
        <v>POLLO AMARILLO MACHO</v>
      </c>
      <c r="D85">
        <v>37375</v>
      </c>
      <c r="E85" t="str">
        <v>Broiler Amarillo</v>
      </c>
      <c r="F85">
        <v>15</v>
      </c>
      <c r="G85">
        <v>0</v>
      </c>
      <c r="H85" t="str">
        <v>Abierto</v>
      </c>
      <c r="I85">
        <v>0.53500000000000003</v>
      </c>
      <c r="J85">
        <v>0.58765999999999996</v>
      </c>
      <c r="K85">
        <v>0.47699999999999998</v>
      </c>
      <c r="L85">
        <v>37600</v>
      </c>
      <c r="M85">
        <v>0</v>
      </c>
      <c r="N85">
        <v>220</v>
      </c>
      <c r="O85">
        <v>335</v>
      </c>
      <c r="P85">
        <v>74995</v>
      </c>
      <c r="Q85">
        <v>39595.644999999997</v>
      </c>
      <c r="R85">
        <v>1.8748750000000001</v>
      </c>
      <c r="S85">
        <v>19.650444168734492</v>
      </c>
      <c r="T85">
        <v>19.650444168734492</v>
      </c>
      <c r="U85">
        <v>1.8748800000000001</v>
      </c>
      <c r="V85">
        <v>2015</v>
      </c>
      <c r="W85" t="str">
        <v>36034-ALCOLEA MARTI, EFREN</v>
      </c>
    </row>
    <row r="86" spans="1:23" x14ac:dyDescent="0.25">
      <c r="A86" t="str">
        <v>2025-10-11</v>
      </c>
      <c r="B86" t="str">
        <v>36811-FORCADES PEREZ JOSEP MARIA-L:076-N:2-A:A13-POLLO AMARILLO MACHO</v>
      </c>
      <c r="C86" t="str">
        <v>POLLO AMARILLO MACHO</v>
      </c>
      <c r="D86">
        <v>15504</v>
      </c>
      <c r="E86" t="str">
        <v>Broiler Amarillo</v>
      </c>
      <c r="F86">
        <v>16</v>
      </c>
      <c r="G86">
        <v>0</v>
      </c>
      <c r="H86" t="str">
        <v>Abierto</v>
      </c>
      <c r="I86">
        <v>0.53200000000000003</v>
      </c>
      <c r="J86">
        <v>0.53200000000000003</v>
      </c>
      <c r="K86">
        <v>0.53200000000000003</v>
      </c>
      <c r="L86">
        <v>15600</v>
      </c>
      <c r="M86">
        <v>0</v>
      </c>
      <c r="N86">
        <v>96</v>
      </c>
      <c r="O86">
        <v>96</v>
      </c>
      <c r="P86">
        <v>30732</v>
      </c>
      <c r="Q86">
        <v>16471.248</v>
      </c>
      <c r="R86">
        <v>2.0488</v>
      </c>
      <c r="S86">
        <v>19.26461754385965</v>
      </c>
      <c r="T86">
        <v>19.26461754385965</v>
      </c>
      <c r="U86">
        <v>2.0488</v>
      </c>
      <c r="V86">
        <v>855</v>
      </c>
      <c r="W86" t="str">
        <v>36811-FORCADES PEREZ JOSEP MARIA</v>
      </c>
    </row>
    <row r="87" spans="1:23" x14ac:dyDescent="0.25">
      <c r="A87" t="str">
        <v>2025-10-11</v>
      </c>
      <c r="B87" t="str">
        <v>36731-BLASI INGLA JAUME-L:121-N:1-A:A13-POLLO AMARILLO MACHO</v>
      </c>
      <c r="C87" t="str">
        <v>POLLO AMARILLO MACHO</v>
      </c>
      <c r="D87">
        <v>22852</v>
      </c>
      <c r="E87" t="str">
        <v>Broiler Amarillo</v>
      </c>
      <c r="F87">
        <v>15</v>
      </c>
      <c r="G87">
        <v>0</v>
      </c>
      <c r="H87" t="str">
        <v>Abierto</v>
      </c>
      <c r="I87">
        <v>0.52700000000000002</v>
      </c>
      <c r="J87">
        <v>0.57240000000000002</v>
      </c>
      <c r="K87">
        <v>0.47699999999999998</v>
      </c>
      <c r="L87">
        <v>23400</v>
      </c>
      <c r="M87">
        <v>0</v>
      </c>
      <c r="N87">
        <v>545</v>
      </c>
      <c r="O87">
        <v>308</v>
      </c>
      <c r="P87">
        <v>46336</v>
      </c>
      <c r="Q87">
        <v>22845.644</v>
      </c>
      <c r="R87">
        <v>1.85344</v>
      </c>
      <c r="S87">
        <v>15.998350140056022</v>
      </c>
      <c r="T87">
        <v>15.998350140056022</v>
      </c>
      <c r="U87">
        <v>1.85344</v>
      </c>
      <c r="V87">
        <v>1428</v>
      </c>
      <c r="W87" t="str">
        <v>36731-BLASI INGLA JAUME</v>
      </c>
    </row>
    <row r="88" spans="1:23" x14ac:dyDescent="0.25">
      <c r="A88" t="str">
        <v>2025-10-11</v>
      </c>
      <c r="B88" t="str">
        <v>36789-GABANDE LOPEZ EVA-1 (ALENTORN)-L:085-N:1-A:A13-POLLO AMARILLO MACHO</v>
      </c>
      <c r="C88" t="str">
        <v>POLLO AMARILLO MACHO</v>
      </c>
      <c r="D88">
        <v>8388</v>
      </c>
      <c r="E88" t="str">
        <v>Broiler Amarillo</v>
      </c>
      <c r="F88">
        <v>15</v>
      </c>
      <c r="G88">
        <v>0</v>
      </c>
      <c r="H88" t="str">
        <v>Abierto</v>
      </c>
      <c r="I88">
        <v>0.52700000000000002</v>
      </c>
      <c r="J88">
        <v>0.57240000000000002</v>
      </c>
      <c r="K88">
        <v>0.47699999999999998</v>
      </c>
      <c r="L88">
        <v>8600</v>
      </c>
      <c r="M88">
        <v>0</v>
      </c>
      <c r="N88">
        <v>209</v>
      </c>
      <c r="O88">
        <v>118</v>
      </c>
      <c r="P88">
        <v>17070</v>
      </c>
      <c r="Q88">
        <v>8414.1959999999999</v>
      </c>
      <c r="R88">
        <v>2.13375</v>
      </c>
      <c r="S88">
        <v>15.816157894736842</v>
      </c>
      <c r="T88">
        <v>15.816157894736842</v>
      </c>
      <c r="U88">
        <v>2.13375</v>
      </c>
      <c r="V88">
        <v>532</v>
      </c>
      <c r="W88" t="str">
        <v>36789-GABANDE LOPEZ EVA-1 (ALENTORN)</v>
      </c>
    </row>
    <row r="89" spans="1:23" x14ac:dyDescent="0.25">
      <c r="A89" t="str">
        <v>2025-10-11</v>
      </c>
      <c r="B89" t="str">
        <v>36034-ALCOLEA MARTI, EFREN-L:028-N:2-A:A14-POLLO AMARILLO HEMBRAS</v>
      </c>
      <c r="C89" t="str">
        <v>POLLO AMARILLO HEMBRAS</v>
      </c>
      <c r="D89">
        <v>37620</v>
      </c>
      <c r="E89" t="str">
        <v>Broiler Amarillo</v>
      </c>
      <c r="F89">
        <v>15</v>
      </c>
      <c r="G89">
        <v>0</v>
      </c>
      <c r="H89" t="str">
        <v>Abierto</v>
      </c>
      <c r="I89">
        <v>0.52100000000000002</v>
      </c>
      <c r="J89">
        <v>0.57360999999999995</v>
      </c>
      <c r="K89">
        <v>0.46</v>
      </c>
      <c r="L89">
        <v>37800</v>
      </c>
      <c r="M89">
        <v>0</v>
      </c>
      <c r="N89">
        <v>175</v>
      </c>
      <c r="O89">
        <v>186</v>
      </c>
      <c r="P89">
        <v>74995</v>
      </c>
      <c r="Q89">
        <v>39595.644999999997</v>
      </c>
      <c r="R89">
        <v>1.8748750000000001</v>
      </c>
      <c r="S89">
        <v>19.650444168734492</v>
      </c>
      <c r="T89">
        <v>19.650444168734492</v>
      </c>
      <c r="U89">
        <v>1.8748800000000001</v>
      </c>
      <c r="V89">
        <v>2015</v>
      </c>
      <c r="W89" t="str">
        <v>36034-ALCOLEA MARTI, EFREN</v>
      </c>
    </row>
    <row r="90" spans="1:23" x14ac:dyDescent="0.25">
      <c r="A90" t="str">
        <v>2025-10-11</v>
      </c>
      <c r="B90" t="str">
        <v>36978-CORAL SANTACANA SLU-L:036-N:1-A:A13-POLLO AMARILLO MACHO</v>
      </c>
      <c r="C90" t="str">
        <v>POLLO AMARILLO MACHO</v>
      </c>
      <c r="D90">
        <v>13087</v>
      </c>
      <c r="E90" t="str">
        <v>Broiler Amarillo</v>
      </c>
      <c r="F90">
        <v>15</v>
      </c>
      <c r="G90">
        <v>0</v>
      </c>
      <c r="H90" t="str">
        <v>Abierto</v>
      </c>
      <c r="I90">
        <v>0.52</v>
      </c>
      <c r="J90">
        <v>0.57154000000000005</v>
      </c>
      <c r="K90">
        <v>0.47699999999999998</v>
      </c>
      <c r="L90">
        <v>13200</v>
      </c>
      <c r="M90">
        <v>0</v>
      </c>
      <c r="N90">
        <v>113</v>
      </c>
      <c r="O90">
        <v>174</v>
      </c>
      <c r="P90">
        <v>26574</v>
      </c>
      <c r="Q90">
        <v>13481.305</v>
      </c>
      <c r="R90">
        <v>2.120830007980846</v>
      </c>
      <c r="S90">
        <v>19.259007142857143</v>
      </c>
      <c r="T90">
        <v>19.259007142857143</v>
      </c>
      <c r="U90">
        <v>2.1208300000000002</v>
      </c>
      <c r="V90">
        <v>700</v>
      </c>
      <c r="W90" t="str">
        <v>36978-CORAL SANTACANA SLU</v>
      </c>
    </row>
    <row r="91" spans="1:23" x14ac:dyDescent="0.25">
      <c r="A91" t="str">
        <v>2025-10-11</v>
      </c>
      <c r="B91" t="str">
        <v>36789-GABANDE LOPEZ EVA-1 (ALENTORN)-L:085-N:2-A:A13-POLLO AMARILLO MACHO</v>
      </c>
      <c r="C91" t="str">
        <v>POLLO AMARILLO MACHO</v>
      </c>
      <c r="D91">
        <v>8400</v>
      </c>
      <c r="E91" t="str">
        <v>Broiler Amarillo</v>
      </c>
      <c r="F91">
        <v>15</v>
      </c>
      <c r="G91">
        <v>0</v>
      </c>
      <c r="H91" t="str">
        <v>Abierto</v>
      </c>
      <c r="I91">
        <v>0.51700000000000002</v>
      </c>
      <c r="J91">
        <v>0.55332000000000003</v>
      </c>
      <c r="K91">
        <v>0.47699999999999998</v>
      </c>
      <c r="L91">
        <v>8600</v>
      </c>
      <c r="M91">
        <v>0</v>
      </c>
      <c r="N91">
        <v>197</v>
      </c>
      <c r="O91">
        <v>31</v>
      </c>
      <c r="P91">
        <v>17328</v>
      </c>
      <c r="Q91">
        <v>8449.68</v>
      </c>
      <c r="R91">
        <v>2.1659999999999999</v>
      </c>
      <c r="S91">
        <v>15.882857142857143</v>
      </c>
      <c r="T91">
        <v>15.882857142857143</v>
      </c>
      <c r="U91">
        <v>2.1659999999999999</v>
      </c>
      <c r="V91">
        <v>532</v>
      </c>
      <c r="W91" t="str">
        <v>36789-GABANDE LOPEZ EVA-1 (ALENTORN)</v>
      </c>
    </row>
    <row r="92" spans="1:23" x14ac:dyDescent="0.25">
      <c r="A92" t="str">
        <v>2025-10-11</v>
      </c>
      <c r="B92" t="str">
        <v>36308-CAL CASO SCP-L:147-N:1-A:A14-POLLO AMARILLO HEMBRAS</v>
      </c>
      <c r="C92" t="str">
        <v>POLLO AMARILLO HEMBRAS</v>
      </c>
      <c r="D92">
        <v>11465</v>
      </c>
      <c r="E92" t="str">
        <v>Broiler Amarillo</v>
      </c>
      <c r="F92">
        <v>16</v>
      </c>
      <c r="G92">
        <v>0</v>
      </c>
      <c r="H92" t="str">
        <v>Abierto</v>
      </c>
      <c r="I92">
        <v>0.51100000000000001</v>
      </c>
      <c r="J92">
        <v>0.51100000000000001</v>
      </c>
      <c r="K92">
        <v>0.51100000000000001</v>
      </c>
      <c r="L92">
        <v>11600</v>
      </c>
      <c r="M92">
        <v>0</v>
      </c>
      <c r="N92">
        <v>135</v>
      </c>
      <c r="O92">
        <v>135</v>
      </c>
      <c r="P92">
        <v>23082</v>
      </c>
      <c r="Q92">
        <v>12619.709000000001</v>
      </c>
      <c r="R92">
        <v>1.84656</v>
      </c>
      <c r="S92">
        <v>17.030646423751687</v>
      </c>
      <c r="T92">
        <v>17.030646423751687</v>
      </c>
      <c r="U92">
        <v>1.84656</v>
      </c>
      <c r="V92">
        <v>741</v>
      </c>
      <c r="W92" t="str">
        <v>36308-CAL CASO SCP</v>
      </c>
    </row>
    <row r="93" spans="1:23" x14ac:dyDescent="0.25">
      <c r="A93" t="str">
        <v>2025-10-11</v>
      </c>
      <c r="B93" t="str">
        <v>36863-GABANDE LOPEZ EVA - 2 (VERNET)-L:075-N:1-A:A14-POLLO AMARILLO HEMBRAS</v>
      </c>
      <c r="C93" t="str">
        <v>POLLO AMARILLO HEMBRAS</v>
      </c>
      <c r="D93">
        <v>11643</v>
      </c>
      <c r="E93" t="str">
        <v>Broiler Amarillo</v>
      </c>
      <c r="F93">
        <v>16</v>
      </c>
      <c r="G93">
        <v>0</v>
      </c>
      <c r="H93" t="str">
        <v>Abierto</v>
      </c>
      <c r="I93">
        <v>0.51100000000000001</v>
      </c>
      <c r="J93">
        <v>0.51100000000000001</v>
      </c>
      <c r="K93">
        <v>0.51100000000000001</v>
      </c>
      <c r="L93">
        <v>11800</v>
      </c>
      <c r="M93">
        <v>0</v>
      </c>
      <c r="N93">
        <v>157</v>
      </c>
      <c r="O93">
        <v>157</v>
      </c>
      <c r="P93">
        <v>23257</v>
      </c>
      <c r="Q93">
        <v>11791.415000000001</v>
      </c>
      <c r="R93">
        <v>1.9793191489361701</v>
      </c>
      <c r="S93">
        <v>15.117198717948718</v>
      </c>
      <c r="T93">
        <v>15.117198717948718</v>
      </c>
      <c r="U93">
        <v>1.97932</v>
      </c>
      <c r="V93">
        <v>780</v>
      </c>
      <c r="W93" t="str">
        <v>36863-GABANDE LOPEZ EVA - 2 (VERNET)</v>
      </c>
    </row>
    <row r="94" spans="1:23" x14ac:dyDescent="0.25">
      <c r="A94" t="str">
        <v>2025-10-11</v>
      </c>
      <c r="B94" t="str">
        <v>36863-GABANDE LOPEZ EVA - 2 (VERNET)-L:075-N:2-A:A14-POLLO AMARILLO HEMBRAS</v>
      </c>
      <c r="C94" t="str">
        <v>POLLO AMARILLO HEMBRAS</v>
      </c>
      <c r="D94">
        <v>11643</v>
      </c>
      <c r="E94" t="str">
        <v>Broiler Amarillo</v>
      </c>
      <c r="F94">
        <v>16</v>
      </c>
      <c r="G94">
        <v>0</v>
      </c>
      <c r="H94" t="str">
        <v>Abierto</v>
      </c>
      <c r="I94">
        <v>0.51100000000000001</v>
      </c>
      <c r="J94">
        <v>0.51100000000000001</v>
      </c>
      <c r="K94">
        <v>0.51100000000000001</v>
      </c>
      <c r="L94">
        <v>11800</v>
      </c>
      <c r="M94">
        <v>0</v>
      </c>
      <c r="N94">
        <v>157</v>
      </c>
      <c r="O94">
        <v>157</v>
      </c>
      <c r="P94">
        <v>23246</v>
      </c>
      <c r="Q94">
        <v>12702.519</v>
      </c>
      <c r="R94">
        <v>1.9783829787234044</v>
      </c>
      <c r="S94">
        <v>16.28528076923077</v>
      </c>
      <c r="T94">
        <v>16.28528076923077</v>
      </c>
      <c r="U94">
        <v>1.97838</v>
      </c>
      <c r="V94">
        <v>780</v>
      </c>
      <c r="W94" t="str">
        <v>36863-GABANDE LOPEZ EVA - 2 (VERNET)</v>
      </c>
    </row>
    <row r="95" spans="1:23" x14ac:dyDescent="0.25">
      <c r="A95" t="str">
        <v>2025-10-11</v>
      </c>
      <c r="B95" t="str">
        <v>36811-FORCADES PEREZ JOSEP MARIA-L:076-N:1-A:A14-POLLO AMARILLO HEMBRAS</v>
      </c>
      <c r="C95" t="str">
        <v>POLLO AMARILLO HEMBRAS</v>
      </c>
      <c r="D95">
        <v>15588</v>
      </c>
      <c r="E95" t="str">
        <v>Broiler Amarillo</v>
      </c>
      <c r="F95">
        <v>16</v>
      </c>
      <c r="G95">
        <v>0</v>
      </c>
      <c r="H95" t="str">
        <v>Abierto</v>
      </c>
      <c r="I95">
        <v>0.51100000000000001</v>
      </c>
      <c r="J95">
        <v>0.51100000000000001</v>
      </c>
      <c r="K95">
        <v>0.51100000000000001</v>
      </c>
      <c r="L95">
        <v>15800</v>
      </c>
      <c r="M95">
        <v>0</v>
      </c>
      <c r="N95">
        <v>212</v>
      </c>
      <c r="O95">
        <v>212</v>
      </c>
      <c r="P95">
        <v>30722</v>
      </c>
      <c r="Q95">
        <v>16546.446</v>
      </c>
      <c r="R95">
        <v>2.0481333333333334</v>
      </c>
      <c r="S95">
        <v>19.352568421052631</v>
      </c>
      <c r="T95">
        <v>19.352568421052631</v>
      </c>
      <c r="U95">
        <v>2.04813</v>
      </c>
      <c r="V95">
        <v>855</v>
      </c>
      <c r="W95" t="str">
        <v>36811-FORCADES PEREZ JOSEP MARIA</v>
      </c>
    </row>
    <row r="96" spans="1:23" x14ac:dyDescent="0.25">
      <c r="A96" t="str">
        <v>2025-10-11</v>
      </c>
      <c r="B96" t="str">
        <v>36811-FORCADES PEREZ JOSEP MARIA-L:076-N:5-A:A14-POLLO AMARILLO HEMBRAS</v>
      </c>
      <c r="C96" t="str">
        <v>POLLO AMARILLO HEMBRAS</v>
      </c>
      <c r="D96">
        <v>26046</v>
      </c>
      <c r="E96" t="str">
        <v>Broiler Amarillo</v>
      </c>
      <c r="F96">
        <v>16</v>
      </c>
      <c r="G96">
        <v>0</v>
      </c>
      <c r="H96" t="str">
        <v>Abierto</v>
      </c>
      <c r="I96">
        <v>0.51100000000000001</v>
      </c>
      <c r="J96">
        <v>0.51100000000000001</v>
      </c>
      <c r="K96">
        <v>0.51100000000000001</v>
      </c>
      <c r="L96">
        <v>26400</v>
      </c>
      <c r="M96">
        <v>0</v>
      </c>
      <c r="N96">
        <v>354</v>
      </c>
      <c r="O96">
        <v>354</v>
      </c>
      <c r="P96">
        <v>51640</v>
      </c>
      <c r="Q96">
        <v>27949.274000000001</v>
      </c>
      <c r="R96">
        <v>2.0655999999999999</v>
      </c>
      <c r="S96">
        <v>19.195929945054946</v>
      </c>
      <c r="T96">
        <v>19.195929945054946</v>
      </c>
      <c r="U96">
        <v>2.0655999999999999</v>
      </c>
      <c r="V96">
        <v>1456</v>
      </c>
      <c r="W96" t="str">
        <v>36811-FORCADES PEREZ JOSEP MARIA</v>
      </c>
    </row>
    <row r="97" spans="1:23" x14ac:dyDescent="0.25">
      <c r="A97" t="str">
        <v>2025-10-11</v>
      </c>
      <c r="B97" t="str">
        <v>36308-CAL CASO SCP-L:147-N:2-A:A14-POLLO AMARILLO HEMBRAS</v>
      </c>
      <c r="C97" t="str">
        <v>POLLO AMARILLO HEMBRAS</v>
      </c>
      <c r="D97">
        <v>11643</v>
      </c>
      <c r="E97" t="str">
        <v>Broiler Amarillo</v>
      </c>
      <c r="F97">
        <v>16</v>
      </c>
      <c r="G97">
        <v>0</v>
      </c>
      <c r="H97" t="str">
        <v>Abierto</v>
      </c>
      <c r="I97">
        <v>0.51100000000000001</v>
      </c>
      <c r="J97">
        <v>0.51100000000000001</v>
      </c>
      <c r="K97">
        <v>0.51100000000000001</v>
      </c>
      <c r="L97">
        <v>11800</v>
      </c>
      <c r="M97">
        <v>0</v>
      </c>
      <c r="N97">
        <v>157</v>
      </c>
      <c r="O97">
        <v>157</v>
      </c>
      <c r="P97">
        <v>23249</v>
      </c>
      <c r="Q97">
        <v>12704.264999999999</v>
      </c>
      <c r="R97">
        <v>1.85992</v>
      </c>
      <c r="S97">
        <v>17.144757085020242</v>
      </c>
      <c r="T97">
        <v>17.144757085020242</v>
      </c>
      <c r="U97">
        <v>1.85992</v>
      </c>
      <c r="V97">
        <v>741</v>
      </c>
      <c r="W97" t="str">
        <v>36308-CAL CASO SCP</v>
      </c>
    </row>
    <row r="98" spans="1:23" x14ac:dyDescent="0.25">
      <c r="A98" t="str">
        <v>2025-10-11</v>
      </c>
      <c r="B98" t="str">
        <v>36978-CORAL SANTACANA SLU-L:036-N:3-A:A13-POLLO AMARILLO MACHO</v>
      </c>
      <c r="C98" t="str">
        <v>POLLO AMARILLO MACHO</v>
      </c>
      <c r="D98">
        <v>21250</v>
      </c>
      <c r="E98" t="str">
        <v>Broiler Amarillo</v>
      </c>
      <c r="F98">
        <v>15</v>
      </c>
      <c r="G98">
        <v>0</v>
      </c>
      <c r="H98" t="str">
        <v>Abierto</v>
      </c>
      <c r="I98">
        <v>0.505</v>
      </c>
      <c r="J98">
        <v>0.53854000000000002</v>
      </c>
      <c r="K98">
        <v>0.47699999999999998</v>
      </c>
      <c r="L98">
        <v>21400</v>
      </c>
      <c r="M98">
        <v>0</v>
      </c>
      <c r="N98">
        <v>150</v>
      </c>
      <c r="O98">
        <v>285</v>
      </c>
      <c r="P98">
        <v>42761</v>
      </c>
      <c r="Q98">
        <v>20626.310000000001</v>
      </c>
      <c r="R98">
        <v>2.0667472208796518</v>
      </c>
      <c r="S98">
        <v>17.842828719723183</v>
      </c>
      <c r="T98">
        <v>17.842828719723183</v>
      </c>
      <c r="U98">
        <v>2.0667499999999999</v>
      </c>
      <c r="V98">
        <v>1156</v>
      </c>
      <c r="W98" t="str">
        <v>36978-CORAL SANTACANA SLU</v>
      </c>
    </row>
    <row r="99" spans="1:23" x14ac:dyDescent="0.25">
      <c r="A99" t="str">
        <v>2025-10-11</v>
      </c>
      <c r="B99" t="str">
        <v>36863-GABANDE LOPEZ EVA - 2 (VERNET)-L:075-N:1-A:A13-POLLO AMARILLO MACHO</v>
      </c>
      <c r="C99" t="str">
        <v>POLLO AMARILLO MACHO</v>
      </c>
      <c r="D99">
        <v>11614</v>
      </c>
      <c r="E99" t="str">
        <v>Broiler Amarillo</v>
      </c>
      <c r="F99">
        <v>16</v>
      </c>
      <c r="G99">
        <v>0</v>
      </c>
      <c r="H99" t="str">
        <v>Abierto</v>
      </c>
      <c r="I99">
        <v>0.503</v>
      </c>
      <c r="J99">
        <v>0.48512</v>
      </c>
      <c r="K99">
        <v>0.53200000000000003</v>
      </c>
      <c r="L99">
        <v>11800</v>
      </c>
      <c r="M99">
        <v>0</v>
      </c>
      <c r="N99">
        <v>183</v>
      </c>
      <c r="O99">
        <v>157</v>
      </c>
      <c r="P99">
        <v>23257</v>
      </c>
      <c r="Q99">
        <v>11791.415000000001</v>
      </c>
      <c r="R99">
        <v>1.9793191489361701</v>
      </c>
      <c r="S99">
        <v>15.117198717948718</v>
      </c>
      <c r="T99">
        <v>15.117198717948718</v>
      </c>
      <c r="U99">
        <v>1.97932</v>
      </c>
      <c r="V99">
        <v>780</v>
      </c>
      <c r="W99" t="str">
        <v>36863-GABANDE LOPEZ EVA - 2 (VERNET)</v>
      </c>
    </row>
    <row r="100" spans="1:23" x14ac:dyDescent="0.25">
      <c r="A100" t="str">
        <v>2025-10-11</v>
      </c>
      <c r="B100" t="str">
        <v>36978-CORAL SANTACANA SLU-L:036-N:2-A:A14-POLLO AMARILLO HEMBRAS</v>
      </c>
      <c r="C100" t="str">
        <v>POLLO AMARILLO HEMBRAS</v>
      </c>
      <c r="D100">
        <v>17633</v>
      </c>
      <c r="E100" t="str">
        <v>Broiler Amarillo</v>
      </c>
      <c r="F100">
        <v>15</v>
      </c>
      <c r="G100">
        <v>0</v>
      </c>
      <c r="H100" t="str">
        <v>Abierto</v>
      </c>
      <c r="I100">
        <v>0.495</v>
      </c>
      <c r="J100">
        <v>0.53488999999999998</v>
      </c>
      <c r="K100">
        <v>0.46</v>
      </c>
      <c r="L100">
        <v>17800</v>
      </c>
      <c r="M100">
        <v>0</v>
      </c>
      <c r="N100">
        <v>167</v>
      </c>
      <c r="O100">
        <v>235</v>
      </c>
      <c r="P100">
        <v>34605</v>
      </c>
      <c r="Q100">
        <v>16823.978999999999</v>
      </c>
      <c r="R100">
        <v>2.0932131623518027</v>
      </c>
      <c r="S100">
        <v>18.207769480519481</v>
      </c>
      <c r="T100">
        <v>18.207769480519481</v>
      </c>
      <c r="U100">
        <v>2.09321</v>
      </c>
      <c r="V100">
        <v>924</v>
      </c>
      <c r="W100" t="str">
        <v>36978-CORAL SANTACANA SLU</v>
      </c>
    </row>
    <row r="101" spans="1:23" x14ac:dyDescent="0.25">
      <c r="A101" t="str">
        <v>2025-10-11</v>
      </c>
      <c r="B101" t="str">
        <v>36978-CORAL SANTACANA SLU-L:036-N:1-A:A14-POLLO AMARILLO HEMBRAS</v>
      </c>
      <c r="C101" t="str">
        <v>POLLO AMARILLO HEMBRAS</v>
      </c>
      <c r="D101">
        <v>13487</v>
      </c>
      <c r="E101" t="str">
        <v>Broiler Amarillo</v>
      </c>
      <c r="F101">
        <v>15</v>
      </c>
      <c r="G101">
        <v>0</v>
      </c>
      <c r="H101" t="str">
        <v>Abierto</v>
      </c>
      <c r="I101">
        <v>0.495</v>
      </c>
      <c r="J101">
        <v>0.53488999999999998</v>
      </c>
      <c r="K101">
        <v>0.46</v>
      </c>
      <c r="L101">
        <v>13600</v>
      </c>
      <c r="M101">
        <v>0</v>
      </c>
      <c r="N101">
        <v>113</v>
      </c>
      <c r="O101">
        <v>183</v>
      </c>
      <c r="P101">
        <v>26574</v>
      </c>
      <c r="Q101">
        <v>13481.305</v>
      </c>
      <c r="R101">
        <v>2.120830007980846</v>
      </c>
      <c r="S101">
        <v>19.259007142857143</v>
      </c>
      <c r="T101">
        <v>19.259007142857143</v>
      </c>
      <c r="U101">
        <v>2.1208300000000002</v>
      </c>
      <c r="V101">
        <v>700</v>
      </c>
      <c r="W101" t="str">
        <v>36978-CORAL SANTACANA SLU</v>
      </c>
    </row>
    <row r="102" spans="1:23" x14ac:dyDescent="0.25">
      <c r="A102" t="str">
        <v>2025-10-11</v>
      </c>
      <c r="B102" t="str">
        <v>36978-CORAL SANTACANA SLU-L:036-N:2-A:A13-POLLO AMARILLO MACHO</v>
      </c>
      <c r="C102" t="str">
        <v>POLLO AMARILLO MACHO</v>
      </c>
      <c r="D102">
        <v>16972</v>
      </c>
      <c r="E102" t="str">
        <v>Broiler Amarillo</v>
      </c>
      <c r="F102">
        <v>15</v>
      </c>
      <c r="G102">
        <v>0</v>
      </c>
      <c r="H102" t="str">
        <v>Abierto</v>
      </c>
      <c r="I102">
        <v>0.47699999999999998</v>
      </c>
      <c r="J102">
        <v>0.47699999999999998</v>
      </c>
      <c r="K102">
        <v>0.47699999999999998</v>
      </c>
      <c r="L102">
        <v>17200</v>
      </c>
      <c r="M102">
        <v>0</v>
      </c>
      <c r="N102">
        <v>228</v>
      </c>
      <c r="O102">
        <v>228</v>
      </c>
      <c r="P102">
        <v>34605</v>
      </c>
      <c r="Q102">
        <v>16823.978999999999</v>
      </c>
      <c r="R102">
        <v>2.0932131623518027</v>
      </c>
      <c r="S102">
        <v>18.207769480519481</v>
      </c>
      <c r="T102">
        <v>18.207769480519481</v>
      </c>
      <c r="U102">
        <v>2.09321</v>
      </c>
      <c r="V102">
        <v>924</v>
      </c>
      <c r="W102" t="str">
        <v>36978-CORAL SANTACANA SLU</v>
      </c>
    </row>
    <row r="103" spans="1:23" x14ac:dyDescent="0.25">
      <c r="A103" t="str">
        <v>2025-10-11</v>
      </c>
      <c r="B103" t="str">
        <v>36978-CORAL SANTACANA SLU-L:036-N:3-A:A14-POLLO AMARILLO HEMBRAS</v>
      </c>
      <c r="C103" t="str">
        <v>POLLO AMARILLO HEMBRAS</v>
      </c>
      <c r="D103">
        <v>21511</v>
      </c>
      <c r="E103" t="str">
        <v>Broiler Amarillo</v>
      </c>
      <c r="F103">
        <v>15</v>
      </c>
      <c r="G103">
        <v>0</v>
      </c>
      <c r="H103" t="str">
        <v>Abierto</v>
      </c>
      <c r="I103">
        <v>0.46</v>
      </c>
      <c r="J103">
        <v>0.46</v>
      </c>
      <c r="K103">
        <v>0.46</v>
      </c>
      <c r="L103">
        <v>21800</v>
      </c>
      <c r="M103">
        <v>0</v>
      </c>
      <c r="N103">
        <v>289</v>
      </c>
      <c r="O103">
        <v>289</v>
      </c>
      <c r="P103">
        <v>42761</v>
      </c>
      <c r="Q103">
        <v>20626.310000000001</v>
      </c>
      <c r="R103">
        <v>2.0667472208796518</v>
      </c>
      <c r="S103">
        <v>17.842828719723183</v>
      </c>
      <c r="T103">
        <v>17.842828719723183</v>
      </c>
      <c r="U103">
        <v>2.0667499999999999</v>
      </c>
      <c r="V103">
        <v>1156</v>
      </c>
      <c r="W103" t="str">
        <v>36978-CORAL SANTACANA SLU</v>
      </c>
    </row>
    <row r="104" spans="1:23" x14ac:dyDescent="0.25">
      <c r="A104" t="str">
        <v>2025-10-11</v>
      </c>
      <c r="B104" t="str">
        <v>36789-GABANDE LOPEZ EVA-1 (ALENTORN)-L:085-N:2-A:A14-POLLO AMARILLO HEMBRAS</v>
      </c>
      <c r="C104" t="str">
        <v>POLLO AMARILLO HEMBRAS</v>
      </c>
      <c r="D104">
        <v>8928</v>
      </c>
      <c r="E104" t="str">
        <v>Broiler Amarillo</v>
      </c>
      <c r="F104">
        <v>15</v>
      </c>
      <c r="G104">
        <v>0</v>
      </c>
      <c r="H104" t="str">
        <v>Abierto</v>
      </c>
      <c r="I104">
        <v>0.46</v>
      </c>
      <c r="J104">
        <v>0.46</v>
      </c>
      <c r="K104">
        <v>0.46</v>
      </c>
      <c r="L104">
        <v>9000</v>
      </c>
      <c r="M104">
        <v>0</v>
      </c>
      <c r="N104">
        <v>72</v>
      </c>
      <c r="O104">
        <v>72</v>
      </c>
      <c r="P104">
        <v>17328</v>
      </c>
      <c r="Q104">
        <v>8449.68</v>
      </c>
      <c r="R104">
        <v>2.1659999999999999</v>
      </c>
      <c r="S104">
        <v>15.882857142857143</v>
      </c>
      <c r="T104">
        <v>15.882857142857143</v>
      </c>
      <c r="U104">
        <v>2.1659999999999999</v>
      </c>
      <c r="V104">
        <v>532</v>
      </c>
      <c r="W104" t="str">
        <v>36789-GABANDE LOPEZ EVA-1 (ALENTORN)</v>
      </c>
    </row>
    <row r="105" spans="1:23" x14ac:dyDescent="0.25">
      <c r="A105" t="str">
        <v>2025-10-11</v>
      </c>
      <c r="B105" t="str">
        <v>36789-GABANDE LOPEZ EVA-1 (ALENTORN)-L:085-N:1-A:A14-POLLO AMARILLO HEMBRAS</v>
      </c>
      <c r="C105" t="str">
        <v>POLLO AMARILLO HEMBRAS</v>
      </c>
      <c r="D105">
        <v>8682</v>
      </c>
      <c r="E105" t="str">
        <v>Broiler Amarillo</v>
      </c>
      <c r="F105">
        <v>15</v>
      </c>
      <c r="G105">
        <v>0</v>
      </c>
      <c r="H105" t="str">
        <v>Abierto</v>
      </c>
      <c r="I105">
        <v>0.46</v>
      </c>
      <c r="J105">
        <v>0.46</v>
      </c>
      <c r="K105">
        <v>0.46</v>
      </c>
      <c r="L105">
        <v>8800</v>
      </c>
      <c r="M105">
        <v>0</v>
      </c>
      <c r="N105">
        <v>118</v>
      </c>
      <c r="O105">
        <v>118</v>
      </c>
      <c r="P105">
        <v>17070</v>
      </c>
      <c r="Q105">
        <v>8414.1959999999999</v>
      </c>
      <c r="R105">
        <v>2.13375</v>
      </c>
      <c r="S105">
        <v>15.816157894736842</v>
      </c>
      <c r="T105">
        <v>15.816157894736842</v>
      </c>
      <c r="U105">
        <v>2.13375</v>
      </c>
      <c r="V105">
        <v>532</v>
      </c>
      <c r="W105" t="str">
        <v>36789-GABANDE LOPEZ EVA-1 (ALENTORN)</v>
      </c>
    </row>
    <row r="106" spans="1:23" x14ac:dyDescent="0.25">
      <c r="A106" t="str">
        <v>2025-10-11</v>
      </c>
      <c r="B106" t="str">
        <v>36731-BLASI INGLA JAUME-L:121-N:1-A:A14-POLLO AMARILLO HEMBRAS</v>
      </c>
      <c r="C106" t="str">
        <v>POLLO AMARILLO HEMBRAS</v>
      </c>
      <c r="D106">
        <v>23484</v>
      </c>
      <c r="E106" t="str">
        <v>Broiler Amarillo</v>
      </c>
      <c r="F106">
        <v>15</v>
      </c>
      <c r="G106">
        <v>0</v>
      </c>
      <c r="H106" t="str">
        <v>Abierto</v>
      </c>
      <c r="I106">
        <v>0.46</v>
      </c>
      <c r="J106">
        <v>0.46</v>
      </c>
      <c r="K106">
        <v>0.46</v>
      </c>
      <c r="L106">
        <v>23800</v>
      </c>
      <c r="M106">
        <v>0</v>
      </c>
      <c r="N106">
        <v>316</v>
      </c>
      <c r="O106">
        <v>316</v>
      </c>
      <c r="P106">
        <v>46336</v>
      </c>
      <c r="Q106">
        <v>22845.644</v>
      </c>
      <c r="R106">
        <v>1.85344</v>
      </c>
      <c r="S106">
        <v>15.998350140056022</v>
      </c>
      <c r="T106">
        <v>15.998350140056022</v>
      </c>
      <c r="U106">
        <v>1.85344</v>
      </c>
      <c r="V106">
        <v>1428</v>
      </c>
      <c r="W106" t="str">
        <v>36731-BLASI INGLA JAUME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7C521-3A74-4627-A20E-7BE4D77B4CF5}">
  <sheetPr codeName="Hoja4"/>
  <dimension ref="A1:W106"/>
  <sheetViews>
    <sheetView workbookViewId="0">
      <selection activeCell="A6" sqref="A6"/>
    </sheetView>
  </sheetViews>
  <sheetFormatPr baseColWidth="10" defaultRowHeight="15" x14ac:dyDescent="0.25"/>
  <cols>
    <col min="2" max="2" width="14.7109375" customWidth="1"/>
    <col min="4" max="4" width="10.42578125" bestFit="1" customWidth="1"/>
    <col min="9" max="9" width="13.85546875" bestFit="1" customWidth="1"/>
    <col min="12" max="12" width="15.42578125" customWidth="1"/>
    <col min="13" max="13" width="18.85546875" bestFit="1" customWidth="1"/>
  </cols>
  <sheetData>
    <row r="1" spans="1:23" ht="30.75" thickBot="1" x14ac:dyDescent="0.3">
      <c r="A1" s="10"/>
      <c r="B1" s="11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11" t="s">
        <v>60</v>
      </c>
      <c r="H1" s="11" t="s">
        <v>61</v>
      </c>
      <c r="I1" s="11" t="s">
        <v>62</v>
      </c>
      <c r="J1" s="11" t="s">
        <v>63</v>
      </c>
      <c r="K1" s="11" t="s">
        <v>53</v>
      </c>
      <c r="L1" s="11" t="s">
        <v>5</v>
      </c>
    </row>
    <row r="2" spans="1:23" ht="15.75" thickTop="1" x14ac:dyDescent="0.25">
      <c r="A2" s="12" t="s">
        <v>64</v>
      </c>
      <c r="B2" s="13" t="s">
        <v>65</v>
      </c>
      <c r="C2" s="13" t="s">
        <v>1</v>
      </c>
      <c r="D2" s="14"/>
      <c r="E2" s="14">
        <v>45931</v>
      </c>
      <c r="F2" s="14">
        <v>45941</v>
      </c>
      <c r="G2" s="13"/>
      <c r="H2" s="13"/>
      <c r="I2" s="13"/>
      <c r="J2" s="13"/>
      <c r="K2" s="13"/>
      <c r="L2" s="13" t="s">
        <v>40</v>
      </c>
    </row>
    <row r="5" spans="1:23" x14ac:dyDescent="0.25">
      <c r="A5" t="str" cm="1">
        <f t="array" ref="A5:W106">GetSetEntradaAvi(A2,B2,C2,E2,F2)</f>
        <v>fecha_stock</v>
      </c>
      <c r="B5" t="str">
        <v>granja_lote_nave_art</v>
      </c>
      <c r="C5" t="str">
        <v>articulo</v>
      </c>
      <c r="D5" t="str">
        <v>stock_inicial</v>
      </c>
      <c r="E5" t="str">
        <v>producto_venta</v>
      </c>
      <c r="F5" t="str">
        <v>dias_vida</v>
      </c>
      <c r="G5" t="str">
        <v>cantidad_entrada</v>
      </c>
      <c r="H5" t="str">
        <v>estado</v>
      </c>
      <c r="I5" t="str">
        <v>peso_real</v>
      </c>
      <c r="J5" t="str">
        <v>peso_real_rev</v>
      </c>
      <c r="K5" t="str">
        <v>peso_teorico</v>
      </c>
      <c r="L5" t="str">
        <v>cantidad_entrada</v>
      </c>
      <c r="M5" t="str">
        <v>ventas_acumuladas</v>
      </c>
      <c r="N5" t="str">
        <v>bajas_acumuladas</v>
      </c>
      <c r="O5" t="str">
        <v>bajas_teoricas</v>
      </c>
      <c r="P5" t="str">
        <v>stock_nave</v>
      </c>
      <c r="Q5" t="str">
        <v>kilos_nave</v>
      </c>
      <c r="R5" t="str">
        <v>capacidad_nave</v>
      </c>
      <c r="S5" t="str">
        <v>densidad_nave</v>
      </c>
      <c r="T5" t="str">
        <v>kgm2_nave</v>
      </c>
      <c r="U5" t="str">
        <v>capacidad_nave</v>
      </c>
      <c r="V5" t="str">
        <v>m2_nave</v>
      </c>
      <c r="W5" t="str">
        <v>granja</v>
      </c>
    </row>
    <row r="6" spans="1:23" x14ac:dyDescent="0.25">
      <c r="A6" t="str">
        <v>2025-11-17</v>
      </c>
      <c r="B6" t="str">
        <v>20196T-GENESCA SITJES JOSEP M.-L:36-N:1-A:3001-POLLO AMARILLO MACHO</v>
      </c>
      <c r="C6" t="str">
        <v>POLLO AMARILLO MACHO</v>
      </c>
      <c r="D6">
        <v>2086</v>
      </c>
      <c r="E6" t="str">
        <v>Broiler Amarillo</v>
      </c>
      <c r="F6">
        <v>45</v>
      </c>
      <c r="G6">
        <v>0</v>
      </c>
      <c r="H6" t="str">
        <v>Abierto</v>
      </c>
      <c r="I6">
        <v>3.5127999999999999</v>
      </c>
      <c r="J6">
        <v>3.5205700000000002</v>
      </c>
      <c r="K6">
        <v>3.262</v>
      </c>
      <c r="L6">
        <v>10700</v>
      </c>
      <c r="M6">
        <v>-8100</v>
      </c>
      <c r="N6">
        <v>514</v>
      </c>
      <c r="O6">
        <v>351</v>
      </c>
      <c r="P6">
        <v>2730</v>
      </c>
      <c r="Q6">
        <v>9435.0619999999999</v>
      </c>
      <c r="R6">
        <v>0.13650000000000001</v>
      </c>
      <c r="S6">
        <v>7.8625516666666666</v>
      </c>
      <c r="T6">
        <v>7.8625516666666666</v>
      </c>
      <c r="U6">
        <v>0.13650000000000001</v>
      </c>
      <c r="V6">
        <v>1200</v>
      </c>
      <c r="W6" t="str">
        <v>20196T-GENESCA SITJES JOSEP M.</v>
      </c>
    </row>
    <row r="7" spans="1:23" x14ac:dyDescent="0.25">
      <c r="A7" t="str">
        <v>2025-11-17</v>
      </c>
      <c r="B7" t="str">
        <v>20196T-GENESCA SITJES JOSEP M.-L:36-N:1-A:3002-POLLO AMARILLO HEMBRAS</v>
      </c>
      <c r="C7" t="str">
        <v>POLLO AMARILLO HEMBRAS</v>
      </c>
      <c r="D7">
        <v>644</v>
      </c>
      <c r="E7" t="str">
        <v>Broiler Amarillo</v>
      </c>
      <c r="F7">
        <v>45</v>
      </c>
      <c r="G7">
        <v>0</v>
      </c>
      <c r="H7" t="str">
        <v>Abierto</v>
      </c>
      <c r="I7">
        <v>3.2723</v>
      </c>
      <c r="J7">
        <v>3.3241000000000001</v>
      </c>
      <c r="K7">
        <v>2.7320000000000002</v>
      </c>
      <c r="L7">
        <v>10600</v>
      </c>
      <c r="M7">
        <v>-9308</v>
      </c>
      <c r="N7">
        <v>648</v>
      </c>
      <c r="O7">
        <v>355</v>
      </c>
      <c r="P7">
        <v>2730</v>
      </c>
      <c r="Q7">
        <v>9435.0619999999999</v>
      </c>
      <c r="R7">
        <v>0.13650000000000001</v>
      </c>
      <c r="S7">
        <v>7.8625516666666666</v>
      </c>
      <c r="T7">
        <v>7.8625516666666666</v>
      </c>
      <c r="U7">
        <v>0.13650000000000001</v>
      </c>
      <c r="V7">
        <v>1200</v>
      </c>
      <c r="W7" t="str">
        <v>20196T-GENESCA SITJES JOSEP M.</v>
      </c>
    </row>
    <row r="8" spans="1:23" x14ac:dyDescent="0.25">
      <c r="A8" t="str">
        <v>2025-11-17</v>
      </c>
      <c r="B8" t="str">
        <v>20265T-AVICOTRANS GUIXERAS, S.L.U.-L:39-N:2-A:3001-POLLO AMARILLO MACHO</v>
      </c>
      <c r="C8" t="str">
        <v>POLLO AMARILLO MACHO</v>
      </c>
      <c r="D8">
        <v>1376</v>
      </c>
      <c r="E8" t="str">
        <v>Broiler Amarillo</v>
      </c>
      <c r="F8">
        <v>41</v>
      </c>
      <c r="G8">
        <v>0</v>
      </c>
      <c r="H8" t="str">
        <v>Abierto</v>
      </c>
      <c r="I8">
        <v>2.9948999999999999</v>
      </c>
      <c r="J8">
        <v>3.0355400000000001</v>
      </c>
      <c r="K8">
        <v>2.8679999999999999</v>
      </c>
      <c r="L8">
        <v>12200</v>
      </c>
      <c r="M8">
        <v>-10467</v>
      </c>
      <c r="N8">
        <v>357</v>
      </c>
      <c r="O8">
        <v>173</v>
      </c>
      <c r="P8">
        <v>8676</v>
      </c>
      <c r="Q8">
        <v>22722.112000000001</v>
      </c>
      <c r="R8">
        <v>0.36919148936170215</v>
      </c>
      <c r="S8">
        <v>17.61404031007752</v>
      </c>
      <c r="T8">
        <v>17.61404031007752</v>
      </c>
      <c r="U8">
        <v>0.36919000000000002</v>
      </c>
      <c r="V8">
        <v>1290</v>
      </c>
      <c r="W8" t="str">
        <v>20265T-AVICOTRANS GUIXERAS, S.L.U.</v>
      </c>
    </row>
    <row r="9" spans="1:23" x14ac:dyDescent="0.25">
      <c r="A9" t="str">
        <v>2025-11-17</v>
      </c>
      <c r="B9" t="str">
        <v>20446T-CAN MARCO naus 4,5,6 i 7-L:13-N:7-A:3001-POLLO AMARILLO MACHO</v>
      </c>
      <c r="C9" t="str">
        <v>POLLO AMARILLO MACHO</v>
      </c>
      <c r="D9">
        <v>10460</v>
      </c>
      <c r="E9" t="str">
        <v>Broiler Amarillo</v>
      </c>
      <c r="F9">
        <v>42</v>
      </c>
      <c r="G9">
        <v>0</v>
      </c>
      <c r="H9" t="str">
        <v>Abierto</v>
      </c>
      <c r="I9">
        <v>2.6692999999999998</v>
      </c>
      <c r="J9">
        <v>2.6095600000000001</v>
      </c>
      <c r="K9">
        <v>2.9660000000000002</v>
      </c>
      <c r="L9">
        <v>20500</v>
      </c>
      <c r="M9">
        <v>-8780</v>
      </c>
      <c r="N9">
        <v>1260</v>
      </c>
      <c r="O9">
        <v>546</v>
      </c>
      <c r="P9">
        <v>14024</v>
      </c>
      <c r="Q9">
        <v>36115.226999999999</v>
      </c>
      <c r="R9">
        <v>0.424969696969697</v>
      </c>
      <c r="S9">
        <v>20.064015000000001</v>
      </c>
      <c r="T9">
        <v>20.064015000000001</v>
      </c>
      <c r="U9">
        <v>0.42497000000000001</v>
      </c>
      <c r="V9">
        <v>1800</v>
      </c>
      <c r="W9" t="str">
        <v>20446T-CAN MARCO naus 4,5,6 i 7</v>
      </c>
    </row>
    <row r="10" spans="1:23" x14ac:dyDescent="0.25">
      <c r="A10" t="str">
        <v>2025-11-17</v>
      </c>
      <c r="B10" t="str">
        <v>20210T-AVICOJESLO S.L. naus 1,2,3-L:39-N:3-A:3001-POLLO AMARILLO MACHO</v>
      </c>
      <c r="C10" t="str">
        <v>POLLO AMARILLO MACHO</v>
      </c>
      <c r="D10">
        <v>9575</v>
      </c>
      <c r="E10" t="str">
        <v>Broiler Amarillo</v>
      </c>
      <c r="F10">
        <v>38</v>
      </c>
      <c r="G10">
        <v>0</v>
      </c>
      <c r="H10" t="str">
        <v>Abierto</v>
      </c>
      <c r="I10">
        <v>2.633</v>
      </c>
      <c r="J10">
        <v>2.6564100000000002</v>
      </c>
      <c r="K10">
        <v>2.569</v>
      </c>
      <c r="L10">
        <v>10200</v>
      </c>
      <c r="M10">
        <v>0</v>
      </c>
      <c r="N10">
        <v>629</v>
      </c>
      <c r="O10">
        <v>340</v>
      </c>
      <c r="P10">
        <v>11740</v>
      </c>
      <c r="Q10">
        <v>30078.328000000001</v>
      </c>
      <c r="R10">
        <v>0.55904761904761902</v>
      </c>
      <c r="S10">
        <v>26.951906810035844</v>
      </c>
      <c r="T10">
        <v>26.951906810035844</v>
      </c>
      <c r="U10">
        <v>0.55867</v>
      </c>
      <c r="V10">
        <v>1116</v>
      </c>
      <c r="W10" t="str">
        <v>20210T-AVICOJESLO S.L. naus 1,2,3</v>
      </c>
    </row>
    <row r="11" spans="1:23" x14ac:dyDescent="0.25">
      <c r="A11" t="str">
        <v>2025-11-17</v>
      </c>
      <c r="B11" t="str">
        <v>20378T-AVICOJESLO S.L. naus 4,5-L:39-N:5-A:3001-POLLO AMARILLO MACHO</v>
      </c>
      <c r="C11" t="str">
        <v>POLLO AMARILLO MACHO</v>
      </c>
      <c r="D11">
        <v>14691</v>
      </c>
      <c r="E11" t="str">
        <v>Broiler Amarillo</v>
      </c>
      <c r="F11">
        <v>39</v>
      </c>
      <c r="G11">
        <v>0</v>
      </c>
      <c r="H11" t="str">
        <v>Abierto</v>
      </c>
      <c r="I11">
        <v>2.63</v>
      </c>
      <c r="J11">
        <v>2.6167600000000002</v>
      </c>
      <c r="K11">
        <v>2.6680000000000001</v>
      </c>
      <c r="L11">
        <v>15500</v>
      </c>
      <c r="M11">
        <v>0</v>
      </c>
      <c r="N11">
        <v>809</v>
      </c>
      <c r="O11">
        <v>488</v>
      </c>
      <c r="P11">
        <v>17872</v>
      </c>
      <c r="Q11">
        <v>45594.813000000002</v>
      </c>
      <c r="R11">
        <v>0.57651612903225802</v>
      </c>
      <c r="S11">
        <v>27.583068965517242</v>
      </c>
      <c r="T11">
        <v>27.583068965517242</v>
      </c>
      <c r="U11">
        <v>0.57635000000000003</v>
      </c>
      <c r="V11">
        <v>1653</v>
      </c>
      <c r="W11" t="str">
        <v>20378T-AVICOJESLO S.L. naus 4,5</v>
      </c>
    </row>
    <row r="12" spans="1:23" x14ac:dyDescent="0.25">
      <c r="A12" t="str">
        <v>2025-11-17</v>
      </c>
      <c r="B12" t="str">
        <v>20265T-AVICOTRANS GUIXERAS, S.L.U.-L:39-N:2-A:3002-POLLO AMARILLO HEMBRAS</v>
      </c>
      <c r="C12" t="str">
        <v>POLLO AMARILLO HEMBRAS</v>
      </c>
      <c r="D12">
        <v>7300</v>
      </c>
      <c r="E12" t="str">
        <v>Broiler Amarillo</v>
      </c>
      <c r="F12">
        <v>41</v>
      </c>
      <c r="G12">
        <v>0</v>
      </c>
      <c r="H12" t="str">
        <v>Abierto</v>
      </c>
      <c r="I12">
        <v>2.5480999999999998</v>
      </c>
      <c r="J12">
        <v>2.58595</v>
      </c>
      <c r="K12">
        <v>2.4079999999999999</v>
      </c>
      <c r="L12">
        <v>12200</v>
      </c>
      <c r="M12">
        <v>-4538</v>
      </c>
      <c r="N12">
        <v>362</v>
      </c>
      <c r="O12">
        <v>276</v>
      </c>
      <c r="P12">
        <v>8676</v>
      </c>
      <c r="Q12">
        <v>22722.112000000001</v>
      </c>
      <c r="R12">
        <v>0.36919148936170215</v>
      </c>
      <c r="S12">
        <v>17.61404031007752</v>
      </c>
      <c r="T12">
        <v>17.61404031007752</v>
      </c>
      <c r="U12">
        <v>0.36919000000000002</v>
      </c>
      <c r="V12">
        <v>1290</v>
      </c>
      <c r="W12" t="str">
        <v>20265T-AVICOTRANS GUIXERAS, S.L.U.</v>
      </c>
    </row>
    <row r="13" spans="1:23" x14ac:dyDescent="0.25">
      <c r="A13" t="str">
        <v>2025-11-17</v>
      </c>
      <c r="B13" t="str">
        <v>20378T-AVICOJESLO S.L. naus 4,5-L:39-N:4-A:3001-POLLO AMARILLO MACHO</v>
      </c>
      <c r="C13" t="str">
        <v>POLLO AMARILLO MACHO</v>
      </c>
      <c r="D13">
        <v>5190</v>
      </c>
      <c r="E13" t="str">
        <v>Broiler Amarillo</v>
      </c>
      <c r="F13">
        <v>39</v>
      </c>
      <c r="G13">
        <v>0</v>
      </c>
      <c r="H13" t="str">
        <v>Abierto</v>
      </c>
      <c r="I13">
        <v>2.5470000000000002</v>
      </c>
      <c r="J13">
        <v>2.52583</v>
      </c>
      <c r="K13">
        <v>2.6680000000000001</v>
      </c>
      <c r="L13">
        <v>15500</v>
      </c>
      <c r="M13">
        <v>-9493</v>
      </c>
      <c r="N13">
        <v>817</v>
      </c>
      <c r="O13">
        <v>488</v>
      </c>
      <c r="P13">
        <v>8626</v>
      </c>
      <c r="Q13">
        <v>21487.664000000001</v>
      </c>
      <c r="R13">
        <v>0.28753333333333331</v>
      </c>
      <c r="S13">
        <v>12.999191772534786</v>
      </c>
      <c r="T13">
        <v>12.999191772534786</v>
      </c>
      <c r="U13">
        <v>0.28737000000000001</v>
      </c>
      <c r="V13">
        <v>1653</v>
      </c>
      <c r="W13" t="str">
        <v>20378T-AVICOJESLO S.L. naus 4,5</v>
      </c>
    </row>
    <row r="14" spans="1:23" x14ac:dyDescent="0.25">
      <c r="A14" t="str">
        <v>2025-11-17</v>
      </c>
      <c r="B14" t="str">
        <v>20446T-CAN MARCO naus 4,5,6 i 7-L:13-N:6-A:3001-POLLO AMARILLO MACHO</v>
      </c>
      <c r="C14" t="str">
        <v>POLLO AMARILLO MACHO</v>
      </c>
      <c r="D14">
        <v>8718</v>
      </c>
      <c r="E14" t="str">
        <v>Broiler Amarillo</v>
      </c>
      <c r="F14">
        <v>42</v>
      </c>
      <c r="G14">
        <v>0</v>
      </c>
      <c r="H14" t="str">
        <v>Abierto</v>
      </c>
      <c r="I14">
        <v>2.4889999999999999</v>
      </c>
      <c r="J14">
        <v>2.3430499999999999</v>
      </c>
      <c r="K14">
        <v>2.9660000000000002</v>
      </c>
      <c r="L14">
        <v>16900</v>
      </c>
      <c r="M14">
        <v>-7003</v>
      </c>
      <c r="N14">
        <v>1179</v>
      </c>
      <c r="O14">
        <v>549</v>
      </c>
      <c r="P14">
        <v>14028</v>
      </c>
      <c r="Q14">
        <v>33151.178999999996</v>
      </c>
      <c r="R14">
        <v>0.42509090909090907</v>
      </c>
      <c r="S14">
        <v>18.417321666666666</v>
      </c>
      <c r="T14">
        <v>18.417321666666666</v>
      </c>
      <c r="U14">
        <v>0.42509000000000002</v>
      </c>
      <c r="V14">
        <v>1800</v>
      </c>
      <c r="W14" t="str">
        <v>20446T-CAN MARCO naus 4,5,6 i 7</v>
      </c>
    </row>
    <row r="15" spans="1:23" x14ac:dyDescent="0.25">
      <c r="A15" t="str">
        <v>2025-11-17</v>
      </c>
      <c r="B15" t="str">
        <v>20378T-AVICOJESLO S.L. naus 4,5-L:39-N:4-A:3002-POLLO AMARILLO HEMBRAS</v>
      </c>
      <c r="C15" t="str">
        <v>POLLO AMARILLO HEMBRAS</v>
      </c>
      <c r="D15">
        <v>3436</v>
      </c>
      <c r="E15" t="str">
        <v>Broiler Amarillo</v>
      </c>
      <c r="F15">
        <v>39</v>
      </c>
      <c r="G15">
        <v>0</v>
      </c>
      <c r="H15" t="str">
        <v>Abierto</v>
      </c>
      <c r="I15">
        <v>2.4064999999999999</v>
      </c>
      <c r="J15">
        <v>2.4371700000000001</v>
      </c>
      <c r="K15">
        <v>2.2349999999999999</v>
      </c>
      <c r="L15">
        <v>15500</v>
      </c>
      <c r="M15">
        <v>-11542</v>
      </c>
      <c r="N15">
        <v>527</v>
      </c>
      <c r="O15">
        <v>493</v>
      </c>
      <c r="P15">
        <v>8626</v>
      </c>
      <c r="Q15">
        <v>21487.664000000001</v>
      </c>
      <c r="R15">
        <v>0.28753333333333331</v>
      </c>
      <c r="S15">
        <v>12.999191772534786</v>
      </c>
      <c r="T15">
        <v>12.999191772534786</v>
      </c>
      <c r="U15">
        <v>0.28737000000000001</v>
      </c>
      <c r="V15">
        <v>1653</v>
      </c>
      <c r="W15" t="str">
        <v>20378T-AVICOJESLO S.L. naus 4,5</v>
      </c>
    </row>
    <row r="16" spans="1:23" x14ac:dyDescent="0.25">
      <c r="A16" t="str">
        <v>2025-11-17</v>
      </c>
      <c r="B16" t="str">
        <v>20261T-GRANJA MASMITJA-L:34-N:1-A:3003-POLLO AMARILLO MIXTO</v>
      </c>
      <c r="C16" t="str">
        <v>POLLO AMARILLO MIXTO</v>
      </c>
      <c r="D16">
        <v>20762</v>
      </c>
      <c r="E16" t="str">
        <v>Broiler Amarillo</v>
      </c>
      <c r="F16">
        <v>39</v>
      </c>
      <c r="G16">
        <v>0</v>
      </c>
      <c r="H16" t="str">
        <v>Abierto</v>
      </c>
      <c r="I16">
        <v>2.3780000000000001</v>
      </c>
      <c r="J16">
        <v>2.3780000000000001</v>
      </c>
      <c r="K16">
        <v>2.4900000000000002</v>
      </c>
      <c r="L16">
        <v>26000</v>
      </c>
      <c r="M16">
        <v>-4513</v>
      </c>
      <c r="N16">
        <v>799</v>
      </c>
      <c r="O16">
        <v>834</v>
      </c>
      <c r="P16">
        <v>20762</v>
      </c>
      <c r="Q16">
        <v>49372.036</v>
      </c>
      <c r="R16">
        <v>0.74150000000000005</v>
      </c>
      <c r="S16">
        <v>35.265740000000001</v>
      </c>
      <c r="T16">
        <v>35.265740000000001</v>
      </c>
      <c r="U16">
        <v>0.73885999999999996</v>
      </c>
      <c r="V16">
        <v>1400</v>
      </c>
      <c r="W16" t="str">
        <v>20261T-GRANJA MASMITJA</v>
      </c>
    </row>
    <row r="17" spans="1:23" x14ac:dyDescent="0.25">
      <c r="A17" t="str">
        <v>2025-11-17</v>
      </c>
      <c r="B17" t="str">
        <v>20442T-GRANJA COSTABLANCA AVICOLA-L:16-N:2-A:3001-POLLO AMARILLO MACHO</v>
      </c>
      <c r="C17" t="str">
        <v>POLLO AMARILLO MACHO</v>
      </c>
      <c r="D17">
        <v>12580</v>
      </c>
      <c r="E17" t="str">
        <v>Broiler Amarillo</v>
      </c>
      <c r="F17">
        <v>38</v>
      </c>
      <c r="G17">
        <v>0</v>
      </c>
      <c r="H17" t="str">
        <v>Abierto</v>
      </c>
      <c r="I17">
        <v>2.34</v>
      </c>
      <c r="J17">
        <v>2.34</v>
      </c>
      <c r="K17">
        <v>2.569</v>
      </c>
      <c r="L17">
        <v>13100</v>
      </c>
      <c r="M17">
        <v>0</v>
      </c>
      <c r="N17">
        <v>525</v>
      </c>
      <c r="O17">
        <v>432</v>
      </c>
      <c r="P17">
        <v>12571</v>
      </c>
      <c r="Q17">
        <v>29418.607</v>
      </c>
      <c r="R17">
        <v>0.53493617021276596</v>
      </c>
      <c r="S17">
        <v>19.612404666666666</v>
      </c>
      <c r="T17">
        <v>19.612404666666666</v>
      </c>
      <c r="U17">
        <v>0.53451000000000004</v>
      </c>
      <c r="V17">
        <v>1500</v>
      </c>
      <c r="W17" t="str">
        <v>20442T-GRANJA COSTABLANCA AVICOLA</v>
      </c>
    </row>
    <row r="18" spans="1:23" x14ac:dyDescent="0.25">
      <c r="A18" t="str">
        <v>2025-11-17</v>
      </c>
      <c r="B18" t="str">
        <v>20446T-CAN MARCO naus 4,5,6 i 7-L:13-N:7-A:3002-POLLO AMARILLO HEMBRAS</v>
      </c>
      <c r="C18" t="str">
        <v>POLLO AMARILLO HEMBRAS</v>
      </c>
      <c r="D18">
        <v>3564</v>
      </c>
      <c r="E18" t="str">
        <v>Broiler Amarillo</v>
      </c>
      <c r="F18">
        <v>42</v>
      </c>
      <c r="G18">
        <v>0</v>
      </c>
      <c r="H18" t="str">
        <v>Abierto</v>
      </c>
      <c r="I18">
        <v>2.2991999999999999</v>
      </c>
      <c r="J18">
        <v>2.2487200000000001</v>
      </c>
      <c r="K18">
        <v>2.4929999999999999</v>
      </c>
      <c r="L18">
        <v>13300</v>
      </c>
      <c r="M18">
        <v>-8665</v>
      </c>
      <c r="N18">
        <v>1071</v>
      </c>
      <c r="O18">
        <v>443</v>
      </c>
      <c r="P18">
        <v>14024</v>
      </c>
      <c r="Q18">
        <v>36115.226999999999</v>
      </c>
      <c r="R18">
        <v>0.424969696969697</v>
      </c>
      <c r="S18">
        <v>20.064015000000001</v>
      </c>
      <c r="T18">
        <v>20.064015000000001</v>
      </c>
      <c r="U18">
        <v>0.42497000000000001</v>
      </c>
      <c r="V18">
        <v>1800</v>
      </c>
      <c r="W18" t="str">
        <v>20446T-CAN MARCO naus 4,5,6 i 7</v>
      </c>
    </row>
    <row r="19" spans="1:23" x14ac:dyDescent="0.25">
      <c r="A19" t="str">
        <v>2025-11-17</v>
      </c>
      <c r="B19" t="str">
        <v>20210T-AVICOJESLO S.L. naus 1,2,3-L:39-N:2-A:3001-POLLO AMARILLO MACHO</v>
      </c>
      <c r="C19" t="str">
        <v>POLLO AMARILLO MACHO</v>
      </c>
      <c r="D19">
        <v>1104</v>
      </c>
      <c r="E19" t="str">
        <v>Broiler Amarillo</v>
      </c>
      <c r="F19">
        <v>38</v>
      </c>
      <c r="G19">
        <v>0</v>
      </c>
      <c r="H19" t="str">
        <v>Abierto</v>
      </c>
      <c r="I19">
        <v>2.2707999999999999</v>
      </c>
      <c r="J19">
        <v>2.1998000000000002</v>
      </c>
      <c r="K19">
        <v>2.569</v>
      </c>
      <c r="L19">
        <v>10800</v>
      </c>
      <c r="M19">
        <v>-9125</v>
      </c>
      <c r="N19">
        <v>575</v>
      </c>
      <c r="O19">
        <v>351</v>
      </c>
      <c r="P19">
        <v>2633</v>
      </c>
      <c r="Q19">
        <v>5910.5169999999998</v>
      </c>
      <c r="R19">
        <v>0.15488235294117647</v>
      </c>
      <c r="S19">
        <v>5.1129039792387543</v>
      </c>
      <c r="T19">
        <v>5.1129039792387543</v>
      </c>
      <c r="U19">
        <v>0.15440999999999999</v>
      </c>
      <c r="V19">
        <v>1156</v>
      </c>
      <c r="W19" t="str">
        <v>20210T-AVICOJESLO S.L. naus 1,2,3</v>
      </c>
    </row>
    <row r="20" spans="1:23" x14ac:dyDescent="0.25">
      <c r="A20" t="str">
        <v>2025-11-17</v>
      </c>
      <c r="B20" t="str">
        <v>20210T-AVICOJESLO S.L. naus 1,2,3-L:39-N:3-A:3002-POLLO AMARILLO HEMBRAS</v>
      </c>
      <c r="C20" t="str">
        <v>POLLO AMARILLO HEMBRAS</v>
      </c>
      <c r="D20">
        <v>2165</v>
      </c>
      <c r="E20" t="str">
        <v>Broiler Amarillo</v>
      </c>
      <c r="F20">
        <v>38</v>
      </c>
      <c r="G20">
        <v>0</v>
      </c>
      <c r="H20" t="str">
        <v>Abierto</v>
      </c>
      <c r="I20">
        <v>2.2482000000000002</v>
      </c>
      <c r="J20">
        <v>2.25176</v>
      </c>
      <c r="K20">
        <v>2.1480000000000001</v>
      </c>
      <c r="L20">
        <v>10300</v>
      </c>
      <c r="M20">
        <v>-7776</v>
      </c>
      <c r="N20">
        <v>363</v>
      </c>
      <c r="O20">
        <v>340</v>
      </c>
      <c r="P20">
        <v>11740</v>
      </c>
      <c r="Q20">
        <v>30078.328000000001</v>
      </c>
      <c r="R20">
        <v>0.55904761904761902</v>
      </c>
      <c r="S20">
        <v>26.951906810035844</v>
      </c>
      <c r="T20">
        <v>26.951906810035844</v>
      </c>
      <c r="U20">
        <v>0.55867</v>
      </c>
      <c r="V20">
        <v>1116</v>
      </c>
      <c r="W20" t="str">
        <v>20210T-AVICOJESLO S.L. naus 1,2,3</v>
      </c>
    </row>
    <row r="21" spans="1:23" x14ac:dyDescent="0.25">
      <c r="A21" t="str">
        <v>2025-11-17</v>
      </c>
      <c r="B21" t="str">
        <v>20210T-AVICOJESLO S.L. naus 1,2,3-L:39-N:2-A:3002-POLLO AMARILLO HEMBRAS</v>
      </c>
      <c r="C21" t="str">
        <v>POLLO AMARILLO HEMBRAS</v>
      </c>
      <c r="D21">
        <v>1529</v>
      </c>
      <c r="E21" t="str">
        <v>Broiler Amarillo</v>
      </c>
      <c r="F21">
        <v>38</v>
      </c>
      <c r="G21">
        <v>0</v>
      </c>
      <c r="H21" t="str">
        <v>Abierto</v>
      </c>
      <c r="I21">
        <v>2.226</v>
      </c>
      <c r="J21">
        <v>2.2255500000000001</v>
      </c>
      <c r="K21">
        <v>2.1480000000000001</v>
      </c>
      <c r="L21">
        <v>10800</v>
      </c>
      <c r="M21">
        <v>-8943</v>
      </c>
      <c r="N21">
        <v>332</v>
      </c>
      <c r="O21">
        <v>351</v>
      </c>
      <c r="P21">
        <v>2633</v>
      </c>
      <c r="Q21">
        <v>5910.5169999999998</v>
      </c>
      <c r="R21">
        <v>0.15488235294117647</v>
      </c>
      <c r="S21">
        <v>5.1129039792387543</v>
      </c>
      <c r="T21">
        <v>5.1129039792387543</v>
      </c>
      <c r="U21">
        <v>0.15440999999999999</v>
      </c>
      <c r="V21">
        <v>1156</v>
      </c>
      <c r="W21" t="str">
        <v>20210T-AVICOJESLO S.L. naus 1,2,3</v>
      </c>
    </row>
    <row r="22" spans="1:23" x14ac:dyDescent="0.25">
      <c r="A22" t="str">
        <v>2025-11-17</v>
      </c>
      <c r="B22" t="str">
        <v>20378T-AVICOJESLO S.L. naus 4,5-L:39-N:5-A:3002-POLLO AMARILLO HEMBRAS</v>
      </c>
      <c r="C22" t="str">
        <v>POLLO AMARILLO HEMBRAS</v>
      </c>
      <c r="D22">
        <v>3181</v>
      </c>
      <c r="E22" t="str">
        <v>Broiler Amarillo</v>
      </c>
      <c r="F22">
        <v>39</v>
      </c>
      <c r="G22">
        <v>0</v>
      </c>
      <c r="H22" t="str">
        <v>Abierto</v>
      </c>
      <c r="I22">
        <v>2.1871999999999998</v>
      </c>
      <c r="J22">
        <v>2.1786500000000002</v>
      </c>
      <c r="K22">
        <v>2.2349999999999999</v>
      </c>
      <c r="L22">
        <v>15500</v>
      </c>
      <c r="M22">
        <v>-11869</v>
      </c>
      <c r="N22">
        <v>455</v>
      </c>
      <c r="O22">
        <v>493</v>
      </c>
      <c r="P22">
        <v>17872</v>
      </c>
      <c r="Q22">
        <v>45594.813000000002</v>
      </c>
      <c r="R22">
        <v>0.57651612903225802</v>
      </c>
      <c r="S22">
        <v>27.583068965517242</v>
      </c>
      <c r="T22">
        <v>27.583068965517242</v>
      </c>
      <c r="U22">
        <v>0.57635000000000003</v>
      </c>
      <c r="V22">
        <v>1653</v>
      </c>
      <c r="W22" t="str">
        <v>20378T-AVICOJESLO S.L. naus 4,5</v>
      </c>
    </row>
    <row r="23" spans="1:23" x14ac:dyDescent="0.25">
      <c r="A23" t="str">
        <v>2025-11-17</v>
      </c>
      <c r="B23" t="str">
        <v>20446T-CAN MARCO naus 4,5,6 i 7-L:13-N:6-A:3002-POLLO AMARILLO HEMBRAS</v>
      </c>
      <c r="C23" t="str">
        <v>POLLO AMARILLO HEMBRAS</v>
      </c>
      <c r="D23">
        <v>5310</v>
      </c>
      <c r="E23" t="str">
        <v>Broiler Amarillo</v>
      </c>
      <c r="F23">
        <v>42</v>
      </c>
      <c r="G23">
        <v>0</v>
      </c>
      <c r="H23" t="str">
        <v>Abierto</v>
      </c>
      <c r="I23">
        <v>2.1566999999999998</v>
      </c>
      <c r="J23">
        <v>2.1448299999999998</v>
      </c>
      <c r="K23">
        <v>2.4929999999999999</v>
      </c>
      <c r="L23">
        <v>16900</v>
      </c>
      <c r="M23">
        <v>-10633</v>
      </c>
      <c r="N23">
        <v>957</v>
      </c>
      <c r="O23">
        <v>555</v>
      </c>
      <c r="P23">
        <v>14028</v>
      </c>
      <c r="Q23">
        <v>33151.178999999996</v>
      </c>
      <c r="R23">
        <v>0.42509090909090907</v>
      </c>
      <c r="S23">
        <v>18.417321666666666</v>
      </c>
      <c r="T23">
        <v>18.417321666666666</v>
      </c>
      <c r="U23">
        <v>0.42509000000000002</v>
      </c>
      <c r="V23">
        <v>1800</v>
      </c>
      <c r="W23" t="str">
        <v>20446T-CAN MARCO naus 4,5,6 i 7</v>
      </c>
    </row>
    <row r="24" spans="1:23" x14ac:dyDescent="0.25">
      <c r="A24" t="str">
        <v>2025-11-17</v>
      </c>
      <c r="B24" t="str">
        <v>20420T-COC-COC LLOBERA, SL-L:29-N:1-A:3001-POLLO AMARILLO MACHO</v>
      </c>
      <c r="C24" t="str">
        <v>POLLO AMARILLO MACHO</v>
      </c>
      <c r="D24">
        <v>17454</v>
      </c>
      <c r="E24" t="str">
        <v>Broiler Amarillo</v>
      </c>
      <c r="F24">
        <v>34</v>
      </c>
      <c r="G24">
        <v>0</v>
      </c>
      <c r="H24" t="str">
        <v>Abierto</v>
      </c>
      <c r="I24">
        <v>2.117</v>
      </c>
      <c r="J24">
        <v>2.117</v>
      </c>
      <c r="K24">
        <v>2.1720000000000002</v>
      </c>
      <c r="L24">
        <v>18000</v>
      </c>
      <c r="M24">
        <v>0</v>
      </c>
      <c r="N24">
        <v>552</v>
      </c>
      <c r="O24">
        <v>548</v>
      </c>
      <c r="P24">
        <v>35033</v>
      </c>
      <c r="Q24">
        <v>68768.107999999993</v>
      </c>
      <c r="R24">
        <v>1.0009428571428571</v>
      </c>
      <c r="S24">
        <v>36.50111889596603</v>
      </c>
      <c r="T24">
        <v>36.50111889596603</v>
      </c>
      <c r="U24">
        <v>1.0005999999999999</v>
      </c>
      <c r="V24">
        <v>1884</v>
      </c>
      <c r="W24" t="str">
        <v>20420T-COC-COC LLOBERA, SL</v>
      </c>
    </row>
    <row r="25" spans="1:23" x14ac:dyDescent="0.25">
      <c r="A25" t="str">
        <v>2025-11-17</v>
      </c>
      <c r="B25" t="str">
        <v>20213T-GRANJA CAL CARNE SCP-L:39-N:3-A:3001-POLLO AMARILLO MACHO</v>
      </c>
      <c r="C25" t="str">
        <v>POLLO AMARILLO MACHO</v>
      </c>
      <c r="D25">
        <v>15771</v>
      </c>
      <c r="E25" t="str">
        <v>Broiler Amarillo</v>
      </c>
      <c r="F25">
        <v>35</v>
      </c>
      <c r="G25">
        <v>0</v>
      </c>
      <c r="H25" t="str">
        <v>Abierto</v>
      </c>
      <c r="I25">
        <v>2.0939999999999999</v>
      </c>
      <c r="J25">
        <v>2.04609</v>
      </c>
      <c r="K25">
        <v>2.2709999999999999</v>
      </c>
      <c r="L25">
        <v>16500</v>
      </c>
      <c r="M25">
        <v>0</v>
      </c>
      <c r="N25">
        <v>735</v>
      </c>
      <c r="O25">
        <v>517</v>
      </c>
      <c r="P25">
        <v>31763</v>
      </c>
      <c r="Q25">
        <v>62193.881999999998</v>
      </c>
      <c r="R25">
        <v>1.0246129032258064</v>
      </c>
      <c r="S25">
        <v>34.552156666666669</v>
      </c>
      <c r="T25">
        <v>34.552156666666669</v>
      </c>
      <c r="U25">
        <v>1.02423</v>
      </c>
      <c r="V25">
        <v>1800</v>
      </c>
      <c r="W25" t="str">
        <v>20213T-GRANJA CAL CARNE SCP</v>
      </c>
    </row>
    <row r="26" spans="1:23" x14ac:dyDescent="0.25">
      <c r="A26" t="str">
        <v>2025-11-17</v>
      </c>
      <c r="B26" t="str">
        <v>20442T-GRANJA COSTABLANCA AVICOLA-L:16-N:2-A:3002-POLLO AMARILLO HEMBRAS</v>
      </c>
      <c r="C26" t="str">
        <v>POLLO AMARILLO HEMBRAS</v>
      </c>
      <c r="D26">
        <v>-9</v>
      </c>
      <c r="E26" t="str">
        <v>Broiler Amarillo</v>
      </c>
      <c r="F26">
        <v>38</v>
      </c>
      <c r="G26">
        <v>0</v>
      </c>
      <c r="H26" t="str">
        <v>Abierto</v>
      </c>
      <c r="I26">
        <v>2.0659000000000001</v>
      </c>
      <c r="J26">
        <v>2.0375200000000002</v>
      </c>
      <c r="K26">
        <v>2.1480000000000001</v>
      </c>
      <c r="L26">
        <v>14700</v>
      </c>
      <c r="M26">
        <v>-14199</v>
      </c>
      <c r="N26">
        <v>515</v>
      </c>
      <c r="O26">
        <v>471</v>
      </c>
      <c r="P26">
        <v>12571</v>
      </c>
      <c r="Q26">
        <v>29418.607</v>
      </c>
      <c r="R26">
        <v>0.53493617021276596</v>
      </c>
      <c r="S26">
        <v>19.612404666666666</v>
      </c>
      <c r="T26">
        <v>19.612404666666666</v>
      </c>
      <c r="U26">
        <v>0.53451000000000004</v>
      </c>
      <c r="V26">
        <v>1500</v>
      </c>
      <c r="W26" t="str">
        <v>20442T-GRANJA COSTABLANCA AVICOLA</v>
      </c>
    </row>
    <row r="27" spans="1:23" x14ac:dyDescent="0.25">
      <c r="A27" t="str">
        <v>2025-11-17</v>
      </c>
      <c r="B27" t="str">
        <v>20213T-GRANJA CAL CARNE SCP-L:39-N:1-A:3003-POLLO AMARILLO MIXTO</v>
      </c>
      <c r="C27" t="str">
        <v>POLLO AMARILLO MIXTO</v>
      </c>
      <c r="D27">
        <v>8740</v>
      </c>
      <c r="E27" t="str">
        <v>Broiler Amarillo</v>
      </c>
      <c r="F27">
        <v>35</v>
      </c>
      <c r="G27">
        <v>0</v>
      </c>
      <c r="H27" t="str">
        <v>Abierto</v>
      </c>
      <c r="I27">
        <v>2.0602999999999998</v>
      </c>
      <c r="J27">
        <v>2.0500799999999999</v>
      </c>
      <c r="K27">
        <v>2.1320000000000001</v>
      </c>
      <c r="L27">
        <v>18090</v>
      </c>
      <c r="M27">
        <v>-8633</v>
      </c>
      <c r="N27">
        <v>723</v>
      </c>
      <c r="O27">
        <v>556</v>
      </c>
      <c r="P27">
        <v>8740</v>
      </c>
      <c r="Q27">
        <v>18007.022000000001</v>
      </c>
      <c r="R27">
        <v>0.54625000000000001</v>
      </c>
      <c r="S27">
        <v>17.653943137254902</v>
      </c>
      <c r="T27">
        <v>17.653943137254902</v>
      </c>
      <c r="U27">
        <v>0.54588000000000003</v>
      </c>
      <c r="V27">
        <v>1020</v>
      </c>
      <c r="W27" t="str">
        <v>20213T-GRANJA CAL CARNE SCP</v>
      </c>
    </row>
    <row r="28" spans="1:23" x14ac:dyDescent="0.25">
      <c r="A28" t="str">
        <v>2025-11-17</v>
      </c>
      <c r="B28" t="str">
        <v>20235T-AGROPECUARIA SANT JULIA-L:39-N:4-A:3001-POLLO AMARILLO MACHO</v>
      </c>
      <c r="C28" t="str">
        <v>POLLO AMARILLO MACHO</v>
      </c>
      <c r="D28">
        <v>8428</v>
      </c>
      <c r="E28" t="str">
        <v>Broiler Amarillo</v>
      </c>
      <c r="F28">
        <v>34</v>
      </c>
      <c r="G28">
        <v>0</v>
      </c>
      <c r="H28" t="str">
        <v>Abierto</v>
      </c>
      <c r="I28">
        <v>2.0007999999999999</v>
      </c>
      <c r="J28">
        <v>1.97431</v>
      </c>
      <c r="K28">
        <v>2.1720000000000002</v>
      </c>
      <c r="L28">
        <v>13300</v>
      </c>
      <c r="M28">
        <v>-4328</v>
      </c>
      <c r="N28">
        <v>549</v>
      </c>
      <c r="O28">
        <v>418</v>
      </c>
      <c r="P28">
        <v>4932</v>
      </c>
      <c r="Q28">
        <v>12143.492</v>
      </c>
      <c r="R28">
        <v>0.18969230769230769</v>
      </c>
      <c r="S28">
        <v>8.6739228571428573</v>
      </c>
      <c r="T28">
        <v>8.6739228571428573</v>
      </c>
      <c r="U28">
        <v>0.18945999999999999</v>
      </c>
      <c r="V28">
        <v>1400</v>
      </c>
      <c r="W28" t="str">
        <v>20235T-AGROPECUARIA SANT JULIA</v>
      </c>
    </row>
    <row r="29" spans="1:23" x14ac:dyDescent="0.25">
      <c r="A29" t="str">
        <v>2025-11-17</v>
      </c>
      <c r="B29" t="str">
        <v>20235T-AGROPECUARIA SANT JULIA-L:39-N:3-A:3001-POLLO AMARILLO MACHO</v>
      </c>
      <c r="C29" t="str">
        <v>POLLO AMARILLO MACHO</v>
      </c>
      <c r="D29">
        <v>8475</v>
      </c>
      <c r="E29" t="str">
        <v>Broiler Amarillo</v>
      </c>
      <c r="F29">
        <v>34</v>
      </c>
      <c r="G29">
        <v>0</v>
      </c>
      <c r="H29" t="str">
        <v>Abierto</v>
      </c>
      <c r="I29">
        <v>2.0007999999999999</v>
      </c>
      <c r="J29">
        <v>1.97431</v>
      </c>
      <c r="K29">
        <v>2.1720000000000002</v>
      </c>
      <c r="L29">
        <v>13300</v>
      </c>
      <c r="M29">
        <v>-4328</v>
      </c>
      <c r="N29">
        <v>497</v>
      </c>
      <c r="O29">
        <v>22</v>
      </c>
      <c r="P29">
        <v>4102</v>
      </c>
      <c r="Q29">
        <v>10888.368</v>
      </c>
      <c r="R29">
        <v>0.15776923076923077</v>
      </c>
      <c r="S29">
        <v>7.777405714285714</v>
      </c>
      <c r="T29">
        <v>7.777405714285714</v>
      </c>
      <c r="U29">
        <v>0.15758</v>
      </c>
      <c r="V29">
        <v>1400</v>
      </c>
      <c r="W29" t="str">
        <v>20235T-AGROPECUARIA SANT JULIA</v>
      </c>
    </row>
    <row r="30" spans="1:23" x14ac:dyDescent="0.25">
      <c r="A30" t="str">
        <v>2025-11-17</v>
      </c>
      <c r="B30" t="str">
        <v>20213T-GRANJA CAL CARNE SCP-L:39-N:2-A:3003-POLLO AMARILLO MIXTO</v>
      </c>
      <c r="C30" t="str">
        <v>POLLO AMARILLO MIXTO</v>
      </c>
      <c r="D30">
        <v>14497</v>
      </c>
      <c r="E30" t="str">
        <v>Broiler Amarillo</v>
      </c>
      <c r="F30">
        <v>35</v>
      </c>
      <c r="G30">
        <v>0</v>
      </c>
      <c r="H30" t="str">
        <v>Abierto</v>
      </c>
      <c r="I30">
        <v>2</v>
      </c>
      <c r="J30">
        <v>1.9656800000000001</v>
      </c>
      <c r="K30">
        <v>2.1320000000000001</v>
      </c>
      <c r="L30">
        <v>14940</v>
      </c>
      <c r="M30">
        <v>0</v>
      </c>
      <c r="N30">
        <v>448</v>
      </c>
      <c r="O30">
        <v>462</v>
      </c>
      <c r="P30">
        <v>14497</v>
      </c>
      <c r="Q30">
        <v>28994</v>
      </c>
      <c r="R30">
        <v>1.1151538461538462</v>
      </c>
      <c r="S30">
        <v>35.144242424242421</v>
      </c>
      <c r="T30">
        <v>35.144242424242421</v>
      </c>
      <c r="U30">
        <v>1.11477</v>
      </c>
      <c r="V30">
        <v>825</v>
      </c>
      <c r="W30" t="str">
        <v>20213T-GRANJA CAL CARNE SCP</v>
      </c>
    </row>
    <row r="31" spans="1:23" x14ac:dyDescent="0.25">
      <c r="A31" t="str">
        <v>2025-11-17</v>
      </c>
      <c r="B31" t="str">
        <v>20321T-AVICOLA JORDA, SL ( Rafavid)-L:38-N:1-A:3001-POLLO AMARILLO MACHO</v>
      </c>
      <c r="C31" t="str">
        <v>POLLO AMARILLO MACHO</v>
      </c>
      <c r="D31">
        <v>10489</v>
      </c>
      <c r="E31" t="str">
        <v>Broiler Amarillo</v>
      </c>
      <c r="F31">
        <v>31</v>
      </c>
      <c r="G31">
        <v>0</v>
      </c>
      <c r="H31" t="str">
        <v>Abierto</v>
      </c>
      <c r="I31">
        <v>1.873</v>
      </c>
      <c r="J31">
        <v>1.8715999999999999</v>
      </c>
      <c r="K31">
        <v>1.881</v>
      </c>
      <c r="L31">
        <v>10800</v>
      </c>
      <c r="M31">
        <v>0</v>
      </c>
      <c r="N31">
        <v>315</v>
      </c>
      <c r="O31">
        <v>323</v>
      </c>
      <c r="P31">
        <v>21098</v>
      </c>
      <c r="Q31">
        <v>37002.220999999998</v>
      </c>
      <c r="R31">
        <v>0.95899999999999996</v>
      </c>
      <c r="S31">
        <v>30.938311872909701</v>
      </c>
      <c r="T31">
        <v>30.938311872909701</v>
      </c>
      <c r="U31">
        <v>0.95864000000000005</v>
      </c>
      <c r="V31">
        <v>1196</v>
      </c>
      <c r="W31" t="str">
        <v>20321T-AVICOLA JORDA, SL ( Rafavid)</v>
      </c>
    </row>
    <row r="32" spans="1:23" x14ac:dyDescent="0.25">
      <c r="A32" t="str">
        <v>2025-11-17</v>
      </c>
      <c r="B32" t="str">
        <v>20203T-SOLE DE JOVAL S.L.-L:39-N:2-A:3001-POLLO AMARILLO MACHO</v>
      </c>
      <c r="C32" t="str">
        <v>POLLO AMARILLO MACHO</v>
      </c>
      <c r="D32">
        <v>14366</v>
      </c>
      <c r="E32" t="str">
        <v>Broiler Amarillo</v>
      </c>
      <c r="F32">
        <v>32</v>
      </c>
      <c r="G32">
        <v>0</v>
      </c>
      <c r="H32" t="str">
        <v>Abierto</v>
      </c>
      <c r="I32">
        <v>1.8540000000000001</v>
      </c>
      <c r="J32">
        <v>1.8540000000000001</v>
      </c>
      <c r="K32">
        <v>1.978</v>
      </c>
      <c r="L32">
        <v>14600</v>
      </c>
      <c r="M32">
        <v>0</v>
      </c>
      <c r="N32">
        <v>239</v>
      </c>
      <c r="O32">
        <v>436</v>
      </c>
      <c r="P32">
        <v>28775</v>
      </c>
      <c r="Q32">
        <v>50755.23</v>
      </c>
      <c r="R32">
        <v>0.95916666666666661</v>
      </c>
      <c r="S32">
        <v>29.716176814988291</v>
      </c>
      <c r="T32">
        <v>29.716176814988291</v>
      </c>
      <c r="U32">
        <v>0.95882999999999996</v>
      </c>
      <c r="V32">
        <v>1708</v>
      </c>
      <c r="W32" t="str">
        <v>20203T-SOLE DE JOVAL S.L.</v>
      </c>
    </row>
    <row r="33" spans="1:23" x14ac:dyDescent="0.25">
      <c r="A33" t="str">
        <v>2025-11-17</v>
      </c>
      <c r="B33" t="str">
        <v>20235T-AGROPECUARIA SANT JULIA-L:39-N:1-A:3001-POLLO AMARILLO MACHO</v>
      </c>
      <c r="C33" t="str">
        <v>POLLO AMARILLO MACHO</v>
      </c>
      <c r="D33">
        <v>10504</v>
      </c>
      <c r="E33" t="str">
        <v>Broiler Amarillo</v>
      </c>
      <c r="F33">
        <v>32</v>
      </c>
      <c r="G33">
        <v>0</v>
      </c>
      <c r="H33" t="str">
        <v>Abierto</v>
      </c>
      <c r="I33">
        <v>1.847</v>
      </c>
      <c r="J33">
        <v>1.81616</v>
      </c>
      <c r="K33">
        <v>1.978</v>
      </c>
      <c r="L33">
        <v>11000</v>
      </c>
      <c r="M33">
        <v>0</v>
      </c>
      <c r="N33">
        <v>499</v>
      </c>
      <c r="O33">
        <v>247</v>
      </c>
      <c r="P33">
        <v>21334</v>
      </c>
      <c r="Q33">
        <v>36263.197999999997</v>
      </c>
      <c r="R33">
        <v>0.96972727272727277</v>
      </c>
      <c r="S33">
        <v>32.66954774774775</v>
      </c>
      <c r="T33">
        <v>32.66954774774775</v>
      </c>
      <c r="U33">
        <v>0.96955000000000002</v>
      </c>
      <c r="V33">
        <v>1110</v>
      </c>
      <c r="W33" t="str">
        <v>20235T-AGROPECUARIA SANT JULIA</v>
      </c>
    </row>
    <row r="34" spans="1:23" x14ac:dyDescent="0.25">
      <c r="A34" t="str">
        <v>2025-11-17</v>
      </c>
      <c r="B34" t="str">
        <v>20396T-CAL FITÓ-L:41-N:1-A:3001-POLLO AMARILLO MACHO</v>
      </c>
      <c r="C34" t="str">
        <v>POLLO AMARILLO MACHO</v>
      </c>
      <c r="D34">
        <v>16367</v>
      </c>
      <c r="E34" t="str">
        <v>Broiler Amarillo</v>
      </c>
      <c r="F34">
        <v>31</v>
      </c>
      <c r="G34">
        <v>0</v>
      </c>
      <c r="H34" t="str">
        <v>Abierto</v>
      </c>
      <c r="I34">
        <v>1.84</v>
      </c>
      <c r="J34">
        <v>1.84</v>
      </c>
      <c r="K34">
        <v>1.881</v>
      </c>
      <c r="L34">
        <v>16800</v>
      </c>
      <c r="M34">
        <v>0</v>
      </c>
      <c r="N34">
        <v>439</v>
      </c>
      <c r="O34">
        <v>504</v>
      </c>
      <c r="P34">
        <v>32976</v>
      </c>
      <c r="Q34">
        <v>57686.22</v>
      </c>
      <c r="R34">
        <v>0.99027027027027026</v>
      </c>
      <c r="S34">
        <v>32.776261363636365</v>
      </c>
      <c r="T34">
        <v>32.776261363636365</v>
      </c>
      <c r="U34">
        <v>0.98990999999999996</v>
      </c>
      <c r="V34">
        <v>1760</v>
      </c>
      <c r="W34" t="str">
        <v>20396T-CAL FITÓ</v>
      </c>
    </row>
    <row r="35" spans="1:23" x14ac:dyDescent="0.25">
      <c r="A35" t="str">
        <v>2025-11-17</v>
      </c>
      <c r="B35" t="str">
        <v>20213T-GRANJA CAL CARNE SCP-L:39-N:3-A:3002-POLLO AMARILLO HEMBRAS</v>
      </c>
      <c r="C35" t="str">
        <v>POLLO AMARILLO HEMBRAS</v>
      </c>
      <c r="D35">
        <v>15992</v>
      </c>
      <c r="E35" t="str">
        <v>Broiler Amarillo</v>
      </c>
      <c r="F35">
        <v>35</v>
      </c>
      <c r="G35">
        <v>0</v>
      </c>
      <c r="H35" t="str">
        <v>Abierto</v>
      </c>
      <c r="I35">
        <v>1.8240000000000001</v>
      </c>
      <c r="J35">
        <v>1.7952600000000001</v>
      </c>
      <c r="K35">
        <v>1.8959999999999999</v>
      </c>
      <c r="L35">
        <v>16500</v>
      </c>
      <c r="M35">
        <v>0</v>
      </c>
      <c r="N35">
        <v>514</v>
      </c>
      <c r="O35">
        <v>517</v>
      </c>
      <c r="P35">
        <v>31763</v>
      </c>
      <c r="Q35">
        <v>62193.881999999998</v>
      </c>
      <c r="R35">
        <v>1.0246129032258064</v>
      </c>
      <c r="S35">
        <v>34.552156666666669</v>
      </c>
      <c r="T35">
        <v>34.552156666666669</v>
      </c>
      <c r="U35">
        <v>1.02423</v>
      </c>
      <c r="V35">
        <v>1800</v>
      </c>
      <c r="W35" t="str">
        <v>20213T-GRANJA CAL CARNE SCP</v>
      </c>
    </row>
    <row r="36" spans="1:23" x14ac:dyDescent="0.25">
      <c r="A36" t="str">
        <v>2025-11-17</v>
      </c>
      <c r="B36" t="str">
        <v>20420T-COC-COC LLOBERA, SL-L:29-N:1-A:3002-POLLO AMARILLO HEMBRAS</v>
      </c>
      <c r="C36" t="str">
        <v>POLLO AMARILLO HEMBRAS</v>
      </c>
      <c r="D36">
        <v>17579</v>
      </c>
      <c r="E36" t="str">
        <v>Broiler Amarillo</v>
      </c>
      <c r="F36">
        <v>34</v>
      </c>
      <c r="G36">
        <v>0</v>
      </c>
      <c r="H36" t="str">
        <v>Abierto</v>
      </c>
      <c r="I36">
        <v>1.81</v>
      </c>
      <c r="J36">
        <v>1.81</v>
      </c>
      <c r="K36">
        <v>1.8959999999999999</v>
      </c>
      <c r="L36">
        <v>18000</v>
      </c>
      <c r="M36">
        <v>0</v>
      </c>
      <c r="N36">
        <v>427</v>
      </c>
      <c r="O36">
        <v>548</v>
      </c>
      <c r="P36">
        <v>35033</v>
      </c>
      <c r="Q36">
        <v>68768.107999999993</v>
      </c>
      <c r="R36">
        <v>1.0009428571428571</v>
      </c>
      <c r="S36">
        <v>36.50111889596603</v>
      </c>
      <c r="T36">
        <v>36.50111889596603</v>
      </c>
      <c r="U36">
        <v>1.0005999999999999</v>
      </c>
      <c r="V36">
        <v>1884</v>
      </c>
      <c r="W36" t="str">
        <v>20420T-COC-COC LLOBERA, SL</v>
      </c>
    </row>
    <row r="37" spans="1:23" x14ac:dyDescent="0.25">
      <c r="A37" t="str">
        <v>2025-11-17</v>
      </c>
      <c r="B37" t="str">
        <v>20235T-AGROPECUARIA SANT JULIA-L:39-N:2-A:3001-POLLO AMARILLO MACHO</v>
      </c>
      <c r="C37" t="str">
        <v>POLLO AMARILLO MACHO</v>
      </c>
      <c r="D37">
        <v>10602</v>
      </c>
      <c r="E37" t="str">
        <v>Broiler Amarillo</v>
      </c>
      <c r="F37">
        <v>32</v>
      </c>
      <c r="G37">
        <v>0</v>
      </c>
      <c r="H37" t="str">
        <v>Abierto</v>
      </c>
      <c r="I37">
        <v>1.782</v>
      </c>
      <c r="J37">
        <v>1.7358499999999999</v>
      </c>
      <c r="K37">
        <v>1.978</v>
      </c>
      <c r="L37">
        <v>11000</v>
      </c>
      <c r="M37">
        <v>0</v>
      </c>
      <c r="N37">
        <v>402</v>
      </c>
      <c r="O37">
        <v>333</v>
      </c>
      <c r="P37">
        <v>21427</v>
      </c>
      <c r="Q37">
        <v>35779.764000000003</v>
      </c>
      <c r="R37">
        <v>0.97395454545454541</v>
      </c>
      <c r="S37">
        <v>30.424969387755102</v>
      </c>
      <c r="T37">
        <v>30.424969387755102</v>
      </c>
      <c r="U37">
        <v>0.97358999999999996</v>
      </c>
      <c r="V37">
        <v>1176</v>
      </c>
      <c r="W37" t="str">
        <v>20235T-AGROPECUARIA SANT JULIA</v>
      </c>
    </row>
    <row r="38" spans="1:23" x14ac:dyDescent="0.25">
      <c r="A38" t="str">
        <v>2025-11-17</v>
      </c>
      <c r="B38" t="str">
        <v>20203T-SOLE DE JOVAL S.L.-L:39-N:2-A:3002-POLLO AMARILLO HEMBRAS</v>
      </c>
      <c r="C38" t="str">
        <v>POLLO AMARILLO HEMBRAS</v>
      </c>
      <c r="D38">
        <v>14409</v>
      </c>
      <c r="E38" t="str">
        <v>Broiler Amarillo</v>
      </c>
      <c r="F38">
        <v>32</v>
      </c>
      <c r="G38">
        <v>0</v>
      </c>
      <c r="H38" t="str">
        <v>Abierto</v>
      </c>
      <c r="I38">
        <v>1.6739999999999999</v>
      </c>
      <c r="J38">
        <v>1.6739999999999999</v>
      </c>
      <c r="K38">
        <v>1.7390000000000001</v>
      </c>
      <c r="L38">
        <v>14600</v>
      </c>
      <c r="M38">
        <v>0</v>
      </c>
      <c r="N38">
        <v>196</v>
      </c>
      <c r="O38">
        <v>436</v>
      </c>
      <c r="P38">
        <v>28775</v>
      </c>
      <c r="Q38">
        <v>50755.23</v>
      </c>
      <c r="R38">
        <v>0.95916666666666661</v>
      </c>
      <c r="S38">
        <v>29.716176814988291</v>
      </c>
      <c r="T38">
        <v>29.716176814988291</v>
      </c>
      <c r="U38">
        <v>0.95882999999999996</v>
      </c>
      <c r="V38">
        <v>1708</v>
      </c>
      <c r="W38" t="str">
        <v>20203T-SOLE DE JOVAL S.L.</v>
      </c>
    </row>
    <row r="39" spans="1:23" x14ac:dyDescent="0.25">
      <c r="A39" t="str">
        <v>2025-11-17</v>
      </c>
      <c r="B39" t="str">
        <v>20393T-GRANJA CAN PIQUE-L:40-N:1-A:3001-POLLO AMARILLO MACHO</v>
      </c>
      <c r="C39" t="str">
        <v>POLLO AMARILLO MACHO</v>
      </c>
      <c r="D39">
        <v>15122</v>
      </c>
      <c r="E39" t="str">
        <v>Broiler Amarillo</v>
      </c>
      <c r="F39">
        <v>31</v>
      </c>
      <c r="G39">
        <v>0</v>
      </c>
      <c r="H39" t="str">
        <v>Abierto</v>
      </c>
      <c r="I39">
        <v>1.67</v>
      </c>
      <c r="J39">
        <v>1.67</v>
      </c>
      <c r="K39">
        <v>1.881</v>
      </c>
      <c r="L39">
        <v>15400</v>
      </c>
      <c r="M39">
        <v>0</v>
      </c>
      <c r="N39">
        <v>283</v>
      </c>
      <c r="O39">
        <v>453</v>
      </c>
      <c r="P39">
        <v>30271</v>
      </c>
      <c r="Q39">
        <v>49189.16</v>
      </c>
      <c r="R39">
        <v>1.0090333333333332</v>
      </c>
      <c r="S39">
        <v>29.279261904761906</v>
      </c>
      <c r="T39">
        <v>29.279261904761906</v>
      </c>
      <c r="U39">
        <v>1.0086999999999999</v>
      </c>
      <c r="V39">
        <v>1680</v>
      </c>
      <c r="W39" t="str">
        <v>20393T-GRANJA CAN PIQUE</v>
      </c>
    </row>
    <row r="40" spans="1:23" x14ac:dyDescent="0.25">
      <c r="A40" t="str">
        <v>2025-11-17</v>
      </c>
      <c r="B40" t="str">
        <v>20203T-SOLE DE JOVAL S.L.-L:39-N:1-A:3003-POLLO AMARILLO MIXTO</v>
      </c>
      <c r="C40" t="str">
        <v>POLLO AMARILLO MIXTO</v>
      </c>
      <c r="D40">
        <v>20154</v>
      </c>
      <c r="E40" t="str">
        <v>Broiler Amarillo</v>
      </c>
      <c r="F40">
        <v>32</v>
      </c>
      <c r="G40">
        <v>0</v>
      </c>
      <c r="H40" t="str">
        <v>Abierto</v>
      </c>
      <c r="I40">
        <v>1.6679999999999999</v>
      </c>
      <c r="J40">
        <v>1.6679999999999999</v>
      </c>
      <c r="K40">
        <v>1.8660000000000001</v>
      </c>
      <c r="L40">
        <v>20610</v>
      </c>
      <c r="M40">
        <v>0</v>
      </c>
      <c r="N40">
        <v>458</v>
      </c>
      <c r="O40">
        <v>178</v>
      </c>
      <c r="P40">
        <v>20154</v>
      </c>
      <c r="Q40">
        <v>33616.872000000003</v>
      </c>
      <c r="R40">
        <v>1.0077</v>
      </c>
      <c r="S40">
        <v>28.658884910485934</v>
      </c>
      <c r="T40">
        <v>28.658884910485934</v>
      </c>
      <c r="U40">
        <v>1.0076000000000001</v>
      </c>
      <c r="V40">
        <v>1173</v>
      </c>
      <c r="W40" t="str">
        <v>20203T-SOLE DE JOVAL S.L.</v>
      </c>
    </row>
    <row r="41" spans="1:23" x14ac:dyDescent="0.25">
      <c r="A41" t="str">
        <v>2025-11-17</v>
      </c>
      <c r="B41" t="str">
        <v>20396T-CAL FITÓ-L:41-N:1-A:3002-POLLO AMARILLO HEMBRAS</v>
      </c>
      <c r="C41" t="str">
        <v>POLLO AMARILLO HEMBRAS</v>
      </c>
      <c r="D41">
        <v>16609</v>
      </c>
      <c r="E41" t="str">
        <v>Broiler Amarillo</v>
      </c>
      <c r="F41">
        <v>31</v>
      </c>
      <c r="G41">
        <v>0</v>
      </c>
      <c r="H41" t="str">
        <v>Abierto</v>
      </c>
      <c r="I41">
        <v>1.66</v>
      </c>
      <c r="J41">
        <v>1.66</v>
      </c>
      <c r="K41">
        <v>1.6619999999999999</v>
      </c>
      <c r="L41">
        <v>16900</v>
      </c>
      <c r="M41">
        <v>0</v>
      </c>
      <c r="N41">
        <v>297</v>
      </c>
      <c r="O41">
        <v>507</v>
      </c>
      <c r="P41">
        <v>32976</v>
      </c>
      <c r="Q41">
        <v>57686.22</v>
      </c>
      <c r="R41">
        <v>0.99027027027027026</v>
      </c>
      <c r="S41">
        <v>32.776261363636365</v>
      </c>
      <c r="T41">
        <v>32.776261363636365</v>
      </c>
      <c r="U41">
        <v>0.98990999999999996</v>
      </c>
      <c r="V41">
        <v>1760</v>
      </c>
      <c r="W41" t="str">
        <v>20396T-CAL FITÓ</v>
      </c>
    </row>
    <row r="42" spans="1:23" x14ac:dyDescent="0.25">
      <c r="A42" t="str">
        <v>2025-11-17</v>
      </c>
      <c r="B42" t="str">
        <v>20241T-GALLMENS S.C.P. naus 1,2,3-L:41-N:1-A:3001-POLLO AMARILLO MACHO</v>
      </c>
      <c r="C42" t="str">
        <v>POLLO AMARILLO MACHO</v>
      </c>
      <c r="D42">
        <v>12986</v>
      </c>
      <c r="E42" t="str">
        <v>Broiler Amarillo</v>
      </c>
      <c r="F42">
        <v>28</v>
      </c>
      <c r="G42">
        <v>0</v>
      </c>
      <c r="H42" t="str">
        <v>Abierto</v>
      </c>
      <c r="I42">
        <v>1.64</v>
      </c>
      <c r="J42">
        <v>1.64</v>
      </c>
      <c r="K42">
        <v>1.601</v>
      </c>
      <c r="L42">
        <v>13300</v>
      </c>
      <c r="M42">
        <v>0</v>
      </c>
      <c r="N42">
        <v>319</v>
      </c>
      <c r="O42">
        <v>388</v>
      </c>
      <c r="P42">
        <v>25911</v>
      </c>
      <c r="Q42">
        <v>40426.04</v>
      </c>
      <c r="R42">
        <v>1.0796250000000001</v>
      </c>
      <c r="S42">
        <v>28.875742857142857</v>
      </c>
      <c r="T42">
        <v>28.875742857142857</v>
      </c>
      <c r="U42">
        <v>1.07921</v>
      </c>
      <c r="V42">
        <v>1400</v>
      </c>
      <c r="W42" t="str">
        <v>20241T-GALLMENS S.C.P. naus 1,2,3</v>
      </c>
    </row>
    <row r="43" spans="1:23" x14ac:dyDescent="0.25">
      <c r="A43" t="str">
        <v>2025-11-17</v>
      </c>
      <c r="B43" t="str">
        <v>20321T-AVICOLA JORDA, SL ( Rafavid)-L:38-N:1-A:3002-POLLO AMARILLO HEMBRAS</v>
      </c>
      <c r="C43" t="str">
        <v>POLLO AMARILLO HEMBRAS</v>
      </c>
      <c r="D43">
        <v>10609</v>
      </c>
      <c r="E43" t="str">
        <v>Broiler Amarillo</v>
      </c>
      <c r="F43">
        <v>31</v>
      </c>
      <c r="G43">
        <v>0</v>
      </c>
      <c r="H43" t="str">
        <v>Abierto</v>
      </c>
      <c r="I43">
        <v>1.6359999999999999</v>
      </c>
      <c r="J43">
        <v>1.63188</v>
      </c>
      <c r="K43">
        <v>1.6619999999999999</v>
      </c>
      <c r="L43">
        <v>10800</v>
      </c>
      <c r="M43">
        <v>0</v>
      </c>
      <c r="N43">
        <v>195</v>
      </c>
      <c r="O43">
        <v>323</v>
      </c>
      <c r="P43">
        <v>21098</v>
      </c>
      <c r="Q43">
        <v>37002.220999999998</v>
      </c>
      <c r="R43">
        <v>0.95899999999999996</v>
      </c>
      <c r="S43">
        <v>30.938311872909701</v>
      </c>
      <c r="T43">
        <v>30.938311872909701</v>
      </c>
      <c r="U43">
        <v>0.95864000000000005</v>
      </c>
      <c r="V43">
        <v>1196</v>
      </c>
      <c r="W43" t="str">
        <v>20321T-AVICOLA JORDA, SL ( Rafavid)</v>
      </c>
    </row>
    <row r="44" spans="1:23" x14ac:dyDescent="0.25">
      <c r="A44" t="str">
        <v>2025-11-17</v>
      </c>
      <c r="B44" t="str">
        <v>20393T-GRANJA CAN PIQUE-L:40-N:1-A:3002-POLLO AMARILLO HEMBRAS</v>
      </c>
      <c r="C44" t="str">
        <v>POLLO AMARILLO HEMBRAS</v>
      </c>
      <c r="D44">
        <v>15149</v>
      </c>
      <c r="E44" t="str">
        <v>Broiler Amarillo</v>
      </c>
      <c r="F44">
        <v>31</v>
      </c>
      <c r="G44">
        <v>0</v>
      </c>
      <c r="H44" t="str">
        <v>Abierto</v>
      </c>
      <c r="I44">
        <v>1.58</v>
      </c>
      <c r="J44">
        <v>1.58</v>
      </c>
      <c r="K44">
        <v>1.6619999999999999</v>
      </c>
      <c r="L44">
        <v>15300</v>
      </c>
      <c r="M44">
        <v>0</v>
      </c>
      <c r="N44">
        <v>156</v>
      </c>
      <c r="O44">
        <v>447</v>
      </c>
      <c r="P44">
        <v>30271</v>
      </c>
      <c r="Q44">
        <v>49189.16</v>
      </c>
      <c r="R44">
        <v>1.0090333333333332</v>
      </c>
      <c r="S44">
        <v>29.279261904761906</v>
      </c>
      <c r="T44">
        <v>29.279261904761906</v>
      </c>
      <c r="U44">
        <v>1.0086999999999999</v>
      </c>
      <c r="V44">
        <v>1680</v>
      </c>
      <c r="W44" t="str">
        <v>20393T-GRANJA CAN PIQUE</v>
      </c>
    </row>
    <row r="45" spans="1:23" x14ac:dyDescent="0.25">
      <c r="A45" t="str">
        <v>2025-11-17</v>
      </c>
      <c r="B45" t="str">
        <v>20235T-AGROPECUARIA SANT JULIA-L:39-N:2-A:3002-POLLO AMARILLO HEMBRAS</v>
      </c>
      <c r="C45" t="str">
        <v>POLLO AMARILLO HEMBRAS</v>
      </c>
      <c r="D45">
        <v>10825</v>
      </c>
      <c r="E45" t="str">
        <v>Broiler Amarillo</v>
      </c>
      <c r="F45">
        <v>32</v>
      </c>
      <c r="G45">
        <v>0</v>
      </c>
      <c r="H45" t="str">
        <v>Abierto</v>
      </c>
      <c r="I45">
        <v>1.56</v>
      </c>
      <c r="J45">
        <v>1.56</v>
      </c>
      <c r="K45">
        <v>1.7390000000000001</v>
      </c>
      <c r="L45">
        <v>11100</v>
      </c>
      <c r="M45">
        <v>0</v>
      </c>
      <c r="N45">
        <v>279</v>
      </c>
      <c r="O45">
        <v>338</v>
      </c>
      <c r="P45">
        <v>21427</v>
      </c>
      <c r="Q45">
        <v>35779.764000000003</v>
      </c>
      <c r="R45">
        <v>0.97395454545454541</v>
      </c>
      <c r="S45">
        <v>30.424969387755102</v>
      </c>
      <c r="T45">
        <v>30.424969387755102</v>
      </c>
      <c r="U45">
        <v>0.97358999999999996</v>
      </c>
      <c r="V45">
        <v>1176</v>
      </c>
      <c r="W45" t="str">
        <v>20235T-AGROPECUARIA SANT JULIA</v>
      </c>
    </row>
    <row r="46" spans="1:23" x14ac:dyDescent="0.25">
      <c r="A46" t="str">
        <v>2025-11-17</v>
      </c>
      <c r="B46" t="str">
        <v>20235T-AGROPECUARIA SANT JULIA-L:39-N:1-A:3002-POLLO AMARILLO HEMBRAS</v>
      </c>
      <c r="C46" t="str">
        <v>POLLO AMARILLO HEMBRAS</v>
      </c>
      <c r="D46">
        <v>10830</v>
      </c>
      <c r="E46" t="str">
        <v>Broiler Amarillo</v>
      </c>
      <c r="F46">
        <v>32</v>
      </c>
      <c r="G46">
        <v>0</v>
      </c>
      <c r="H46" t="str">
        <v>Abierto</v>
      </c>
      <c r="I46">
        <v>1.5569999999999999</v>
      </c>
      <c r="J46">
        <v>1.5569999999999999</v>
      </c>
      <c r="K46">
        <v>1.7390000000000001</v>
      </c>
      <c r="L46">
        <v>11100</v>
      </c>
      <c r="M46">
        <v>0</v>
      </c>
      <c r="N46">
        <v>271</v>
      </c>
      <c r="O46">
        <v>109</v>
      </c>
      <c r="P46">
        <v>21334</v>
      </c>
      <c r="Q46">
        <v>36263.197999999997</v>
      </c>
      <c r="R46">
        <v>0.96972727272727277</v>
      </c>
      <c r="S46">
        <v>32.66954774774775</v>
      </c>
      <c r="T46">
        <v>32.66954774774775</v>
      </c>
      <c r="U46">
        <v>0.96955000000000002</v>
      </c>
      <c r="V46">
        <v>1110</v>
      </c>
      <c r="W46" t="str">
        <v>20235T-AGROPECUARIA SANT JULIA</v>
      </c>
    </row>
    <row r="47" spans="1:23" x14ac:dyDescent="0.25">
      <c r="A47" t="str">
        <v>2025-11-17</v>
      </c>
      <c r="B47" t="str">
        <v>20427T-MARIA PRAT NOGUERA-L:24-N:2-A:3001-POLLO AMARILLO MACHO</v>
      </c>
      <c r="C47" t="str">
        <v>POLLO AMARILLO MACHO</v>
      </c>
      <c r="D47">
        <v>11245</v>
      </c>
      <c r="E47" t="str">
        <v>Broiler Amarillo</v>
      </c>
      <c r="F47">
        <v>27</v>
      </c>
      <c r="G47">
        <v>0</v>
      </c>
      <c r="H47" t="str">
        <v>Abierto</v>
      </c>
      <c r="I47">
        <v>1.5449999999999999</v>
      </c>
      <c r="J47">
        <v>1.5667800000000001</v>
      </c>
      <c r="K47">
        <v>1.51</v>
      </c>
      <c r="L47">
        <v>11600</v>
      </c>
      <c r="M47">
        <v>0</v>
      </c>
      <c r="N47">
        <v>356</v>
      </c>
      <c r="O47">
        <v>64</v>
      </c>
      <c r="P47">
        <v>22764</v>
      </c>
      <c r="Q47">
        <v>33419.491999999998</v>
      </c>
      <c r="R47">
        <v>0.98973913043478257</v>
      </c>
      <c r="S47">
        <v>23.871065714285713</v>
      </c>
      <c r="T47">
        <v>23.871065714285713</v>
      </c>
      <c r="U47">
        <v>0.98956999999999995</v>
      </c>
      <c r="V47">
        <v>1400</v>
      </c>
      <c r="W47" t="str">
        <v>20427T-MARIA PRAT NOGUERA</v>
      </c>
    </row>
    <row r="48" spans="1:23" x14ac:dyDescent="0.25">
      <c r="A48" t="str">
        <v>2025-11-17</v>
      </c>
      <c r="B48" t="str">
        <v>20427T-MARIA PRAT NOGUERA-L:24-N:1-A:3001-POLLO AMARILLO MACHO</v>
      </c>
      <c r="C48" t="str">
        <v>POLLO AMARILLO MACHO</v>
      </c>
      <c r="D48">
        <v>10220</v>
      </c>
      <c r="E48" t="str">
        <v>Broiler Amarillo</v>
      </c>
      <c r="F48">
        <v>27</v>
      </c>
      <c r="G48">
        <v>0</v>
      </c>
      <c r="H48" t="str">
        <v>Abierto</v>
      </c>
      <c r="I48">
        <v>1.5</v>
      </c>
      <c r="J48">
        <v>1.4938100000000001</v>
      </c>
      <c r="K48">
        <v>1.51</v>
      </c>
      <c r="L48">
        <v>10500</v>
      </c>
      <c r="M48">
        <v>0</v>
      </c>
      <c r="N48">
        <v>284</v>
      </c>
      <c r="O48">
        <v>302</v>
      </c>
      <c r="P48">
        <v>21746</v>
      </c>
      <c r="Q48">
        <v>31016.885999999999</v>
      </c>
      <c r="R48">
        <v>0.98845454545454547</v>
      </c>
      <c r="S48">
        <v>22.590594319009469</v>
      </c>
      <c r="T48">
        <v>22.590594319009469</v>
      </c>
      <c r="U48">
        <v>0.98823000000000005</v>
      </c>
      <c r="V48">
        <v>1373</v>
      </c>
      <c r="W48" t="str">
        <v>20427T-MARIA PRAT NOGUERA</v>
      </c>
    </row>
    <row r="49" spans="1:23" x14ac:dyDescent="0.25">
      <c r="A49" t="str">
        <v>2025-11-17</v>
      </c>
      <c r="B49" t="str">
        <v>20427T-MARIA PRAT NOGUERA-L:24-N:3-A:3001-POLLO AMARILLO MACHO</v>
      </c>
      <c r="C49" t="str">
        <v>POLLO AMARILLO MACHO</v>
      </c>
      <c r="D49">
        <v>13038</v>
      </c>
      <c r="E49" t="str">
        <v>Broiler Amarillo</v>
      </c>
      <c r="F49">
        <v>27</v>
      </c>
      <c r="G49">
        <v>0</v>
      </c>
      <c r="H49" t="str">
        <v>Abierto</v>
      </c>
      <c r="I49">
        <v>1.484</v>
      </c>
      <c r="J49">
        <v>1.46784</v>
      </c>
      <c r="K49">
        <v>1.51</v>
      </c>
      <c r="L49">
        <v>13500</v>
      </c>
      <c r="M49">
        <v>0</v>
      </c>
      <c r="N49">
        <v>463</v>
      </c>
      <c r="O49">
        <v>84</v>
      </c>
      <c r="P49">
        <v>26471</v>
      </c>
      <c r="Q49">
        <v>36838.158000000003</v>
      </c>
      <c r="R49">
        <v>0.98040740740740739</v>
      </c>
      <c r="S49">
        <v>23.359643627140141</v>
      </c>
      <c r="T49">
        <v>23.359643627140141</v>
      </c>
      <c r="U49">
        <v>0.98019000000000001</v>
      </c>
      <c r="V49">
        <v>1577</v>
      </c>
      <c r="W49" t="str">
        <v>20427T-MARIA PRAT NOGUERA</v>
      </c>
    </row>
    <row r="50" spans="1:23" x14ac:dyDescent="0.25">
      <c r="A50" t="str">
        <v>2025-11-17</v>
      </c>
      <c r="B50" t="str">
        <v>20241T-GALLMENS S.C.P. naus 1,2,3-L:41-N:1-A:3002-POLLO AMARILLO HEMBRAS</v>
      </c>
      <c r="C50" t="str">
        <v>POLLO AMARILLO HEMBRAS</v>
      </c>
      <c r="D50">
        <v>12925</v>
      </c>
      <c r="E50" t="str">
        <v>Broiler Amarillo</v>
      </c>
      <c r="F50">
        <v>28</v>
      </c>
      <c r="G50">
        <v>0</v>
      </c>
      <c r="H50" t="str">
        <v>Abierto</v>
      </c>
      <c r="I50">
        <v>1.48</v>
      </c>
      <c r="J50">
        <v>1.48</v>
      </c>
      <c r="K50">
        <v>1.4350000000000001</v>
      </c>
      <c r="L50">
        <v>13200</v>
      </c>
      <c r="M50">
        <v>0</v>
      </c>
      <c r="N50">
        <v>280</v>
      </c>
      <c r="O50">
        <v>382</v>
      </c>
      <c r="P50">
        <v>25911</v>
      </c>
      <c r="Q50">
        <v>40426.04</v>
      </c>
      <c r="R50">
        <v>1.0796250000000001</v>
      </c>
      <c r="S50">
        <v>28.875742857142857</v>
      </c>
      <c r="T50">
        <v>28.875742857142857</v>
      </c>
      <c r="U50">
        <v>1.07921</v>
      </c>
      <c r="V50">
        <v>1400</v>
      </c>
      <c r="W50" t="str">
        <v>20241T-GALLMENS S.C.P. naus 1,2,3</v>
      </c>
    </row>
    <row r="51" spans="1:23" x14ac:dyDescent="0.25">
      <c r="A51" t="str">
        <v>2025-11-17</v>
      </c>
      <c r="B51" t="str">
        <v>20242T-ELS PLANS DE PENINA-L:38-N:2-A:3001-POLLO AMARILLO MACHO</v>
      </c>
      <c r="C51" t="str">
        <v>POLLO AMARILLO MACHO</v>
      </c>
      <c r="D51">
        <v>14265</v>
      </c>
      <c r="E51" t="str">
        <v>Broiler Amarillo</v>
      </c>
      <c r="F51">
        <v>28</v>
      </c>
      <c r="G51">
        <v>0</v>
      </c>
      <c r="H51" t="str">
        <v>Abierto</v>
      </c>
      <c r="I51">
        <v>1.411</v>
      </c>
      <c r="J51">
        <v>1.411</v>
      </c>
      <c r="K51">
        <v>1.601</v>
      </c>
      <c r="L51">
        <v>14800</v>
      </c>
      <c r="M51">
        <v>0</v>
      </c>
      <c r="N51">
        <v>540</v>
      </c>
      <c r="O51">
        <v>382</v>
      </c>
      <c r="P51">
        <v>28682</v>
      </c>
      <c r="Q51">
        <v>38351.002999999997</v>
      </c>
      <c r="R51">
        <v>0.95606666666666662</v>
      </c>
      <c r="S51">
        <v>22.827977976190475</v>
      </c>
      <c r="T51">
        <v>22.827977976190475</v>
      </c>
      <c r="U51">
        <v>0.95589999999999997</v>
      </c>
      <c r="V51">
        <v>1680</v>
      </c>
      <c r="W51" t="str">
        <v>20242T-ELS PLANS DE PENINA</v>
      </c>
    </row>
    <row r="52" spans="1:23" x14ac:dyDescent="0.25">
      <c r="A52" t="str">
        <v>2025-11-17</v>
      </c>
      <c r="B52" t="str">
        <v>20242T-ELS PLANS DE PENINA-L:38-N:1-A:3001-POLLO AMARILLO MACHO</v>
      </c>
      <c r="C52" t="str">
        <v>POLLO AMARILLO MACHO</v>
      </c>
      <c r="D52">
        <v>14347</v>
      </c>
      <c r="E52" t="str">
        <v>Broiler Amarillo</v>
      </c>
      <c r="F52">
        <v>28</v>
      </c>
      <c r="G52">
        <v>0</v>
      </c>
      <c r="H52" t="str">
        <v>Abierto</v>
      </c>
      <c r="I52">
        <v>1.4019999999999999</v>
      </c>
      <c r="J52">
        <v>1.4019999999999999</v>
      </c>
      <c r="K52">
        <v>1.601</v>
      </c>
      <c r="L52">
        <v>14800</v>
      </c>
      <c r="M52">
        <v>0</v>
      </c>
      <c r="N52">
        <v>458</v>
      </c>
      <c r="O52">
        <v>424</v>
      </c>
      <c r="P52">
        <v>28651</v>
      </c>
      <c r="Q52">
        <v>38037.406000000003</v>
      </c>
      <c r="R52">
        <v>0.95503333333333329</v>
      </c>
      <c r="S52">
        <v>22.641313095238097</v>
      </c>
      <c r="T52">
        <v>22.641313095238097</v>
      </c>
      <c r="U52">
        <v>0.95469999999999999</v>
      </c>
      <c r="V52">
        <v>1680</v>
      </c>
      <c r="W52" t="str">
        <v>20242T-ELS PLANS DE PENINA</v>
      </c>
    </row>
    <row r="53" spans="1:23" x14ac:dyDescent="0.25">
      <c r="A53" t="str">
        <v>2025-11-17</v>
      </c>
      <c r="B53" t="str">
        <v>20427T-MARIA PRAT NOGUERA-L:24-N:2-A:3002-POLLO AMARILLO HEMBRAS</v>
      </c>
      <c r="C53" t="str">
        <v>POLLO AMARILLO HEMBRAS</v>
      </c>
      <c r="D53">
        <v>11519</v>
      </c>
      <c r="E53" t="str">
        <v>Broiler Amarillo</v>
      </c>
      <c r="F53">
        <v>27</v>
      </c>
      <c r="G53">
        <v>0</v>
      </c>
      <c r="H53" t="str">
        <v>Abierto</v>
      </c>
      <c r="I53">
        <v>1.393</v>
      </c>
      <c r="J53">
        <v>1.41052</v>
      </c>
      <c r="K53">
        <v>1.3620000000000001</v>
      </c>
      <c r="L53">
        <v>11700</v>
      </c>
      <c r="M53">
        <v>0</v>
      </c>
      <c r="N53">
        <v>184</v>
      </c>
      <c r="O53">
        <v>271</v>
      </c>
      <c r="P53">
        <v>22764</v>
      </c>
      <c r="Q53">
        <v>33419.491999999998</v>
      </c>
      <c r="R53">
        <v>0.98973913043478257</v>
      </c>
      <c r="S53">
        <v>23.871065714285713</v>
      </c>
      <c r="T53">
        <v>23.871065714285713</v>
      </c>
      <c r="U53">
        <v>0.98956999999999995</v>
      </c>
      <c r="V53">
        <v>1400</v>
      </c>
      <c r="W53" t="str">
        <v>20427T-MARIA PRAT NOGUERA</v>
      </c>
    </row>
    <row r="54" spans="1:23" x14ac:dyDescent="0.25">
      <c r="A54" t="str">
        <v>2025-11-17</v>
      </c>
      <c r="B54" t="str">
        <v>20235T-AGROPECUARIA SANT JULIA-L:39-N:3-A:3002-POLLO AMARILLO HEMBRAS</v>
      </c>
      <c r="C54" t="str">
        <v>POLLO AMARILLO HEMBRAS</v>
      </c>
      <c r="D54">
        <v>-4373</v>
      </c>
      <c r="E54" t="str">
        <v>Broiler Amarillo</v>
      </c>
      <c r="F54">
        <v>34</v>
      </c>
      <c r="G54">
        <v>0</v>
      </c>
      <c r="H54" t="str">
        <v>Abierto</v>
      </c>
      <c r="I54">
        <v>1.3876999999999999</v>
      </c>
      <c r="J54">
        <v>1.3876999999999999</v>
      </c>
      <c r="K54">
        <v>1.8959999999999999</v>
      </c>
      <c r="L54">
        <v>13300</v>
      </c>
      <c r="M54">
        <v>-17280</v>
      </c>
      <c r="N54">
        <v>398</v>
      </c>
      <c r="O54">
        <v>418</v>
      </c>
      <c r="P54">
        <v>4102</v>
      </c>
      <c r="Q54">
        <v>10888.368</v>
      </c>
      <c r="R54">
        <v>0.15776923076923077</v>
      </c>
      <c r="S54">
        <v>7.777405714285714</v>
      </c>
      <c r="T54">
        <v>7.777405714285714</v>
      </c>
      <c r="U54">
        <v>0.15758</v>
      </c>
      <c r="V54">
        <v>1400</v>
      </c>
      <c r="W54" t="str">
        <v>20235T-AGROPECUARIA SANT JULIA</v>
      </c>
    </row>
    <row r="55" spans="1:23" x14ac:dyDescent="0.25">
      <c r="A55" t="str">
        <v>2025-11-17</v>
      </c>
      <c r="B55" t="str">
        <v>20427T-MARIA PRAT NOGUERA-L:24-N:1-A:3002-POLLO AMARILLO HEMBRAS</v>
      </c>
      <c r="C55" t="str">
        <v>POLLO AMARILLO HEMBRAS</v>
      </c>
      <c r="D55">
        <v>11526</v>
      </c>
      <c r="E55" t="str">
        <v>Broiler Amarillo</v>
      </c>
      <c r="F55">
        <v>27</v>
      </c>
      <c r="G55">
        <v>0</v>
      </c>
      <c r="H55" t="str">
        <v>Abierto</v>
      </c>
      <c r="I55">
        <v>1.361</v>
      </c>
      <c r="J55">
        <v>1.3604499999999999</v>
      </c>
      <c r="K55">
        <v>1.3620000000000001</v>
      </c>
      <c r="L55">
        <v>11800</v>
      </c>
      <c r="M55">
        <v>0</v>
      </c>
      <c r="N55">
        <v>275</v>
      </c>
      <c r="O55">
        <v>98</v>
      </c>
      <c r="P55">
        <v>21746</v>
      </c>
      <c r="Q55">
        <v>31016.885999999999</v>
      </c>
      <c r="R55">
        <v>0.98845454545454547</v>
      </c>
      <c r="S55">
        <v>22.590594319009469</v>
      </c>
      <c r="T55">
        <v>22.590594319009469</v>
      </c>
      <c r="U55">
        <v>0.98823000000000005</v>
      </c>
      <c r="V55">
        <v>1373</v>
      </c>
      <c r="W55" t="str">
        <v>20427T-MARIA PRAT NOGUERA</v>
      </c>
    </row>
    <row r="56" spans="1:23" x14ac:dyDescent="0.25">
      <c r="A56" t="str">
        <v>2025-11-17</v>
      </c>
      <c r="B56" t="str">
        <v>20235T-AGROPECUARIA SANT JULIA-L:39-N:4-A:3002-POLLO AMARILLO HEMBRAS</v>
      </c>
      <c r="C56" t="str">
        <v>POLLO AMARILLO HEMBRAS</v>
      </c>
      <c r="D56">
        <v>-3496</v>
      </c>
      <c r="E56" t="str">
        <v>Broiler Amarillo</v>
      </c>
      <c r="F56">
        <v>34</v>
      </c>
      <c r="G56">
        <v>0</v>
      </c>
      <c r="H56" t="str">
        <v>Abierto</v>
      </c>
      <c r="I56">
        <v>1.3499000000000001</v>
      </c>
      <c r="J56">
        <v>1.3499000000000001</v>
      </c>
      <c r="K56">
        <v>1.8959999999999999</v>
      </c>
      <c r="L56">
        <v>13300</v>
      </c>
      <c r="M56">
        <v>-16416</v>
      </c>
      <c r="N56">
        <v>381</v>
      </c>
      <c r="O56">
        <v>88</v>
      </c>
      <c r="P56">
        <v>4932</v>
      </c>
      <c r="Q56">
        <v>12143.492</v>
      </c>
      <c r="R56">
        <v>0.18969230769230769</v>
      </c>
      <c r="S56">
        <v>8.6739228571428573</v>
      </c>
      <c r="T56">
        <v>8.6739228571428573</v>
      </c>
      <c r="U56">
        <v>0.18945999999999999</v>
      </c>
      <c r="V56">
        <v>1400</v>
      </c>
      <c r="W56" t="str">
        <v>20235T-AGROPECUARIA SANT JULIA</v>
      </c>
    </row>
    <row r="57" spans="1:23" x14ac:dyDescent="0.25">
      <c r="A57" t="str">
        <v>2025-11-17</v>
      </c>
      <c r="B57" t="str">
        <v>20358T-CA L.IGNASI-L:39-N:4-A:3003-POLLO AMARILLO MIXTO</v>
      </c>
      <c r="C57" t="str">
        <v>POLLO AMARILLO MIXTO</v>
      </c>
      <c r="D57">
        <v>37925</v>
      </c>
      <c r="E57" t="str">
        <v>Broiler Amarillo</v>
      </c>
      <c r="F57">
        <v>25</v>
      </c>
      <c r="G57">
        <v>0</v>
      </c>
      <c r="H57" t="str">
        <v>Abierto</v>
      </c>
      <c r="I57">
        <v>1.3109999999999999</v>
      </c>
      <c r="J57">
        <v>1.3344100000000001</v>
      </c>
      <c r="K57">
        <v>1.276</v>
      </c>
      <c r="L57">
        <v>38520</v>
      </c>
      <c r="M57">
        <v>0</v>
      </c>
      <c r="N57">
        <v>608</v>
      </c>
      <c r="O57">
        <v>1057</v>
      </c>
      <c r="P57">
        <v>37925</v>
      </c>
      <c r="Q57">
        <v>49719.675000000003</v>
      </c>
      <c r="R57">
        <v>0.99802631578947365</v>
      </c>
      <c r="S57">
        <v>24.859837500000001</v>
      </c>
      <c r="T57">
        <v>24.859837500000001</v>
      </c>
      <c r="U57">
        <v>0.99768000000000001</v>
      </c>
      <c r="V57">
        <v>2000</v>
      </c>
      <c r="W57" t="str">
        <v>20358T-CA L.IGNASI</v>
      </c>
    </row>
    <row r="58" spans="1:23" x14ac:dyDescent="0.25">
      <c r="A58" t="str">
        <v>2025-11-17</v>
      </c>
      <c r="B58" t="str">
        <v>20427T-MARIA PRAT NOGUERA-L:24-N:3-A:3002-POLLO AMARILLO HEMBRAS</v>
      </c>
      <c r="C58" t="str">
        <v>POLLO AMARILLO HEMBRAS</v>
      </c>
      <c r="D58">
        <v>13433</v>
      </c>
      <c r="E58" t="str">
        <v>Broiler Amarillo</v>
      </c>
      <c r="F58">
        <v>27</v>
      </c>
      <c r="G58">
        <v>0</v>
      </c>
      <c r="H58" t="str">
        <v>Abierto</v>
      </c>
      <c r="I58">
        <v>1.302</v>
      </c>
      <c r="J58">
        <v>1.2680499999999999</v>
      </c>
      <c r="K58">
        <v>1.3620000000000001</v>
      </c>
      <c r="L58">
        <v>13900</v>
      </c>
      <c r="M58">
        <v>0</v>
      </c>
      <c r="N58">
        <v>472</v>
      </c>
      <c r="O58">
        <v>388</v>
      </c>
      <c r="P58">
        <v>26471</v>
      </c>
      <c r="Q58">
        <v>36838.158000000003</v>
      </c>
      <c r="R58">
        <v>0.98040740740740739</v>
      </c>
      <c r="S58">
        <v>23.359643627140141</v>
      </c>
      <c r="T58">
        <v>23.359643627140141</v>
      </c>
      <c r="U58">
        <v>0.98019000000000001</v>
      </c>
      <c r="V58">
        <v>1577</v>
      </c>
      <c r="W58" t="str">
        <v>20427T-MARIA PRAT NOGUERA</v>
      </c>
    </row>
    <row r="59" spans="1:23" x14ac:dyDescent="0.25">
      <c r="A59" t="str">
        <v>2025-11-17</v>
      </c>
      <c r="B59" t="str">
        <v>20241T-GALLMENS S.C.P. naus 1,2,3-L:41-N:2-A:3001-POLLO AMARILLO MACHO</v>
      </c>
      <c r="C59" t="str">
        <v>POLLO AMARILLO MACHO</v>
      </c>
      <c r="D59">
        <v>9276</v>
      </c>
      <c r="E59" t="str">
        <v>Broiler Amarillo</v>
      </c>
      <c r="F59">
        <v>25</v>
      </c>
      <c r="G59">
        <v>0</v>
      </c>
      <c r="H59" t="str">
        <v>Abierto</v>
      </c>
      <c r="I59">
        <v>1.27</v>
      </c>
      <c r="J59">
        <v>1.2423200000000001</v>
      </c>
      <c r="K59">
        <v>1.3340000000000001</v>
      </c>
      <c r="L59">
        <v>9400</v>
      </c>
      <c r="M59">
        <v>0</v>
      </c>
      <c r="N59">
        <v>127</v>
      </c>
      <c r="O59">
        <v>254</v>
      </c>
      <c r="P59">
        <v>18140</v>
      </c>
      <c r="Q59">
        <v>21805.704000000002</v>
      </c>
      <c r="R59">
        <v>1.0077777777777779</v>
      </c>
      <c r="S59">
        <v>21.027679845708775</v>
      </c>
      <c r="T59">
        <v>21.027679845708775</v>
      </c>
      <c r="U59">
        <v>1.0074399999999999</v>
      </c>
      <c r="V59">
        <v>1037</v>
      </c>
      <c r="W59" t="str">
        <v>20241T-GALLMENS S.C.P. naus 1,2,3</v>
      </c>
    </row>
    <row r="60" spans="1:23" x14ac:dyDescent="0.25">
      <c r="A60" t="str">
        <v>2025-11-17</v>
      </c>
      <c r="B60" t="str">
        <v>20242T-ELS PLANS DE PENINA-L:38-N:2-A:3002-POLLO AMARILLO HEMBRAS</v>
      </c>
      <c r="C60" t="str">
        <v>POLLO AMARILLO HEMBRAS</v>
      </c>
      <c r="D60">
        <v>14417</v>
      </c>
      <c r="E60" t="str">
        <v>Broiler Amarillo</v>
      </c>
      <c r="F60">
        <v>28</v>
      </c>
      <c r="G60">
        <v>0</v>
      </c>
      <c r="H60" t="str">
        <v>Abierto</v>
      </c>
      <c r="I60">
        <v>1.264</v>
      </c>
      <c r="J60">
        <v>1.264</v>
      </c>
      <c r="K60">
        <v>1.4350000000000001</v>
      </c>
      <c r="L60">
        <v>14800</v>
      </c>
      <c r="M60">
        <v>0</v>
      </c>
      <c r="N60">
        <v>383</v>
      </c>
      <c r="O60">
        <v>30</v>
      </c>
      <c r="P60">
        <v>28682</v>
      </c>
      <c r="Q60">
        <v>38351.002999999997</v>
      </c>
      <c r="R60">
        <v>0.95606666666666662</v>
      </c>
      <c r="S60">
        <v>22.827977976190475</v>
      </c>
      <c r="T60">
        <v>22.827977976190475</v>
      </c>
      <c r="U60">
        <v>0.95589999999999997</v>
      </c>
      <c r="V60">
        <v>1680</v>
      </c>
      <c r="W60" t="str">
        <v>20242T-ELS PLANS DE PENINA</v>
      </c>
    </row>
    <row r="61" spans="1:23" x14ac:dyDescent="0.25">
      <c r="A61" t="str">
        <v>2025-11-17</v>
      </c>
      <c r="B61" t="str">
        <v>20242T-ELS PLANS DE PENINA-L:38-N:1-A:3002-POLLO AMARILLO HEMBRAS</v>
      </c>
      <c r="C61" t="str">
        <v>POLLO AMARILLO HEMBRAS</v>
      </c>
      <c r="D61">
        <v>14304</v>
      </c>
      <c r="E61" t="str">
        <v>Broiler Amarillo</v>
      </c>
      <c r="F61">
        <v>28</v>
      </c>
      <c r="G61">
        <v>0</v>
      </c>
      <c r="H61" t="str">
        <v>Abierto</v>
      </c>
      <c r="I61">
        <v>1.2529999999999999</v>
      </c>
      <c r="J61">
        <v>1.2529999999999999</v>
      </c>
      <c r="K61">
        <v>1.4350000000000001</v>
      </c>
      <c r="L61">
        <v>14800</v>
      </c>
      <c r="M61">
        <v>0</v>
      </c>
      <c r="N61">
        <v>501</v>
      </c>
      <c r="O61">
        <v>424</v>
      </c>
      <c r="P61">
        <v>28651</v>
      </c>
      <c r="Q61">
        <v>38037.406000000003</v>
      </c>
      <c r="R61">
        <v>0.95503333333333329</v>
      </c>
      <c r="S61">
        <v>22.641313095238097</v>
      </c>
      <c r="T61">
        <v>22.641313095238097</v>
      </c>
      <c r="U61">
        <v>0.95469999999999999</v>
      </c>
      <c r="V61">
        <v>1680</v>
      </c>
      <c r="W61" t="str">
        <v>20242T-ELS PLANS DE PENINA</v>
      </c>
    </row>
    <row r="62" spans="1:23" x14ac:dyDescent="0.25">
      <c r="A62" t="str">
        <v>2025-11-17</v>
      </c>
      <c r="B62" t="str">
        <v>20241T-GALLMENS S.C.P. naus 1,2,3-L:41-N:3-A:3003-POLLO AMARILLO MIXTO</v>
      </c>
      <c r="C62" t="str">
        <v>POLLO AMARILLO MIXTO</v>
      </c>
      <c r="D62">
        <v>20582</v>
      </c>
      <c r="E62" t="str">
        <v>Broiler Amarillo</v>
      </c>
      <c r="F62">
        <v>25</v>
      </c>
      <c r="G62">
        <v>0</v>
      </c>
      <c r="H62" t="str">
        <v>Abierto</v>
      </c>
      <c r="I62">
        <v>1.2270000000000001</v>
      </c>
      <c r="J62">
        <v>1.2065999999999999</v>
      </c>
      <c r="K62">
        <v>1.276</v>
      </c>
      <c r="L62">
        <v>21000</v>
      </c>
      <c r="M62">
        <v>0</v>
      </c>
      <c r="N62">
        <v>425</v>
      </c>
      <c r="O62">
        <v>575</v>
      </c>
      <c r="P62">
        <v>20582</v>
      </c>
      <c r="Q62">
        <v>25254.114000000001</v>
      </c>
      <c r="R62">
        <v>0.93554545454545457</v>
      </c>
      <c r="S62">
        <v>21.045095</v>
      </c>
      <c r="T62">
        <v>21.045095</v>
      </c>
      <c r="U62">
        <v>0.93523000000000001</v>
      </c>
      <c r="V62">
        <v>1200</v>
      </c>
      <c r="W62" t="str">
        <v>20241T-GALLMENS S.C.P. naus 1,2,3</v>
      </c>
    </row>
    <row r="63" spans="1:23" x14ac:dyDescent="0.25">
      <c r="A63" t="str">
        <v>2025-11-17</v>
      </c>
      <c r="B63" t="str">
        <v>20229T-BARO CARDONA JOSEP-L:40-N:1-A:3001-POLLO AMARILLO MACHO</v>
      </c>
      <c r="C63" t="str">
        <v>POLLO AMARILLO MACHO</v>
      </c>
      <c r="D63">
        <v>14075</v>
      </c>
      <c r="E63" t="str">
        <v>Broiler Amarillo</v>
      </c>
      <c r="F63">
        <v>24</v>
      </c>
      <c r="G63">
        <v>0</v>
      </c>
      <c r="H63" t="str">
        <v>Abierto</v>
      </c>
      <c r="I63">
        <v>1.2170000000000001</v>
      </c>
      <c r="J63">
        <v>1.13039</v>
      </c>
      <c r="K63">
        <v>1.2490000000000001</v>
      </c>
      <c r="L63">
        <v>14600</v>
      </c>
      <c r="M63">
        <v>0</v>
      </c>
      <c r="N63">
        <v>530</v>
      </c>
      <c r="O63">
        <v>396</v>
      </c>
      <c r="P63">
        <v>28189</v>
      </c>
      <c r="Q63">
        <v>32626.447</v>
      </c>
      <c r="R63">
        <v>1.00675</v>
      </c>
      <c r="S63">
        <v>20.09017672413793</v>
      </c>
      <c r="T63">
        <v>20.09017672413793</v>
      </c>
      <c r="U63">
        <v>1.0063899999999999</v>
      </c>
      <c r="V63">
        <v>1624</v>
      </c>
      <c r="W63" t="str">
        <v>20229T-BARO CARDONA JOSEP</v>
      </c>
    </row>
    <row r="64" spans="1:23" x14ac:dyDescent="0.25">
      <c r="A64" t="str">
        <v>2025-11-17</v>
      </c>
      <c r="B64" t="str">
        <v>20229T-BARO CARDONA JOSEP-L:40-N:2-A:3001-POLLO AMARILLO MACHO</v>
      </c>
      <c r="C64" t="str">
        <v>POLLO AMARILLO MACHO</v>
      </c>
      <c r="D64">
        <v>13953</v>
      </c>
      <c r="E64" t="str">
        <v>Broiler Amarillo</v>
      </c>
      <c r="F64">
        <v>24</v>
      </c>
      <c r="G64">
        <v>0</v>
      </c>
      <c r="H64" t="str">
        <v>Abierto</v>
      </c>
      <c r="I64">
        <v>1.2070000000000001</v>
      </c>
      <c r="J64">
        <v>1.09337</v>
      </c>
      <c r="K64">
        <v>1.2490000000000001</v>
      </c>
      <c r="L64">
        <v>14100</v>
      </c>
      <c r="M64">
        <v>0</v>
      </c>
      <c r="N64">
        <v>152</v>
      </c>
      <c r="O64">
        <v>388</v>
      </c>
      <c r="P64">
        <v>26885</v>
      </c>
      <c r="Q64">
        <v>31014.742999999999</v>
      </c>
      <c r="R64">
        <v>0.97763636363636364</v>
      </c>
      <c r="S64">
        <v>20.676495333333332</v>
      </c>
      <c r="T64">
        <v>20.676495333333332</v>
      </c>
      <c r="U64">
        <v>0.97726999999999997</v>
      </c>
      <c r="V64">
        <v>1500</v>
      </c>
      <c r="W64" t="str">
        <v>20229T-BARO CARDONA JOSEP</v>
      </c>
    </row>
    <row r="65" spans="1:23" x14ac:dyDescent="0.25">
      <c r="A65" t="str">
        <v>2025-11-17</v>
      </c>
      <c r="B65" t="str">
        <v>20241T-GALLMENS S.C.P. naus 1,2,3-L:41-N:2-A:3002-POLLO AMARILLO HEMBRAS</v>
      </c>
      <c r="C65" t="str">
        <v>POLLO AMARILLO HEMBRAS</v>
      </c>
      <c r="D65">
        <v>8864</v>
      </c>
      <c r="E65" t="str">
        <v>Broiler Amarillo</v>
      </c>
      <c r="F65">
        <v>25</v>
      </c>
      <c r="G65">
        <v>0</v>
      </c>
      <c r="H65" t="str">
        <v>Abierto</v>
      </c>
      <c r="I65">
        <v>1.131</v>
      </c>
      <c r="J65">
        <v>1.0966899999999999</v>
      </c>
      <c r="K65">
        <v>1.2170000000000001</v>
      </c>
      <c r="L65">
        <v>9000</v>
      </c>
      <c r="M65">
        <v>0</v>
      </c>
      <c r="N65">
        <v>139</v>
      </c>
      <c r="O65">
        <v>248</v>
      </c>
      <c r="P65">
        <v>18140</v>
      </c>
      <c r="Q65">
        <v>21805.704000000002</v>
      </c>
      <c r="R65">
        <v>1.0077777777777779</v>
      </c>
      <c r="S65">
        <v>21.027679845708775</v>
      </c>
      <c r="T65">
        <v>21.027679845708775</v>
      </c>
      <c r="U65">
        <v>1.0074399999999999</v>
      </c>
      <c r="V65">
        <v>1037</v>
      </c>
      <c r="W65" t="str">
        <v>20241T-GALLMENS S.C.P. naus 1,2,3</v>
      </c>
    </row>
    <row r="66" spans="1:23" x14ac:dyDescent="0.25">
      <c r="A66" t="str">
        <v>2025-11-17</v>
      </c>
      <c r="B66" t="str">
        <v>20229T-BARO CARDONA JOSEP-L:40-N:1-A:3002-POLLO AMARILLO HEMBRAS</v>
      </c>
      <c r="C66" t="str">
        <v>POLLO AMARILLO HEMBRAS</v>
      </c>
      <c r="D66">
        <v>14114</v>
      </c>
      <c r="E66" t="str">
        <v>Broiler Amarillo</v>
      </c>
      <c r="F66">
        <v>24</v>
      </c>
      <c r="G66">
        <v>0</v>
      </c>
      <c r="H66" t="str">
        <v>Abierto</v>
      </c>
      <c r="I66">
        <v>1.0980000000000001</v>
      </c>
      <c r="J66">
        <v>0.98287999999999998</v>
      </c>
      <c r="K66">
        <v>1.145</v>
      </c>
      <c r="L66">
        <v>14600</v>
      </c>
      <c r="M66">
        <v>0</v>
      </c>
      <c r="N66">
        <v>491</v>
      </c>
      <c r="O66">
        <v>396</v>
      </c>
      <c r="P66">
        <v>28189</v>
      </c>
      <c r="Q66">
        <v>32626.447</v>
      </c>
      <c r="R66">
        <v>1.00675</v>
      </c>
      <c r="S66">
        <v>20.09017672413793</v>
      </c>
      <c r="T66">
        <v>20.09017672413793</v>
      </c>
      <c r="U66">
        <v>1.0063899999999999</v>
      </c>
      <c r="V66">
        <v>1624</v>
      </c>
      <c r="W66" t="str">
        <v>20229T-BARO CARDONA JOSEP</v>
      </c>
    </row>
    <row r="67" spans="1:23" x14ac:dyDescent="0.25">
      <c r="A67" t="str">
        <v>2025-11-17</v>
      </c>
      <c r="B67" t="str">
        <v>20229T-BARO CARDONA JOSEP-L:40-N:2-A:3002-POLLO AMARILLO HEMBRAS</v>
      </c>
      <c r="C67" t="str">
        <v>POLLO AMARILLO HEMBRAS</v>
      </c>
      <c r="D67">
        <v>12932</v>
      </c>
      <c r="E67" t="str">
        <v>Broiler Amarillo</v>
      </c>
      <c r="F67">
        <v>24</v>
      </c>
      <c r="G67">
        <v>0</v>
      </c>
      <c r="H67" t="str">
        <v>Abierto</v>
      </c>
      <c r="I67">
        <v>1.0960000000000001</v>
      </c>
      <c r="J67">
        <v>0.97601000000000004</v>
      </c>
      <c r="K67">
        <v>1.145</v>
      </c>
      <c r="L67">
        <v>14000</v>
      </c>
      <c r="M67">
        <v>0</v>
      </c>
      <c r="N67">
        <v>1073</v>
      </c>
      <c r="O67">
        <v>387</v>
      </c>
      <c r="P67">
        <v>26885</v>
      </c>
      <c r="Q67">
        <v>31014.742999999999</v>
      </c>
      <c r="R67">
        <v>0.97763636363636364</v>
      </c>
      <c r="S67">
        <v>20.676495333333332</v>
      </c>
      <c r="T67">
        <v>20.676495333333332</v>
      </c>
      <c r="U67">
        <v>0.97726999999999997</v>
      </c>
      <c r="V67">
        <v>1500</v>
      </c>
      <c r="W67" t="str">
        <v>20229T-BARO CARDONA JOSEP</v>
      </c>
    </row>
    <row r="68" spans="1:23" x14ac:dyDescent="0.25">
      <c r="A68" t="str">
        <v>2025-11-17</v>
      </c>
      <c r="B68" t="str">
        <v>20399T-GRANJA TONIC-L:40-N:1-A:3002-POLLO AMARILLO HEMBRAS</v>
      </c>
      <c r="C68" t="str">
        <v>POLLO AMARILLO HEMBRAS</v>
      </c>
      <c r="D68">
        <v>15217</v>
      </c>
      <c r="E68" t="str">
        <v>Broiler Amarillo</v>
      </c>
      <c r="F68">
        <v>24</v>
      </c>
      <c r="G68">
        <v>0</v>
      </c>
      <c r="H68" t="str">
        <v>Abierto</v>
      </c>
      <c r="I68">
        <v>1.083</v>
      </c>
      <c r="J68">
        <v>1.0569200000000001</v>
      </c>
      <c r="K68">
        <v>1.145</v>
      </c>
      <c r="L68">
        <v>15800</v>
      </c>
      <c r="M68">
        <v>0</v>
      </c>
      <c r="N68">
        <v>585</v>
      </c>
      <c r="O68">
        <v>128</v>
      </c>
      <c r="P68">
        <v>30469</v>
      </c>
      <c r="Q68">
        <v>29764.503000000001</v>
      </c>
      <c r="R68">
        <v>-1</v>
      </c>
      <c r="S68">
        <v>18.510263059701494</v>
      </c>
      <c r="T68">
        <v>18.510263059701494</v>
      </c>
      <c r="U68">
        <v>0</v>
      </c>
      <c r="V68">
        <v>1608</v>
      </c>
      <c r="W68" t="str">
        <v>20399T-GRANJA TONIC</v>
      </c>
    </row>
    <row r="69" spans="1:23" x14ac:dyDescent="0.25">
      <c r="A69" t="str">
        <v>2025-11-17</v>
      </c>
      <c r="B69" t="str">
        <v>20358T-CA L.IGNASI-L:39-N:1-A:3001-POLLO AMARILLO MACHO</v>
      </c>
      <c r="C69" t="str">
        <v>POLLO AMARILLO MACHO</v>
      </c>
      <c r="D69">
        <v>17476</v>
      </c>
      <c r="E69" t="str">
        <v>Broiler Amarillo</v>
      </c>
      <c r="F69">
        <v>21</v>
      </c>
      <c r="G69">
        <v>0</v>
      </c>
      <c r="H69" t="str">
        <v>Abierto</v>
      </c>
      <c r="I69">
        <v>1.02</v>
      </c>
      <c r="J69">
        <v>1.03138</v>
      </c>
      <c r="K69">
        <v>1.0069999999999999</v>
      </c>
      <c r="L69">
        <v>17800</v>
      </c>
      <c r="M69">
        <v>0</v>
      </c>
      <c r="N69">
        <v>330</v>
      </c>
      <c r="O69">
        <v>467</v>
      </c>
      <c r="P69">
        <v>35075</v>
      </c>
      <c r="Q69">
        <v>34702.961000000003</v>
      </c>
      <c r="R69">
        <v>0.97430555555555554</v>
      </c>
      <c r="S69">
        <v>18.419830679405521</v>
      </c>
      <c r="T69">
        <v>18.419830679405521</v>
      </c>
      <c r="U69">
        <v>0.97397</v>
      </c>
      <c r="V69">
        <v>1884</v>
      </c>
      <c r="W69" t="str">
        <v>20358T-CA L.IGNASI</v>
      </c>
    </row>
    <row r="70" spans="1:23" x14ac:dyDescent="0.25">
      <c r="A70" t="str">
        <v>2025-11-17</v>
      </c>
      <c r="B70" t="str">
        <v>20358T-CA L.IGNASI-L:39-N:3-A:3001-POLLO AMARILLO MACHO</v>
      </c>
      <c r="C70" t="str">
        <v>POLLO AMARILLO MACHO</v>
      </c>
      <c r="D70">
        <v>18504</v>
      </c>
      <c r="E70" t="str">
        <v>Broiler Amarillo</v>
      </c>
      <c r="F70">
        <v>21</v>
      </c>
      <c r="G70">
        <v>0</v>
      </c>
      <c r="H70" t="str">
        <v>Abierto</v>
      </c>
      <c r="I70">
        <v>1</v>
      </c>
      <c r="J70">
        <v>0.99390000000000001</v>
      </c>
      <c r="K70">
        <v>1.0069999999999999</v>
      </c>
      <c r="L70">
        <v>18800</v>
      </c>
      <c r="M70">
        <v>0</v>
      </c>
      <c r="N70">
        <v>303</v>
      </c>
      <c r="O70">
        <v>497</v>
      </c>
      <c r="P70">
        <v>37164</v>
      </c>
      <c r="Q70">
        <v>36025.74</v>
      </c>
      <c r="R70">
        <v>0.97799999999999998</v>
      </c>
      <c r="S70">
        <v>18.048967935871744</v>
      </c>
      <c r="T70">
        <v>18.048967935871744</v>
      </c>
      <c r="U70">
        <v>0.97763</v>
      </c>
      <c r="V70">
        <v>1996</v>
      </c>
      <c r="W70" t="str">
        <v>20358T-CA L.IGNASI</v>
      </c>
    </row>
    <row r="71" spans="1:23" x14ac:dyDescent="0.25">
      <c r="A71" t="str">
        <v>2025-11-17</v>
      </c>
      <c r="B71" t="str">
        <v>20388T-GRANJA CAMAR-L:39-N:1-A:3001-POLLO AMARILLO MACHO</v>
      </c>
      <c r="C71" t="str">
        <v>POLLO AMARILLO MACHO</v>
      </c>
      <c r="D71">
        <v>15593</v>
      </c>
      <c r="E71" t="str">
        <v>Broiler Amarillo</v>
      </c>
      <c r="F71">
        <v>20</v>
      </c>
      <c r="G71">
        <v>0</v>
      </c>
      <c r="H71" t="str">
        <v>Abierto</v>
      </c>
      <c r="I71">
        <v>0.996</v>
      </c>
      <c r="J71">
        <v>1.05681</v>
      </c>
      <c r="K71">
        <v>0.93100000000000005</v>
      </c>
      <c r="L71">
        <v>16400</v>
      </c>
      <c r="M71">
        <v>0</v>
      </c>
      <c r="N71">
        <v>813</v>
      </c>
      <c r="O71">
        <v>427</v>
      </c>
      <c r="P71">
        <v>31672</v>
      </c>
      <c r="Q71">
        <v>30532.334999999999</v>
      </c>
      <c r="R71">
        <v>0.98975000000000002</v>
      </c>
      <c r="S71">
        <v>16.593660326086958</v>
      </c>
      <c r="T71">
        <v>16.593660326086958</v>
      </c>
      <c r="U71">
        <v>0.98941000000000001</v>
      </c>
      <c r="V71">
        <v>1840</v>
      </c>
      <c r="W71" t="str">
        <v>20388T-GRANJA CAMAR</v>
      </c>
    </row>
    <row r="72" spans="1:23" x14ac:dyDescent="0.25">
      <c r="A72" t="str">
        <v>2025-11-17</v>
      </c>
      <c r="B72" t="str">
        <v>20358T-CA L.IGNASI-L:39-N:1-A:3002-POLLO AMARILLO HEMBRAS</v>
      </c>
      <c r="C72" t="str">
        <v>POLLO AMARILLO HEMBRAS</v>
      </c>
      <c r="D72">
        <v>17599</v>
      </c>
      <c r="E72" t="str">
        <v>Broiler Amarillo</v>
      </c>
      <c r="F72">
        <v>21</v>
      </c>
      <c r="G72">
        <v>0</v>
      </c>
      <c r="H72" t="str">
        <v>Abierto</v>
      </c>
      <c r="I72">
        <v>0.95899999999999996</v>
      </c>
      <c r="J72">
        <v>0.97765000000000002</v>
      </c>
      <c r="K72">
        <v>0.93600000000000005</v>
      </c>
      <c r="L72">
        <v>17900</v>
      </c>
      <c r="M72">
        <v>0</v>
      </c>
      <c r="N72">
        <v>307</v>
      </c>
      <c r="O72">
        <v>467</v>
      </c>
      <c r="P72">
        <v>35075</v>
      </c>
      <c r="Q72">
        <v>34702.961000000003</v>
      </c>
      <c r="R72">
        <v>0.97430555555555554</v>
      </c>
      <c r="S72">
        <v>18.419830679405521</v>
      </c>
      <c r="T72">
        <v>18.419830679405521</v>
      </c>
      <c r="U72">
        <v>0.97397</v>
      </c>
      <c r="V72">
        <v>1884</v>
      </c>
      <c r="W72" t="str">
        <v>20358T-CA L.IGNASI</v>
      </c>
    </row>
    <row r="73" spans="1:23" x14ac:dyDescent="0.25">
      <c r="A73" t="str">
        <v>2025-11-17</v>
      </c>
      <c r="B73" t="str">
        <v>20358T-CA L.IGNASI-L:39-N:2-A:3003-POLLO AMARILLO MIXTO</v>
      </c>
      <c r="C73" t="str">
        <v>POLLO AMARILLO MIXTO</v>
      </c>
      <c r="D73">
        <v>34768</v>
      </c>
      <c r="E73" t="str">
        <v>Broiler Amarillo</v>
      </c>
      <c r="F73">
        <v>21</v>
      </c>
      <c r="G73">
        <v>0</v>
      </c>
      <c r="H73" t="str">
        <v>Abierto</v>
      </c>
      <c r="I73">
        <v>0.95499999999999996</v>
      </c>
      <c r="J73">
        <v>0.94064000000000003</v>
      </c>
      <c r="K73">
        <v>0.97199999999999998</v>
      </c>
      <c r="L73">
        <v>35237</v>
      </c>
      <c r="M73">
        <v>0</v>
      </c>
      <c r="N73">
        <v>481</v>
      </c>
      <c r="O73">
        <v>922</v>
      </c>
      <c r="P73">
        <v>34768</v>
      </c>
      <c r="Q73">
        <v>33203.440000000002</v>
      </c>
      <c r="R73">
        <v>0.91494736842105262</v>
      </c>
      <c r="S73">
        <v>16.975173824130881</v>
      </c>
      <c r="T73">
        <v>16.975173824130881</v>
      </c>
      <c r="U73">
        <v>0.91463000000000005</v>
      </c>
      <c r="V73">
        <v>1956</v>
      </c>
      <c r="W73" t="str">
        <v>20358T-CA L.IGNASI</v>
      </c>
    </row>
    <row r="74" spans="1:23" x14ac:dyDescent="0.25">
      <c r="A74" t="str">
        <v>2025-11-17</v>
      </c>
      <c r="B74" t="str">
        <v>20358T-CA L.IGNASI-L:39-N:3-A:3002-POLLO AMARILLO HEMBRAS</v>
      </c>
      <c r="C74" t="str">
        <v>POLLO AMARILLO HEMBRAS</v>
      </c>
      <c r="D74">
        <v>18660</v>
      </c>
      <c r="E74" t="str">
        <v>Broiler Amarillo</v>
      </c>
      <c r="F74">
        <v>21</v>
      </c>
      <c r="G74">
        <v>0</v>
      </c>
      <c r="H74" t="str">
        <v>Abierto</v>
      </c>
      <c r="I74">
        <v>0.93899999999999995</v>
      </c>
      <c r="J74">
        <v>0.94142999999999999</v>
      </c>
      <c r="K74">
        <v>0.93600000000000005</v>
      </c>
      <c r="L74">
        <v>18900</v>
      </c>
      <c r="M74">
        <v>0</v>
      </c>
      <c r="N74">
        <v>247</v>
      </c>
      <c r="O74">
        <v>497</v>
      </c>
      <c r="P74">
        <v>37164</v>
      </c>
      <c r="Q74">
        <v>36025.74</v>
      </c>
      <c r="R74">
        <v>0.97799999999999998</v>
      </c>
      <c r="S74">
        <v>18.048967935871744</v>
      </c>
      <c r="T74">
        <v>18.048967935871744</v>
      </c>
      <c r="U74">
        <v>0.97763</v>
      </c>
      <c r="V74">
        <v>1996</v>
      </c>
      <c r="W74" t="str">
        <v>20358T-CA L.IGNASI</v>
      </c>
    </row>
    <row r="75" spans="1:23" x14ac:dyDescent="0.25">
      <c r="A75" t="str">
        <v>2025-11-17</v>
      </c>
      <c r="B75" t="str">
        <v>20388T-GRANJA CAMAR-L:39-N:1-A:3002-POLLO AMARILLO HEMBRAS</v>
      </c>
      <c r="C75" t="str">
        <v>POLLO AMARILLO HEMBRAS</v>
      </c>
      <c r="D75">
        <v>16079</v>
      </c>
      <c r="E75" t="str">
        <v>Broiler Amarillo</v>
      </c>
      <c r="F75">
        <v>20</v>
      </c>
      <c r="G75">
        <v>0</v>
      </c>
      <c r="H75" t="str">
        <v>Abierto</v>
      </c>
      <c r="I75">
        <v>0.93300000000000005</v>
      </c>
      <c r="J75">
        <v>0.98734999999999995</v>
      </c>
      <c r="K75">
        <v>0.87</v>
      </c>
      <c r="L75">
        <v>16400</v>
      </c>
      <c r="M75">
        <v>0</v>
      </c>
      <c r="N75">
        <v>326</v>
      </c>
      <c r="O75">
        <v>370</v>
      </c>
      <c r="P75">
        <v>31672</v>
      </c>
      <c r="Q75">
        <v>30532.334999999999</v>
      </c>
      <c r="R75">
        <v>0.98975000000000002</v>
      </c>
      <c r="S75">
        <v>16.593660326086958</v>
      </c>
      <c r="T75">
        <v>16.593660326086958</v>
      </c>
      <c r="U75">
        <v>0.98941000000000001</v>
      </c>
      <c r="V75">
        <v>1840</v>
      </c>
      <c r="W75" t="str">
        <v>20388T-GRANJA CAMAR</v>
      </c>
    </row>
    <row r="76" spans="1:23" x14ac:dyDescent="0.25">
      <c r="A76" t="str">
        <v>2025-11-17</v>
      </c>
      <c r="B76" t="str">
        <v>20399T-GRANJA TONIC-L:40-N:1-A:3001-POLLO AMARILLO MACHO</v>
      </c>
      <c r="C76" t="str">
        <v>POLLO AMARILLO MACHO</v>
      </c>
      <c r="D76">
        <v>15252</v>
      </c>
      <c r="E76" t="str">
        <v>Broiler Amarillo</v>
      </c>
      <c r="F76">
        <v>24</v>
      </c>
      <c r="G76">
        <v>0</v>
      </c>
      <c r="H76" t="str">
        <v>Abierto</v>
      </c>
      <c r="I76">
        <v>0.871</v>
      </c>
      <c r="J76">
        <v>0.69872000000000001</v>
      </c>
      <c r="K76">
        <v>1.2490000000000001</v>
      </c>
      <c r="L76">
        <v>15900</v>
      </c>
      <c r="M76">
        <v>0</v>
      </c>
      <c r="N76">
        <v>652</v>
      </c>
      <c r="O76">
        <v>312</v>
      </c>
      <c r="P76">
        <v>30469</v>
      </c>
      <c r="Q76">
        <v>29764.503000000001</v>
      </c>
      <c r="R76">
        <v>-1</v>
      </c>
      <c r="S76">
        <v>18.510263059701494</v>
      </c>
      <c r="T76">
        <v>18.510263059701494</v>
      </c>
      <c r="U76">
        <v>0</v>
      </c>
      <c r="V76">
        <v>1608</v>
      </c>
      <c r="W76" t="str">
        <v>20399T-GRANJA TONIC</v>
      </c>
    </row>
    <row r="77" spans="1:23" x14ac:dyDescent="0.25">
      <c r="A77" t="str">
        <v>2025-11-17</v>
      </c>
      <c r="B77" t="str">
        <v>20260T-DUARRI-MANONELLES SCP naus 1,2,3,4-L:39-N:1-A:3001-POLLO AMARILLO MACHO</v>
      </c>
      <c r="C77" t="str">
        <v>POLLO AMARILLO MACHO</v>
      </c>
      <c r="D77">
        <v>8905</v>
      </c>
      <c r="E77" t="str">
        <v>Broiler Amarillo</v>
      </c>
      <c r="F77">
        <v>18</v>
      </c>
      <c r="G77">
        <v>0</v>
      </c>
      <c r="H77" t="str">
        <v>Abierto</v>
      </c>
      <c r="I77">
        <v>0.74299999999999999</v>
      </c>
      <c r="J77">
        <v>0.62827999999999995</v>
      </c>
      <c r="K77">
        <v>0.78800000000000003</v>
      </c>
      <c r="L77">
        <v>9100</v>
      </c>
      <c r="M77">
        <v>0</v>
      </c>
      <c r="N77">
        <v>198</v>
      </c>
      <c r="O77">
        <v>230</v>
      </c>
      <c r="P77">
        <v>17879</v>
      </c>
      <c r="Q77">
        <v>12898.215</v>
      </c>
      <c r="R77">
        <v>1.1174375000000001</v>
      </c>
      <c r="S77">
        <v>10.857083333333334</v>
      </c>
      <c r="T77">
        <v>10.857083333333334</v>
      </c>
      <c r="U77">
        <v>1.1170599999999999</v>
      </c>
      <c r="V77">
        <v>1188</v>
      </c>
      <c r="W77" t="str">
        <v>20260T-DUARRI-MANONELLES SCP naus 1,2,3,4</v>
      </c>
    </row>
    <row r="78" spans="1:23" x14ac:dyDescent="0.25">
      <c r="A78" t="str">
        <v>2025-11-17</v>
      </c>
      <c r="B78" t="str">
        <v>20260T-DUARRI-MANONELLES SCP naus 1,2,3,4-L:39-N:4-A:3001-POLLO AMARILLO MACHO</v>
      </c>
      <c r="C78" t="str">
        <v>POLLO AMARILLO MACHO</v>
      </c>
      <c r="D78">
        <v>5022</v>
      </c>
      <c r="E78" t="str">
        <v>Broiler Amarillo</v>
      </c>
      <c r="F78">
        <v>18</v>
      </c>
      <c r="G78">
        <v>0</v>
      </c>
      <c r="H78" t="str">
        <v>Abierto</v>
      </c>
      <c r="I78">
        <v>0.74199999999999999</v>
      </c>
      <c r="J78">
        <v>0.62473000000000001</v>
      </c>
      <c r="K78">
        <v>0.78800000000000003</v>
      </c>
      <c r="L78">
        <v>5100</v>
      </c>
      <c r="M78">
        <v>0</v>
      </c>
      <c r="N78">
        <v>80</v>
      </c>
      <c r="O78">
        <v>127</v>
      </c>
      <c r="P78">
        <v>5022</v>
      </c>
      <c r="Q78">
        <v>3726.3240000000001</v>
      </c>
      <c r="R78">
        <v>1.0044</v>
      </c>
      <c r="S78">
        <v>9.155587223587224</v>
      </c>
      <c r="T78">
        <v>9.155587223587224</v>
      </c>
      <c r="U78">
        <v>1.004</v>
      </c>
      <c r="V78">
        <v>407</v>
      </c>
      <c r="W78" t="str">
        <v>20260T-DUARRI-MANONELLES SCP naus 1,2,3,4</v>
      </c>
    </row>
    <row r="79" spans="1:23" x14ac:dyDescent="0.25">
      <c r="A79" t="str">
        <v>2025-11-17</v>
      </c>
      <c r="B79" t="str">
        <v>20260T-DUARRI-MANONELLES SCP naus 1,2,3,4-L:39-N:2-A:3001-POLLO AMARILLO MACHO</v>
      </c>
      <c r="C79" t="str">
        <v>POLLO AMARILLO MACHO</v>
      </c>
      <c r="D79">
        <v>13345</v>
      </c>
      <c r="E79" t="str">
        <v>Broiler Amarillo</v>
      </c>
      <c r="F79">
        <v>18</v>
      </c>
      <c r="G79">
        <v>0</v>
      </c>
      <c r="H79" t="str">
        <v>Abierto</v>
      </c>
      <c r="I79">
        <v>0.73899999999999999</v>
      </c>
      <c r="J79">
        <v>0.61409000000000002</v>
      </c>
      <c r="K79">
        <v>0.78800000000000003</v>
      </c>
      <c r="L79">
        <v>13600</v>
      </c>
      <c r="M79">
        <v>0</v>
      </c>
      <c r="N79">
        <v>260</v>
      </c>
      <c r="O79">
        <v>343</v>
      </c>
      <c r="P79">
        <v>31774</v>
      </c>
      <c r="Q79">
        <v>22633.252</v>
      </c>
      <c r="R79">
        <v>0.96284848484848484</v>
      </c>
      <c r="S79">
        <v>11.11107118311242</v>
      </c>
      <c r="T79">
        <v>11.11107118311242</v>
      </c>
      <c r="U79">
        <v>0.96248</v>
      </c>
      <c r="V79">
        <v>2037</v>
      </c>
      <c r="W79" t="str">
        <v>20260T-DUARRI-MANONELLES SCP naus 1,2,3,4</v>
      </c>
    </row>
    <row r="80" spans="1:23" x14ac:dyDescent="0.25">
      <c r="A80" t="str">
        <v>2025-11-17</v>
      </c>
      <c r="B80" t="str">
        <v>20228T-DE FEBRER ROSAS JOSEP M.-L:40-N:1-A:3001-POLLO AMARILLO MACHO</v>
      </c>
      <c r="C80" t="str">
        <v>POLLO AMARILLO MACHO</v>
      </c>
      <c r="D80">
        <v>15401</v>
      </c>
      <c r="E80" t="str">
        <v>Broiler Amarillo</v>
      </c>
      <c r="F80">
        <v>17</v>
      </c>
      <c r="G80">
        <v>0</v>
      </c>
      <c r="H80" t="str">
        <v>Abierto</v>
      </c>
      <c r="I80">
        <v>0.72499999999999998</v>
      </c>
      <c r="J80">
        <v>0.73892000000000002</v>
      </c>
      <c r="K80">
        <v>0.72</v>
      </c>
      <c r="L80">
        <v>15800</v>
      </c>
      <c r="M80">
        <v>0</v>
      </c>
      <c r="N80">
        <v>491</v>
      </c>
      <c r="O80">
        <v>22</v>
      </c>
      <c r="P80">
        <v>31145</v>
      </c>
      <c r="Q80">
        <v>21981.852999999999</v>
      </c>
      <c r="R80">
        <v>0.94378787878787884</v>
      </c>
      <c r="S80">
        <v>12.854884795321638</v>
      </c>
      <c r="T80">
        <v>12.854884795321638</v>
      </c>
      <c r="U80">
        <v>0.94172999999999996</v>
      </c>
      <c r="V80">
        <v>1710</v>
      </c>
      <c r="W80" t="str">
        <v>20228T-DE FEBRER ROSAS JOSEP M.</v>
      </c>
    </row>
    <row r="81" spans="1:23" x14ac:dyDescent="0.25">
      <c r="A81" t="str">
        <v>2025-11-17</v>
      </c>
      <c r="B81" t="str">
        <v>20228T-DE FEBRER ROSAS JOSEP M.-L:40-N:2-A:3001-POLLO AMARILLO MACHO</v>
      </c>
      <c r="C81" t="str">
        <v>POLLO AMARILLO MACHO</v>
      </c>
      <c r="D81">
        <v>15625</v>
      </c>
      <c r="E81" t="str">
        <v>Broiler Amarillo</v>
      </c>
      <c r="F81">
        <v>17</v>
      </c>
      <c r="G81">
        <v>0</v>
      </c>
      <c r="H81" t="str">
        <v>Abierto</v>
      </c>
      <c r="I81">
        <v>0.72399999999999998</v>
      </c>
      <c r="J81">
        <v>0.73519000000000001</v>
      </c>
      <c r="K81">
        <v>0.72</v>
      </c>
      <c r="L81">
        <v>15800</v>
      </c>
      <c r="M81">
        <v>0</v>
      </c>
      <c r="N81">
        <v>253</v>
      </c>
      <c r="O81">
        <v>0</v>
      </c>
      <c r="P81">
        <v>31560</v>
      </c>
      <c r="Q81">
        <v>22212.04</v>
      </c>
      <c r="R81">
        <v>0.90171428571428569</v>
      </c>
      <c r="S81">
        <v>12.340022222222222</v>
      </c>
      <c r="T81">
        <v>12.340022222222222</v>
      </c>
      <c r="U81">
        <v>0.89825999999999995</v>
      </c>
      <c r="V81">
        <v>1800</v>
      </c>
      <c r="W81" t="str">
        <v>20228T-DE FEBRER ROSAS JOSEP M.</v>
      </c>
    </row>
    <row r="82" spans="1:23" x14ac:dyDescent="0.25">
      <c r="A82" t="str">
        <v>2025-11-17</v>
      </c>
      <c r="B82" t="str">
        <v>20260T-DUARRI-MANONELLES SCP naus 1,2,3,4-L:39-N:3-A:3003-POLLO AMARILLO MIXTO</v>
      </c>
      <c r="C82" t="str">
        <v>POLLO AMARILLO MIXTO</v>
      </c>
      <c r="D82">
        <v>19864</v>
      </c>
      <c r="E82" t="str">
        <v>Broiler Amarillo</v>
      </c>
      <c r="F82">
        <v>18</v>
      </c>
      <c r="G82">
        <v>0</v>
      </c>
      <c r="H82" t="str">
        <v>Abierto</v>
      </c>
      <c r="I82">
        <v>0.71299999999999997</v>
      </c>
      <c r="J82">
        <v>0.58582999999999996</v>
      </c>
      <c r="K82">
        <v>0.76500000000000001</v>
      </c>
      <c r="L82">
        <v>20600</v>
      </c>
      <c r="M82">
        <v>0</v>
      </c>
      <c r="N82">
        <v>743</v>
      </c>
      <c r="O82">
        <v>520</v>
      </c>
      <c r="P82">
        <v>19864</v>
      </c>
      <c r="Q82">
        <v>14163.031999999999</v>
      </c>
      <c r="R82">
        <v>0.99319999999999997</v>
      </c>
      <c r="S82">
        <v>12.043394557823129</v>
      </c>
      <c r="T82">
        <v>12.043394557823129</v>
      </c>
      <c r="U82">
        <v>0.99285000000000001</v>
      </c>
      <c r="V82">
        <v>1176</v>
      </c>
      <c r="W82" t="str">
        <v>20260T-DUARRI-MANONELLES SCP naus 1,2,3,4</v>
      </c>
    </row>
    <row r="83" spans="1:23" x14ac:dyDescent="0.25">
      <c r="A83" t="str">
        <v>2025-11-17</v>
      </c>
      <c r="B83" t="str">
        <v>20260T-DUARRI-MANONELLES SCP naus 1,2,3,4-L:39-N:1-A:3002-POLLO AMARILLO HEMBRAS</v>
      </c>
      <c r="C83" t="str">
        <v>POLLO AMARILLO HEMBRAS</v>
      </c>
      <c r="D83">
        <v>8974</v>
      </c>
      <c r="E83" t="str">
        <v>Broiler Amarillo</v>
      </c>
      <c r="F83">
        <v>18</v>
      </c>
      <c r="G83">
        <v>0</v>
      </c>
      <c r="H83" t="str">
        <v>Abierto</v>
      </c>
      <c r="I83">
        <v>0.7</v>
      </c>
      <c r="J83">
        <v>0.59655000000000002</v>
      </c>
      <c r="K83">
        <v>0.74399999999999999</v>
      </c>
      <c r="L83">
        <v>9100</v>
      </c>
      <c r="M83">
        <v>0</v>
      </c>
      <c r="N83">
        <v>129</v>
      </c>
      <c r="O83">
        <v>230</v>
      </c>
      <c r="P83">
        <v>17879</v>
      </c>
      <c r="Q83">
        <v>12898.215</v>
      </c>
      <c r="R83">
        <v>1.1174375000000001</v>
      </c>
      <c r="S83">
        <v>10.857083333333334</v>
      </c>
      <c r="T83">
        <v>10.857083333333334</v>
      </c>
      <c r="U83">
        <v>1.1170599999999999</v>
      </c>
      <c r="V83">
        <v>1188</v>
      </c>
      <c r="W83" t="str">
        <v>20260T-DUARRI-MANONELLES SCP naus 1,2,3,4</v>
      </c>
    </row>
    <row r="84" spans="1:23" x14ac:dyDescent="0.25">
      <c r="A84" t="str">
        <v>2025-11-17</v>
      </c>
      <c r="B84" t="str">
        <v>20260T-DUARRI-MANONELLES SCP naus 1,2,3,4-L:39-N:2-A:3002-POLLO AMARILLO HEMBRAS</v>
      </c>
      <c r="C84" t="str">
        <v>POLLO AMARILLO HEMBRAS</v>
      </c>
      <c r="D84">
        <v>18429</v>
      </c>
      <c r="E84" t="str">
        <v>Broiler Amarillo</v>
      </c>
      <c r="F84">
        <v>18</v>
      </c>
      <c r="G84">
        <v>0</v>
      </c>
      <c r="H84" t="str">
        <v>Abierto</v>
      </c>
      <c r="I84">
        <v>0.69299999999999995</v>
      </c>
      <c r="J84">
        <v>0.57310000000000005</v>
      </c>
      <c r="K84">
        <v>0.74399999999999999</v>
      </c>
      <c r="L84">
        <v>18700</v>
      </c>
      <c r="M84">
        <v>0</v>
      </c>
      <c r="N84">
        <v>278</v>
      </c>
      <c r="O84">
        <v>474</v>
      </c>
      <c r="P84">
        <v>31774</v>
      </c>
      <c r="Q84">
        <v>22633.252</v>
      </c>
      <c r="R84">
        <v>0.96284848484848484</v>
      </c>
      <c r="S84">
        <v>11.11107118311242</v>
      </c>
      <c r="T84">
        <v>11.11107118311242</v>
      </c>
      <c r="U84">
        <v>0.96248</v>
      </c>
      <c r="V84">
        <v>2037</v>
      </c>
      <c r="W84" t="str">
        <v>20260T-DUARRI-MANONELLES SCP naus 1,2,3,4</v>
      </c>
    </row>
    <row r="85" spans="1:23" x14ac:dyDescent="0.25">
      <c r="A85" t="str">
        <v>2025-11-17</v>
      </c>
      <c r="B85" t="str">
        <v>20228T-DE FEBRER ROSAS JOSEP M.-L:40-N:1-A:3002-POLLO AMARILLO HEMBRAS</v>
      </c>
      <c r="C85" t="str">
        <v>POLLO AMARILLO HEMBRAS</v>
      </c>
      <c r="D85">
        <v>15744</v>
      </c>
      <c r="E85" t="str">
        <v>Broiler Amarillo</v>
      </c>
      <c r="F85">
        <v>17</v>
      </c>
      <c r="G85">
        <v>0</v>
      </c>
      <c r="H85" t="str">
        <v>Abierto</v>
      </c>
      <c r="I85">
        <v>0.68700000000000006</v>
      </c>
      <c r="J85">
        <v>0.69481000000000004</v>
      </c>
      <c r="K85">
        <v>0.68400000000000005</v>
      </c>
      <c r="L85">
        <v>16100</v>
      </c>
      <c r="M85">
        <v>0</v>
      </c>
      <c r="N85">
        <v>332</v>
      </c>
      <c r="O85">
        <v>403</v>
      </c>
      <c r="P85">
        <v>31145</v>
      </c>
      <c r="Q85">
        <v>21981.852999999999</v>
      </c>
      <c r="R85">
        <v>0.94378787878787884</v>
      </c>
      <c r="S85">
        <v>12.854884795321638</v>
      </c>
      <c r="T85">
        <v>12.854884795321638</v>
      </c>
      <c r="U85">
        <v>0.94172999999999996</v>
      </c>
      <c r="V85">
        <v>1710</v>
      </c>
      <c r="W85" t="str">
        <v>20228T-DE FEBRER ROSAS JOSEP M.</v>
      </c>
    </row>
    <row r="86" spans="1:23" x14ac:dyDescent="0.25">
      <c r="A86" t="str">
        <v>2025-11-17</v>
      </c>
      <c r="B86" t="str">
        <v>20228T-DE FEBRER ROSAS JOSEP M.-L:40-N:2-A:3002-POLLO AMARILLO HEMBRAS</v>
      </c>
      <c r="C86" t="str">
        <v>POLLO AMARILLO HEMBRAS</v>
      </c>
      <c r="D86">
        <v>15935</v>
      </c>
      <c r="E86" t="str">
        <v>Broiler Amarillo</v>
      </c>
      <c r="F86">
        <v>17</v>
      </c>
      <c r="G86">
        <v>0</v>
      </c>
      <c r="H86" t="str">
        <v>Abierto</v>
      </c>
      <c r="I86">
        <v>0.68400000000000005</v>
      </c>
      <c r="J86">
        <v>0.68400000000000005</v>
      </c>
      <c r="K86">
        <v>0.68400000000000005</v>
      </c>
      <c r="L86">
        <v>16100</v>
      </c>
      <c r="M86">
        <v>0</v>
      </c>
      <c r="N86">
        <v>208</v>
      </c>
      <c r="O86">
        <v>6</v>
      </c>
      <c r="P86">
        <v>31560</v>
      </c>
      <c r="Q86">
        <v>22212.04</v>
      </c>
      <c r="R86">
        <v>0.90171428571428569</v>
      </c>
      <c r="S86">
        <v>12.340022222222222</v>
      </c>
      <c r="T86">
        <v>12.340022222222222</v>
      </c>
      <c r="U86">
        <v>0.89825999999999995</v>
      </c>
      <c r="V86">
        <v>1800</v>
      </c>
      <c r="W86" t="str">
        <v>20228T-DE FEBRER ROSAS JOSEP M.</v>
      </c>
    </row>
    <row r="87" spans="1:23" x14ac:dyDescent="0.25">
      <c r="A87" t="str">
        <v>2025-11-17</v>
      </c>
      <c r="B87" t="str">
        <v>20388T-GRANJA CAMAR-L:39-N:2-A:3003-POLLO AMARILLO MIXTO</v>
      </c>
      <c r="C87" t="str">
        <v>POLLO AMARILLO MIXTO</v>
      </c>
      <c r="D87">
        <v>33566</v>
      </c>
      <c r="E87" t="str">
        <v>Broiler Amarillo</v>
      </c>
      <c r="F87">
        <v>18</v>
      </c>
      <c r="G87">
        <v>0</v>
      </c>
      <c r="H87" t="str">
        <v>Abierto</v>
      </c>
      <c r="I87">
        <v>0.67800000000000005</v>
      </c>
      <c r="J87">
        <v>0.63870000000000005</v>
      </c>
      <c r="K87">
        <v>0.76500000000000001</v>
      </c>
      <c r="L87">
        <v>34200</v>
      </c>
      <c r="M87">
        <v>0</v>
      </c>
      <c r="N87">
        <v>643</v>
      </c>
      <c r="O87">
        <v>665</v>
      </c>
      <c r="P87">
        <v>33566</v>
      </c>
      <c r="Q87">
        <v>22757.748</v>
      </c>
      <c r="R87">
        <v>1.0171515151515151</v>
      </c>
      <c r="S87">
        <v>11.76111007751938</v>
      </c>
      <c r="T87">
        <v>11.76111007751938</v>
      </c>
      <c r="U87">
        <v>1.01688</v>
      </c>
      <c r="V87">
        <v>1935</v>
      </c>
      <c r="W87" t="str">
        <v>20388T-GRANJA CAMAR</v>
      </c>
    </row>
    <row r="88" spans="1:23" x14ac:dyDescent="0.25">
      <c r="A88" t="str">
        <v>2025-11-17</v>
      </c>
      <c r="B88" t="str">
        <v>20396T-CAL FITÓ-L:41-N:2-A:3001-POLLO AMARILLO MACHO</v>
      </c>
      <c r="C88" t="str">
        <v>POLLO AMARILLO MACHO</v>
      </c>
      <c r="D88">
        <v>16523</v>
      </c>
      <c r="E88" t="str">
        <v>Broiler Amarillo</v>
      </c>
      <c r="F88">
        <v>17</v>
      </c>
      <c r="G88">
        <v>0</v>
      </c>
      <c r="H88" t="str">
        <v>Abierto</v>
      </c>
      <c r="I88">
        <v>0.66</v>
      </c>
      <c r="J88">
        <v>0.61955000000000005</v>
      </c>
      <c r="K88">
        <v>0.72</v>
      </c>
      <c r="L88">
        <v>16800</v>
      </c>
      <c r="M88">
        <v>0</v>
      </c>
      <c r="N88">
        <v>283</v>
      </c>
      <c r="O88">
        <v>420</v>
      </c>
      <c r="P88">
        <v>33434</v>
      </c>
      <c r="Q88">
        <v>21305.445</v>
      </c>
      <c r="R88">
        <v>1.0040240240240241</v>
      </c>
      <c r="S88">
        <v>12.569584070796461</v>
      </c>
      <c r="T88">
        <v>12.569584070796461</v>
      </c>
      <c r="U88">
        <v>1.00366</v>
      </c>
      <c r="V88">
        <v>1695</v>
      </c>
      <c r="W88" t="str">
        <v>20396T-CAL FITÓ</v>
      </c>
    </row>
    <row r="89" spans="1:23" x14ac:dyDescent="0.25">
      <c r="A89" t="str">
        <v>2025-11-17</v>
      </c>
      <c r="B89" t="str">
        <v>20396T-CAL FITÓ-L:41-N:2-A:3002-POLLO AMARILLO HEMBRAS</v>
      </c>
      <c r="C89" t="str">
        <v>POLLO AMARILLO HEMBRAS</v>
      </c>
      <c r="D89">
        <v>16911</v>
      </c>
      <c r="E89" t="str">
        <v>Broiler Amarillo</v>
      </c>
      <c r="F89">
        <v>17</v>
      </c>
      <c r="G89">
        <v>0</v>
      </c>
      <c r="H89" t="str">
        <v>Abierto</v>
      </c>
      <c r="I89">
        <v>0.61499999999999999</v>
      </c>
      <c r="J89">
        <v>0.57135999999999998</v>
      </c>
      <c r="K89">
        <v>0.68400000000000005</v>
      </c>
      <c r="L89">
        <v>17100</v>
      </c>
      <c r="M89">
        <v>0</v>
      </c>
      <c r="N89">
        <v>195</v>
      </c>
      <c r="O89">
        <v>420</v>
      </c>
      <c r="P89">
        <v>33434</v>
      </c>
      <c r="Q89">
        <v>21305.445</v>
      </c>
      <c r="R89">
        <v>1.0040240240240241</v>
      </c>
      <c r="S89">
        <v>12.569584070796461</v>
      </c>
      <c r="T89">
        <v>12.569584070796461</v>
      </c>
      <c r="U89">
        <v>1.00366</v>
      </c>
      <c r="V89">
        <v>1695</v>
      </c>
      <c r="W89" t="str">
        <v>20396T-CAL FITÓ</v>
      </c>
    </row>
    <row r="90" spans="1:23" x14ac:dyDescent="0.25">
      <c r="A90" t="str">
        <v>2025-11-17</v>
      </c>
      <c r="B90" t="str">
        <v>20268T-CIRERA-L:38-N:2-A:3001-POLLO AMARILLO MACHO</v>
      </c>
      <c r="C90" t="str">
        <v>POLLO AMARILLO MACHO</v>
      </c>
      <c r="D90">
        <v>37632</v>
      </c>
      <c r="E90" t="str">
        <v>Broiler Amarillo</v>
      </c>
      <c r="F90">
        <v>14</v>
      </c>
      <c r="G90">
        <v>0</v>
      </c>
      <c r="H90" t="str">
        <v>Abierto</v>
      </c>
      <c r="I90">
        <v>0.53</v>
      </c>
      <c r="J90">
        <v>0.51720999999999995</v>
      </c>
      <c r="K90">
        <v>0.53700000000000003</v>
      </c>
      <c r="L90">
        <v>38000</v>
      </c>
      <c r="M90">
        <v>0</v>
      </c>
      <c r="N90">
        <v>375</v>
      </c>
      <c r="O90">
        <v>454</v>
      </c>
      <c r="P90">
        <v>57470</v>
      </c>
      <c r="Q90">
        <v>29943.312000000002</v>
      </c>
      <c r="R90">
        <v>1.9817241379310344</v>
      </c>
      <c r="S90">
        <v>18.213693430656935</v>
      </c>
      <c r="T90">
        <v>18.213693430656935</v>
      </c>
      <c r="U90">
        <v>1.9813400000000001</v>
      </c>
      <c r="V90">
        <v>1644</v>
      </c>
      <c r="W90" t="str">
        <v>20268T-CIRERA</v>
      </c>
    </row>
    <row r="91" spans="1:23" x14ac:dyDescent="0.25">
      <c r="A91" t="str">
        <v>2025-11-17</v>
      </c>
      <c r="B91" t="str">
        <v>20268T-CIRERA-L:38-N:3-A:3001-POLLO AMARILLO MACHO</v>
      </c>
      <c r="C91" t="str">
        <v>POLLO AMARILLO MACHO</v>
      </c>
      <c r="D91">
        <v>28110</v>
      </c>
      <c r="E91" t="str">
        <v>Broiler Amarillo</v>
      </c>
      <c r="F91">
        <v>14</v>
      </c>
      <c r="G91">
        <v>0</v>
      </c>
      <c r="H91" t="str">
        <v>Abierto</v>
      </c>
      <c r="I91">
        <v>0.52500000000000002</v>
      </c>
      <c r="J91">
        <v>0.50309000000000004</v>
      </c>
      <c r="K91">
        <v>0.53700000000000003</v>
      </c>
      <c r="L91">
        <v>29000</v>
      </c>
      <c r="M91">
        <v>0</v>
      </c>
      <c r="N91">
        <v>895</v>
      </c>
      <c r="O91">
        <v>343</v>
      </c>
      <c r="P91">
        <v>56394</v>
      </c>
      <c r="Q91">
        <v>28758.33</v>
      </c>
      <c r="R91">
        <v>1.9446206896551723</v>
      </c>
      <c r="S91">
        <v>17.621525735294117</v>
      </c>
      <c r="T91">
        <v>17.621525735294117</v>
      </c>
      <c r="U91">
        <v>1.94428</v>
      </c>
      <c r="V91">
        <v>1632</v>
      </c>
      <c r="W91" t="str">
        <v>20268T-CIRERA</v>
      </c>
    </row>
    <row r="92" spans="1:23" x14ac:dyDescent="0.25">
      <c r="A92" t="str">
        <v>2025-11-17</v>
      </c>
      <c r="B92" t="str">
        <v>20268T-CIRERA-L:38-N:1-A:3003-POLLO AMARILLO MIXTO</v>
      </c>
      <c r="C92" t="str">
        <v>POLLO AMARILLO MIXTO</v>
      </c>
      <c r="D92">
        <v>55458</v>
      </c>
      <c r="E92" t="str">
        <v>Broiler Amarillo</v>
      </c>
      <c r="F92">
        <v>14</v>
      </c>
      <c r="G92">
        <v>0</v>
      </c>
      <c r="H92" t="str">
        <v>Abierto</v>
      </c>
      <c r="I92">
        <v>0.50700000000000001</v>
      </c>
      <c r="J92">
        <v>0.47150999999999998</v>
      </c>
      <c r="K92">
        <v>0.52700000000000002</v>
      </c>
      <c r="L92">
        <v>56000</v>
      </c>
      <c r="M92">
        <v>0</v>
      </c>
      <c r="N92">
        <v>552</v>
      </c>
      <c r="O92">
        <v>664</v>
      </c>
      <c r="P92">
        <v>55458</v>
      </c>
      <c r="Q92">
        <v>28117.205999999998</v>
      </c>
      <c r="R92">
        <v>1.9123448275862069</v>
      </c>
      <c r="S92">
        <v>17.228680147058824</v>
      </c>
      <c r="T92">
        <v>17.228680147058824</v>
      </c>
      <c r="U92">
        <v>1.9119999999999999</v>
      </c>
      <c r="V92">
        <v>1632</v>
      </c>
      <c r="W92" t="str">
        <v>20268T-CIRERA</v>
      </c>
    </row>
    <row r="93" spans="1:23" x14ac:dyDescent="0.25">
      <c r="A93" t="str">
        <v>2025-11-17</v>
      </c>
      <c r="B93" t="str">
        <v>20268T-CIRERA-L:38-N:2-A:3002-POLLO AMARILLO HEMBRAS</v>
      </c>
      <c r="C93" t="str">
        <v>POLLO AMARILLO HEMBRAS</v>
      </c>
      <c r="D93">
        <v>19838</v>
      </c>
      <c r="E93" t="str">
        <v>Broiler Amarillo</v>
      </c>
      <c r="F93">
        <v>14</v>
      </c>
      <c r="G93">
        <v>0</v>
      </c>
      <c r="H93" t="str">
        <v>Abierto</v>
      </c>
      <c r="I93">
        <v>0.504</v>
      </c>
      <c r="J93">
        <v>0.48163</v>
      </c>
      <c r="K93">
        <v>0.51700000000000002</v>
      </c>
      <c r="L93">
        <v>20000</v>
      </c>
      <c r="M93">
        <v>0</v>
      </c>
      <c r="N93">
        <v>166</v>
      </c>
      <c r="O93">
        <v>242</v>
      </c>
      <c r="P93">
        <v>57470</v>
      </c>
      <c r="Q93">
        <v>29943.312000000002</v>
      </c>
      <c r="R93">
        <v>1.9817241379310344</v>
      </c>
      <c r="S93">
        <v>18.213693430656935</v>
      </c>
      <c r="T93">
        <v>18.213693430656935</v>
      </c>
      <c r="U93">
        <v>1.9813400000000001</v>
      </c>
      <c r="V93">
        <v>1644</v>
      </c>
      <c r="W93" t="str">
        <v>20268T-CIRERA</v>
      </c>
    </row>
    <row r="94" spans="1:23" x14ac:dyDescent="0.25">
      <c r="A94" t="str">
        <v>2025-11-17</v>
      </c>
      <c r="B94" t="str">
        <v>20268T-CIRERA-L:38-N:3-A:3002-POLLO AMARILLO HEMBRAS</v>
      </c>
      <c r="C94" t="str">
        <v>POLLO AMARILLO HEMBRAS</v>
      </c>
      <c r="D94">
        <v>28284</v>
      </c>
      <c r="E94" t="str">
        <v>Broiler Amarillo</v>
      </c>
      <c r="F94">
        <v>14</v>
      </c>
      <c r="G94">
        <v>0</v>
      </c>
      <c r="H94" t="str">
        <v>Abierto</v>
      </c>
      <c r="I94">
        <v>0.495</v>
      </c>
      <c r="J94">
        <v>0.45712999999999998</v>
      </c>
      <c r="K94">
        <v>0.51700000000000002</v>
      </c>
      <c r="L94">
        <v>29000</v>
      </c>
      <c r="M94">
        <v>0</v>
      </c>
      <c r="N94">
        <v>721</v>
      </c>
      <c r="O94">
        <v>343</v>
      </c>
      <c r="P94">
        <v>56394</v>
      </c>
      <c r="Q94">
        <v>28758.33</v>
      </c>
      <c r="R94">
        <v>1.9446206896551723</v>
      </c>
      <c r="S94">
        <v>17.621525735294117</v>
      </c>
      <c r="T94">
        <v>17.621525735294117</v>
      </c>
      <c r="U94">
        <v>1.94428</v>
      </c>
      <c r="V94">
        <v>1632</v>
      </c>
      <c r="W94" t="str">
        <v>20268T-CIRERA</v>
      </c>
    </row>
    <row r="95" spans="1:23" x14ac:dyDescent="0.25">
      <c r="A95" t="str">
        <v>2025-11-17</v>
      </c>
      <c r="B95" t="str">
        <v>20443T-GRANJA POSTILS-L:15-N:1-A:3001-POLLO AMARILLO MACHO</v>
      </c>
      <c r="C95" t="str">
        <v>POLLO AMARILLO MACHO</v>
      </c>
      <c r="D95">
        <v>34497</v>
      </c>
      <c r="E95" t="str">
        <v>Broiler Amarillo</v>
      </c>
      <c r="F95">
        <v>13</v>
      </c>
      <c r="G95">
        <v>0</v>
      </c>
      <c r="H95" t="str">
        <v>Abierto</v>
      </c>
      <c r="I95">
        <v>0.48</v>
      </c>
      <c r="J95">
        <v>0.47432000000000002</v>
      </c>
      <c r="K95">
        <v>0.48099999999999998</v>
      </c>
      <c r="L95">
        <v>34800</v>
      </c>
      <c r="M95">
        <v>0</v>
      </c>
      <c r="N95">
        <v>321</v>
      </c>
      <c r="O95">
        <v>413</v>
      </c>
      <c r="P95">
        <v>69204</v>
      </c>
      <c r="Q95">
        <v>32662.608</v>
      </c>
      <c r="R95">
        <v>1.9772571428571428</v>
      </c>
      <c r="S95">
        <v>17.011775</v>
      </c>
      <c r="T95">
        <v>17.011775</v>
      </c>
      <c r="U95">
        <v>1.9762299999999999</v>
      </c>
      <c r="V95">
        <v>1920</v>
      </c>
      <c r="W95" t="str">
        <v>20443T-GRANJA POSTILS</v>
      </c>
    </row>
    <row r="96" spans="1:23" x14ac:dyDescent="0.25">
      <c r="A96" t="str">
        <v>2025-11-17</v>
      </c>
      <c r="B96" t="str">
        <v>20432T-CASANOVA DEL PUIG (Cal Tiet)-L:22-N:1-A:3001-POLLO AMARILLO MACHO</v>
      </c>
      <c r="C96" t="str">
        <v>POLLO AMARILLO MACHO</v>
      </c>
      <c r="D96">
        <v>31509</v>
      </c>
      <c r="E96" t="str">
        <v>Broiler Amarillo</v>
      </c>
      <c r="F96">
        <v>13</v>
      </c>
      <c r="G96">
        <v>0</v>
      </c>
      <c r="H96" t="str">
        <v>Abierto</v>
      </c>
      <c r="I96">
        <v>0.46899999999999997</v>
      </c>
      <c r="J96">
        <v>0.45062999999999998</v>
      </c>
      <c r="K96">
        <v>0.48099999999999998</v>
      </c>
      <c r="L96">
        <v>31800</v>
      </c>
      <c r="M96">
        <v>0</v>
      </c>
      <c r="N96">
        <v>259</v>
      </c>
      <c r="O96">
        <v>374</v>
      </c>
      <c r="P96">
        <v>63280</v>
      </c>
      <c r="Q96">
        <v>29106.441999999999</v>
      </c>
      <c r="R96">
        <v>1.9962145110410094</v>
      </c>
      <c r="S96">
        <v>16.537751136363635</v>
      </c>
      <c r="T96">
        <v>16.537751136363635</v>
      </c>
      <c r="U96">
        <v>1.9984500000000001</v>
      </c>
      <c r="V96">
        <v>1760</v>
      </c>
      <c r="W96" t="str">
        <v>20432T-CASANOVA DEL PUIG (Cal Tiet)</v>
      </c>
    </row>
    <row r="97" spans="1:23" x14ac:dyDescent="0.25">
      <c r="A97" t="str">
        <v>2025-11-17</v>
      </c>
      <c r="B97" t="str">
        <v>20443T-GRANJA POSTILS-L:15-N:1-A:3002-POLLO AMARILLO HEMBRAS</v>
      </c>
      <c r="C97" t="str">
        <v>POLLO AMARILLO HEMBRAS</v>
      </c>
      <c r="D97">
        <v>34707</v>
      </c>
      <c r="E97" t="str">
        <v>Broiler Amarillo</v>
      </c>
      <c r="F97">
        <v>13</v>
      </c>
      <c r="G97">
        <v>0</v>
      </c>
      <c r="H97" t="str">
        <v>Abierto</v>
      </c>
      <c r="I97">
        <v>0.46400000000000002</v>
      </c>
      <c r="J97">
        <v>0.44753999999999999</v>
      </c>
      <c r="K97">
        <v>0.46700000000000003</v>
      </c>
      <c r="L97">
        <v>35000</v>
      </c>
      <c r="M97">
        <v>0</v>
      </c>
      <c r="N97">
        <v>311</v>
      </c>
      <c r="O97">
        <v>413</v>
      </c>
      <c r="P97">
        <v>69204</v>
      </c>
      <c r="Q97">
        <v>32662.608</v>
      </c>
      <c r="R97">
        <v>1.9772571428571428</v>
      </c>
      <c r="S97">
        <v>17.011775</v>
      </c>
      <c r="T97">
        <v>17.011775</v>
      </c>
      <c r="U97">
        <v>1.9762299999999999</v>
      </c>
      <c r="V97">
        <v>1920</v>
      </c>
      <c r="W97" t="str">
        <v>20443T-GRANJA POSTILS</v>
      </c>
    </row>
    <row r="98" spans="1:23" x14ac:dyDescent="0.25">
      <c r="A98" t="str">
        <v>2025-11-17</v>
      </c>
      <c r="B98" t="str">
        <v>20432T-CASANOVA DEL PUIG (Cal Tiet)-L:22-N:1-A:3002-POLLO AMARILLO HEMBRAS</v>
      </c>
      <c r="C98" t="str">
        <v>POLLO AMARILLO HEMBRAS</v>
      </c>
      <c r="D98">
        <v>31771</v>
      </c>
      <c r="E98" t="str">
        <v>Broiler Amarillo</v>
      </c>
      <c r="F98">
        <v>13</v>
      </c>
      <c r="G98">
        <v>0</v>
      </c>
      <c r="H98" t="str">
        <v>Abierto</v>
      </c>
      <c r="I98">
        <v>0.45100000000000001</v>
      </c>
      <c r="J98">
        <v>0.42768</v>
      </c>
      <c r="K98">
        <v>0.46700000000000003</v>
      </c>
      <c r="L98">
        <v>32000</v>
      </c>
      <c r="M98">
        <v>0</v>
      </c>
      <c r="N98">
        <v>190</v>
      </c>
      <c r="O98">
        <v>374</v>
      </c>
      <c r="P98">
        <v>63280</v>
      </c>
      <c r="Q98">
        <v>29106.441999999999</v>
      </c>
      <c r="R98">
        <v>1.9962145110410094</v>
      </c>
      <c r="S98">
        <v>16.537751136363635</v>
      </c>
      <c r="T98">
        <v>16.537751136363635</v>
      </c>
      <c r="U98">
        <v>1.9984500000000001</v>
      </c>
      <c r="V98">
        <v>1760</v>
      </c>
      <c r="W98" t="str">
        <v>20432T-CASANOVA DEL PUIG (Cal Tiet)</v>
      </c>
    </row>
    <row r="99" spans="1:23" x14ac:dyDescent="0.25">
      <c r="A99" t="str">
        <v>2025-11-17</v>
      </c>
      <c r="B99" t="str">
        <v>20263T-GIRBAU CAMP YASMINA-L:39-N:1-A:3001-POLLO AMARILLO MACHO</v>
      </c>
      <c r="C99" t="str">
        <v>POLLO AMARILLO MACHO</v>
      </c>
      <c r="D99">
        <v>20756</v>
      </c>
      <c r="E99" t="str">
        <v>Broiler Amarillo</v>
      </c>
      <c r="F99">
        <v>11</v>
      </c>
      <c r="G99">
        <v>0</v>
      </c>
      <c r="H99" t="str">
        <v>Abierto</v>
      </c>
      <c r="I99">
        <v>0.38200000000000001</v>
      </c>
      <c r="J99">
        <v>0.38200000000000001</v>
      </c>
      <c r="K99">
        <v>0.38200000000000001</v>
      </c>
      <c r="L99">
        <v>21000</v>
      </c>
      <c r="M99">
        <v>0</v>
      </c>
      <c r="N99">
        <v>255</v>
      </c>
      <c r="O99">
        <v>224</v>
      </c>
      <c r="P99">
        <v>41595</v>
      </c>
      <c r="Q99">
        <v>15743.416999999999</v>
      </c>
      <c r="R99">
        <v>1.9807142857142856</v>
      </c>
      <c r="S99">
        <v>12.758036466774717</v>
      </c>
      <c r="T99">
        <v>12.758036466774717</v>
      </c>
      <c r="U99">
        <v>1.97967</v>
      </c>
      <c r="V99">
        <v>1234</v>
      </c>
      <c r="W99" t="str">
        <v>20263T-GIRBAU CAMP YASMINA</v>
      </c>
    </row>
    <row r="100" spans="1:23" x14ac:dyDescent="0.25">
      <c r="A100" t="str">
        <v>2025-11-17</v>
      </c>
      <c r="B100" t="str">
        <v>20416T-PUJANTELL-AVICOLA-L:32-N:1-A:3001-POLLO AMARILLO MACHO</v>
      </c>
      <c r="C100" t="str">
        <v>POLLO AMARILLO MACHO</v>
      </c>
      <c r="D100">
        <v>42568</v>
      </c>
      <c r="E100" t="str">
        <v>Broiler Amarillo</v>
      </c>
      <c r="F100">
        <v>11</v>
      </c>
      <c r="G100">
        <v>0</v>
      </c>
      <c r="H100" t="str">
        <v>Abierto</v>
      </c>
      <c r="I100">
        <v>0.38200000000000001</v>
      </c>
      <c r="J100">
        <v>0.38200000000000001</v>
      </c>
      <c r="K100">
        <v>0.38200000000000001</v>
      </c>
      <c r="L100">
        <v>43000</v>
      </c>
      <c r="M100">
        <v>0</v>
      </c>
      <c r="N100">
        <v>455</v>
      </c>
      <c r="O100">
        <v>460</v>
      </c>
      <c r="P100">
        <v>85162</v>
      </c>
      <c r="Q100">
        <v>32233.725999999999</v>
      </c>
      <c r="R100">
        <v>1.9805116279069768</v>
      </c>
      <c r="S100">
        <v>13.600728270042195</v>
      </c>
      <c r="T100">
        <v>13.600728270042195</v>
      </c>
      <c r="U100">
        <v>1.9794400000000001</v>
      </c>
      <c r="V100">
        <v>2370</v>
      </c>
      <c r="W100" t="str">
        <v>20416T-PUJANTELL-AVICOLA</v>
      </c>
    </row>
    <row r="101" spans="1:23" x14ac:dyDescent="0.25">
      <c r="A101" t="str">
        <v>2025-11-17</v>
      </c>
      <c r="B101" t="str">
        <v>20263T-GIRBAU CAMP YASMINA-L:39-N:2-A:3003-POLLO AMARILLO MIXTO</v>
      </c>
      <c r="C101" t="str">
        <v>POLLO AMARILLO MIXTO</v>
      </c>
      <c r="D101">
        <v>19536</v>
      </c>
      <c r="E101" t="str">
        <v>Broiler Amarillo</v>
      </c>
      <c r="F101">
        <v>11</v>
      </c>
      <c r="G101">
        <v>0</v>
      </c>
      <c r="H101" t="str">
        <v>Abierto</v>
      </c>
      <c r="I101">
        <v>0.378</v>
      </c>
      <c r="J101">
        <v>0.378</v>
      </c>
      <c r="K101">
        <v>0.378</v>
      </c>
      <c r="L101">
        <v>20000</v>
      </c>
      <c r="M101">
        <v>0</v>
      </c>
      <c r="N101">
        <v>485</v>
      </c>
      <c r="O101">
        <v>427</v>
      </c>
      <c r="P101">
        <v>19536</v>
      </c>
      <c r="Q101">
        <v>7384.6080000000002</v>
      </c>
      <c r="R101">
        <v>0.9768</v>
      </c>
      <c r="S101">
        <v>6.2370000000000001</v>
      </c>
      <c r="T101">
        <v>6.2370000000000001</v>
      </c>
      <c r="U101">
        <v>0.97575000000000001</v>
      </c>
      <c r="V101">
        <v>1184</v>
      </c>
      <c r="W101" t="str">
        <v>20263T-GIRBAU CAMP YASMINA</v>
      </c>
    </row>
    <row r="102" spans="1:23" x14ac:dyDescent="0.25">
      <c r="A102" t="str">
        <v>2025-11-17</v>
      </c>
      <c r="B102" t="str">
        <v>20263T-GIRBAU CAMP YASMINA-L:39-N:1-A:3002-POLLO AMARILLO HEMBRAS</v>
      </c>
      <c r="C102" t="str">
        <v>POLLO AMARILLO HEMBRAS</v>
      </c>
      <c r="D102">
        <v>20839</v>
      </c>
      <c r="E102" t="str">
        <v>Broiler Amarillo</v>
      </c>
      <c r="F102">
        <v>11</v>
      </c>
      <c r="G102">
        <v>0</v>
      </c>
      <c r="H102" t="str">
        <v>Abierto</v>
      </c>
      <c r="I102">
        <v>0.375</v>
      </c>
      <c r="J102">
        <v>0.375</v>
      </c>
      <c r="K102">
        <v>0.375</v>
      </c>
      <c r="L102">
        <v>21000</v>
      </c>
      <c r="M102">
        <v>0</v>
      </c>
      <c r="N102">
        <v>172</v>
      </c>
      <c r="O102">
        <v>224</v>
      </c>
      <c r="P102">
        <v>41595</v>
      </c>
      <c r="Q102">
        <v>15743.416999999999</v>
      </c>
      <c r="R102">
        <v>1.9807142857142856</v>
      </c>
      <c r="S102">
        <v>12.758036466774717</v>
      </c>
      <c r="T102">
        <v>12.758036466774717</v>
      </c>
      <c r="U102">
        <v>1.97967</v>
      </c>
      <c r="V102">
        <v>1234</v>
      </c>
      <c r="W102" t="str">
        <v>20263T-GIRBAU CAMP YASMINA</v>
      </c>
    </row>
    <row r="103" spans="1:23" x14ac:dyDescent="0.25">
      <c r="A103" t="str">
        <v>2025-11-17</v>
      </c>
      <c r="B103" t="str">
        <v>20416T-PUJANTELL-AVICOLA-L:32-N:1-A:3002-POLLO AMARILLO HEMBRAS</v>
      </c>
      <c r="C103" t="str">
        <v>POLLO AMARILLO HEMBRAS</v>
      </c>
      <c r="D103">
        <v>42594</v>
      </c>
      <c r="E103" t="str">
        <v>Broiler Amarillo</v>
      </c>
      <c r="F103">
        <v>11</v>
      </c>
      <c r="G103">
        <v>0</v>
      </c>
      <c r="H103" t="str">
        <v>Abierto</v>
      </c>
      <c r="I103">
        <v>0.375</v>
      </c>
      <c r="J103">
        <v>0.375</v>
      </c>
      <c r="K103">
        <v>0.375</v>
      </c>
      <c r="L103">
        <v>43000</v>
      </c>
      <c r="M103">
        <v>0</v>
      </c>
      <c r="N103">
        <v>429</v>
      </c>
      <c r="O103">
        <v>460</v>
      </c>
      <c r="P103">
        <v>85162</v>
      </c>
      <c r="Q103">
        <v>32233.725999999999</v>
      </c>
      <c r="R103">
        <v>1.9805116279069768</v>
      </c>
      <c r="S103">
        <v>13.600728270042195</v>
      </c>
      <c r="T103">
        <v>13.600728270042195</v>
      </c>
      <c r="U103">
        <v>1.9794400000000001</v>
      </c>
      <c r="V103">
        <v>2370</v>
      </c>
      <c r="W103" t="str">
        <v>20416T-PUJANTELL-AVICOLA</v>
      </c>
    </row>
    <row r="104" spans="1:23" x14ac:dyDescent="0.25">
      <c r="A104" t="str">
        <v>2025-11-17</v>
      </c>
      <c r="B104" t="str">
        <v>20308T-QUELET S.C.P-L:41-N:1-A:3001-POLLO AMARILLO MACHO</v>
      </c>
      <c r="C104" t="str">
        <v>POLLO AMARILLO MACHO</v>
      </c>
      <c r="D104">
        <v>31576</v>
      </c>
      <c r="E104" t="str">
        <v>Broiler Amarillo</v>
      </c>
      <c r="F104">
        <v>10</v>
      </c>
      <c r="G104">
        <v>0</v>
      </c>
      <c r="H104" t="str">
        <v>Abierto</v>
      </c>
      <c r="I104">
        <v>0.33700000000000002</v>
      </c>
      <c r="J104">
        <v>0.33700000000000002</v>
      </c>
      <c r="K104">
        <v>0.33700000000000002</v>
      </c>
      <c r="L104">
        <v>31850</v>
      </c>
      <c r="M104">
        <v>0</v>
      </c>
      <c r="N104">
        <v>296</v>
      </c>
      <c r="O104">
        <v>321</v>
      </c>
      <c r="P104">
        <v>63072</v>
      </c>
      <c r="Q104">
        <v>21097.784</v>
      </c>
      <c r="R104">
        <v>1.9710000000000001</v>
      </c>
      <c r="S104">
        <v>12.558204761904761</v>
      </c>
      <c r="T104">
        <v>12.558204761904761</v>
      </c>
      <c r="U104">
        <v>1.96963</v>
      </c>
      <c r="V104">
        <v>1680</v>
      </c>
      <c r="W104" t="str">
        <v>20308T-QUELET S.C.P</v>
      </c>
    </row>
    <row r="105" spans="1:23" x14ac:dyDescent="0.25">
      <c r="A105" t="str">
        <v>2025-11-17</v>
      </c>
      <c r="B105" t="str">
        <v>20438T-GRANJA LA BORDELLA-L:17-N:1-A:3001-POLLO AMARILLO MACHO</v>
      </c>
      <c r="C105" t="str">
        <v>POLLO AMARILLO MACHO</v>
      </c>
      <c r="D105">
        <v>34875</v>
      </c>
      <c r="E105" t="str">
        <v>Broiler Amarillo</v>
      </c>
      <c r="F105">
        <v>10</v>
      </c>
      <c r="G105">
        <v>0</v>
      </c>
      <c r="H105" t="str">
        <v>Abierto</v>
      </c>
      <c r="I105">
        <v>0.33700000000000002</v>
      </c>
      <c r="J105">
        <v>0.33700000000000002</v>
      </c>
      <c r="K105">
        <v>0.33700000000000002</v>
      </c>
      <c r="L105">
        <v>35300</v>
      </c>
      <c r="M105">
        <v>0</v>
      </c>
      <c r="N105">
        <v>450</v>
      </c>
      <c r="O105">
        <v>359</v>
      </c>
      <c r="P105">
        <v>69927</v>
      </c>
      <c r="Q105">
        <v>23390.138999999999</v>
      </c>
      <c r="R105">
        <v>1.9979142857142858</v>
      </c>
      <c r="S105">
        <v>12.415148089171975</v>
      </c>
      <c r="T105">
        <v>12.415148089171975</v>
      </c>
      <c r="U105">
        <v>1.9964900000000001</v>
      </c>
      <c r="V105">
        <v>1884</v>
      </c>
      <c r="W105" t="str">
        <v>20438T-GRANJA LA BORDELLA</v>
      </c>
    </row>
    <row r="106" spans="1:23" x14ac:dyDescent="0.25">
      <c r="A106" t="str">
        <v>2025-11-17</v>
      </c>
      <c r="B106" t="str">
        <v>20281T-EL PLA DE LES ALZINES naus 1,2 i 3-L:39-N:1-A:3001-POLLO AMARILLO MACHO</v>
      </c>
      <c r="C106" t="str">
        <v>POLLO AMARILLO MACHO</v>
      </c>
      <c r="D106">
        <v>21008</v>
      </c>
      <c r="E106" t="str">
        <v>Broiler Amarillo</v>
      </c>
      <c r="F106">
        <v>10</v>
      </c>
      <c r="G106">
        <v>0</v>
      </c>
      <c r="H106" t="str">
        <v>Abierto</v>
      </c>
      <c r="I106">
        <v>0.33700000000000002</v>
      </c>
      <c r="J106">
        <v>0.33700000000000002</v>
      </c>
      <c r="K106">
        <v>0.33700000000000002</v>
      </c>
      <c r="L106">
        <v>21200</v>
      </c>
      <c r="M106">
        <v>0</v>
      </c>
      <c r="N106">
        <v>207</v>
      </c>
      <c r="O106">
        <v>213</v>
      </c>
      <c r="P106">
        <v>42039</v>
      </c>
      <c r="Q106">
        <v>14061.987999999999</v>
      </c>
      <c r="R106">
        <v>2.0018571428571428</v>
      </c>
      <c r="S106">
        <v>11.866656540084389</v>
      </c>
      <c r="T106">
        <v>11.866656540084389</v>
      </c>
      <c r="U106">
        <v>2.0004300000000002</v>
      </c>
      <c r="V106">
        <v>1185</v>
      </c>
      <c r="W106" t="str">
        <v>20281T-EL PLA DE LES ALZINES naus 1,2 i 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22EDF-921C-468E-ADC5-27B22B2D5F29}">
  <sheetPr codeName="Hoja5"/>
  <dimension ref="A1:W106"/>
  <sheetViews>
    <sheetView workbookViewId="0">
      <selection activeCell="A6" sqref="A6"/>
    </sheetView>
  </sheetViews>
  <sheetFormatPr baseColWidth="10" defaultRowHeight="15" x14ac:dyDescent="0.25"/>
  <cols>
    <col min="2" max="2" width="14.7109375" customWidth="1"/>
    <col min="4" max="4" width="10.42578125" bestFit="1" customWidth="1"/>
    <col min="9" max="9" width="11.7109375" bestFit="1" customWidth="1"/>
    <col min="12" max="12" width="15.42578125" customWidth="1"/>
    <col min="13" max="13" width="18.85546875" bestFit="1" customWidth="1"/>
  </cols>
  <sheetData>
    <row r="1" spans="1:23" ht="30.75" thickBot="1" x14ac:dyDescent="0.3">
      <c r="A1" s="10"/>
      <c r="B1" s="11" t="s">
        <v>55</v>
      </c>
      <c r="C1" s="11" t="s">
        <v>56</v>
      </c>
      <c r="D1" s="11" t="s">
        <v>57</v>
      </c>
      <c r="E1" s="11" t="s">
        <v>58</v>
      </c>
      <c r="F1" s="11" t="s">
        <v>59</v>
      </c>
      <c r="G1" s="11" t="s">
        <v>60</v>
      </c>
      <c r="H1" s="11" t="s">
        <v>61</v>
      </c>
      <c r="I1" s="11" t="s">
        <v>62</v>
      </c>
      <c r="J1" s="11" t="s">
        <v>63</v>
      </c>
      <c r="K1" s="11" t="s">
        <v>53</v>
      </c>
      <c r="L1" s="11" t="s">
        <v>5</v>
      </c>
    </row>
    <row r="2" spans="1:23" ht="15.75" thickTop="1" x14ac:dyDescent="0.25">
      <c r="A2" s="12" t="s">
        <v>0</v>
      </c>
      <c r="B2" s="13" t="s">
        <v>65</v>
      </c>
      <c r="C2" s="13" t="s">
        <v>1</v>
      </c>
      <c r="D2" s="14"/>
      <c r="E2" s="14">
        <v>45931</v>
      </c>
      <c r="F2" s="14">
        <v>45940</v>
      </c>
      <c r="G2" s="13">
        <v>0</v>
      </c>
      <c r="H2" s="13">
        <v>999</v>
      </c>
      <c r="I2" s="13">
        <v>0</v>
      </c>
      <c r="J2" s="13">
        <v>9.9990000000000006</v>
      </c>
      <c r="K2" s="13"/>
      <c r="L2" s="13" t="s">
        <v>39</v>
      </c>
    </row>
    <row r="5" spans="1:23" x14ac:dyDescent="0.25">
      <c r="A5" t="str" cm="1">
        <f t="array" ref="A5:W106">GetSetSalidasAvi(A2,B2,C2,E2,F2,G2,H2,I2,J2)</f>
        <v>fecha_stock</v>
      </c>
      <c r="B5" t="str">
        <v>granja_lote_nave_art</v>
      </c>
      <c r="C5" t="str">
        <v>articulo</v>
      </c>
      <c r="D5" t="str">
        <v>stock_inicial</v>
      </c>
      <c r="E5" t="str">
        <v>producto_venta</v>
      </c>
      <c r="F5" t="str">
        <v>dias_vida</v>
      </c>
      <c r="G5" t="str">
        <v>cantidad_entrada</v>
      </c>
      <c r="H5" t="str">
        <v>estado</v>
      </c>
      <c r="I5" t="str">
        <v>peso_real</v>
      </c>
      <c r="J5" t="str">
        <v>peso_real_rev</v>
      </c>
      <c r="K5" t="str">
        <v>peso_teorico</v>
      </c>
      <c r="L5" t="str">
        <v>cantidad_entrada</v>
      </c>
      <c r="M5" t="str">
        <v>ventas_acumuladas</v>
      </c>
      <c r="N5" t="str">
        <v>bajas_acumuladas</v>
      </c>
      <c r="O5" t="str">
        <v>bajas_teoricas</v>
      </c>
      <c r="P5" t="str">
        <v>stock_nave</v>
      </c>
      <c r="Q5" t="str">
        <v>kilos_nave</v>
      </c>
      <c r="R5" t="str">
        <v>capacidad_nave</v>
      </c>
      <c r="S5" t="str">
        <v>densidad_nave</v>
      </c>
      <c r="T5" t="str">
        <v>kgm2_nave</v>
      </c>
      <c r="U5" t="str">
        <v>capacidad_nave</v>
      </c>
      <c r="V5" t="str">
        <v>m2_nave</v>
      </c>
      <c r="W5" t="str">
        <v>granja</v>
      </c>
    </row>
    <row r="6" spans="1:23" x14ac:dyDescent="0.25">
      <c r="A6" t="str">
        <v>2025-11-17</v>
      </c>
      <c r="B6" t="str">
        <v>36991-PESSARRODONA AVIRAM SL-L:034-N:3-A:A13-POLLO AMARILLO MACHO</v>
      </c>
      <c r="C6" t="str">
        <v>POLLO AMARILLO MACHO</v>
      </c>
      <c r="D6">
        <v>37720</v>
      </c>
      <c r="E6" t="str">
        <v>Broiler Amarillo</v>
      </c>
      <c r="F6">
        <v>59</v>
      </c>
      <c r="G6">
        <v>0</v>
      </c>
      <c r="H6" t="str">
        <v>Abierto</v>
      </c>
      <c r="I6">
        <v>4.0270000000000001</v>
      </c>
      <c r="J6">
        <v>7.4230499999999999</v>
      </c>
      <c r="K6">
        <v>3.8690000000000002</v>
      </c>
      <c r="L6">
        <v>38000</v>
      </c>
      <c r="M6">
        <v>0</v>
      </c>
      <c r="N6">
        <v>280</v>
      </c>
      <c r="O6">
        <v>425</v>
      </c>
      <c r="P6">
        <v>75440</v>
      </c>
      <c r="Q6">
        <v>278826.23999999999</v>
      </c>
      <c r="R6">
        <v>1.9890318498207129</v>
      </c>
      <c r="S6">
        <v>116.1776</v>
      </c>
      <c r="T6">
        <v>116.1776</v>
      </c>
      <c r="U6">
        <v>1.9890300000000001</v>
      </c>
      <c r="V6">
        <v>2400</v>
      </c>
      <c r="W6" t="str">
        <v>36991-PESSARRODONA AVIRAM SL</v>
      </c>
    </row>
    <row r="7" spans="1:23" x14ac:dyDescent="0.25">
      <c r="A7" t="str">
        <v>2025-11-17</v>
      </c>
      <c r="B7" t="str">
        <v>36527-GEMMARTI-L:050-N:2-A:A15-POLLO AMARILLO MIXTO</v>
      </c>
      <c r="C7" t="str">
        <v>POLLO AMARILLO MIXTO</v>
      </c>
      <c r="D7">
        <v>18349</v>
      </c>
      <c r="E7" t="str">
        <v>Broiler Amarillo</v>
      </c>
      <c r="F7">
        <v>60</v>
      </c>
      <c r="G7">
        <v>0</v>
      </c>
      <c r="H7" t="str">
        <v>Abierto</v>
      </c>
      <c r="I7">
        <v>3.7530000000000001</v>
      </c>
      <c r="J7">
        <v>6.1650900000000002</v>
      </c>
      <c r="K7">
        <v>3.5990000000000002</v>
      </c>
      <c r="L7">
        <v>18540</v>
      </c>
      <c r="M7">
        <v>0</v>
      </c>
      <c r="N7">
        <v>187</v>
      </c>
      <c r="O7">
        <v>319</v>
      </c>
      <c r="P7">
        <v>18349</v>
      </c>
      <c r="Q7">
        <v>68863.797000000006</v>
      </c>
      <c r="R7">
        <v>1.7475238095238095</v>
      </c>
      <c r="S7">
        <v>105.94430307692308</v>
      </c>
      <c r="T7">
        <v>105.94430307692308</v>
      </c>
      <c r="U7">
        <v>1.74752</v>
      </c>
      <c r="V7">
        <v>650</v>
      </c>
      <c r="W7" t="str">
        <v>36527-GEMMARTI</v>
      </c>
    </row>
    <row r="8" spans="1:23" x14ac:dyDescent="0.25">
      <c r="A8" t="str">
        <v>2025-11-17</v>
      </c>
      <c r="B8" t="str">
        <v>36527-GEMMARTI-L:050-N:1-A:A15-POLLO AMARILLO MIXTO</v>
      </c>
      <c r="C8" t="str">
        <v>POLLO AMARILLO MIXTO</v>
      </c>
      <c r="D8">
        <v>18332</v>
      </c>
      <c r="E8" t="str">
        <v>Broiler Amarillo</v>
      </c>
      <c r="F8">
        <v>60</v>
      </c>
      <c r="G8">
        <v>0</v>
      </c>
      <c r="H8" t="str">
        <v>Abierto</v>
      </c>
      <c r="I8">
        <v>3.7530000000000001</v>
      </c>
      <c r="J8">
        <v>6.1650900000000002</v>
      </c>
      <c r="K8">
        <v>3.5990000000000002</v>
      </c>
      <c r="L8">
        <v>18540</v>
      </c>
      <c r="M8">
        <v>0</v>
      </c>
      <c r="N8">
        <v>200</v>
      </c>
      <c r="O8">
        <v>96</v>
      </c>
      <c r="P8">
        <v>18332</v>
      </c>
      <c r="Q8">
        <v>68799.995999999999</v>
      </c>
      <c r="R8">
        <v>1.7459047619047618</v>
      </c>
      <c r="S8">
        <v>105.8461476923077</v>
      </c>
      <c r="T8">
        <v>105.8461476923077</v>
      </c>
      <c r="U8">
        <v>1.7459</v>
      </c>
      <c r="V8">
        <v>650</v>
      </c>
      <c r="W8" t="str">
        <v>36527-GEMMARTI</v>
      </c>
    </row>
    <row r="9" spans="1:23" x14ac:dyDescent="0.25">
      <c r="A9" t="str">
        <v>2025-11-17</v>
      </c>
      <c r="B9" t="str">
        <v>36946-TRIBO MUÑOZ CRISTINA - 2-L:040-N:3-A:A13-POLLO AMARILLO MACHO</v>
      </c>
      <c r="C9" t="str">
        <v>POLLO AMARILLO MACHO</v>
      </c>
      <c r="D9">
        <v>13798</v>
      </c>
      <c r="E9" t="str">
        <v>Broiler Amarillo</v>
      </c>
      <c r="F9">
        <v>56</v>
      </c>
      <c r="G9">
        <v>0</v>
      </c>
      <c r="H9" t="str">
        <v>Abierto</v>
      </c>
      <c r="I9">
        <v>3.722</v>
      </c>
      <c r="J9">
        <v>3.9981599999999999</v>
      </c>
      <c r="K9">
        <v>3.702</v>
      </c>
      <c r="L9">
        <v>14000</v>
      </c>
      <c r="M9">
        <v>0</v>
      </c>
      <c r="N9">
        <v>200</v>
      </c>
      <c r="O9">
        <v>234</v>
      </c>
      <c r="P9">
        <v>27619</v>
      </c>
      <c r="Q9">
        <v>94242.718999999997</v>
      </c>
      <c r="R9">
        <v>2.1245384615384615</v>
      </c>
      <c r="S9">
        <v>104.71413222222222</v>
      </c>
      <c r="T9">
        <v>104.71413222222222</v>
      </c>
      <c r="U9">
        <v>2.1245400000000001</v>
      </c>
      <c r="V9">
        <v>900</v>
      </c>
      <c r="W9" t="str">
        <v>36946-TRIBO MUÑOZ CRISTINA - 2</v>
      </c>
    </row>
    <row r="10" spans="1:23" x14ac:dyDescent="0.25">
      <c r="A10" t="str">
        <v>2025-11-17</v>
      </c>
      <c r="B10" t="str">
        <v>36811-FORCADES PEREZ JOSEP MARIA-L:076-N:5-A:A13-POLLO AMARILLO MACHO</v>
      </c>
      <c r="C10" t="str">
        <v>POLLO AMARILLO MACHO</v>
      </c>
      <c r="D10">
        <v>25317</v>
      </c>
      <c r="E10" t="str">
        <v>Broiler Amarillo</v>
      </c>
      <c r="F10">
        <v>53</v>
      </c>
      <c r="G10">
        <v>0</v>
      </c>
      <c r="H10" t="str">
        <v>Abierto</v>
      </c>
      <c r="I10">
        <v>3.7090000000000001</v>
      </c>
      <c r="J10">
        <v>3.8901699999999999</v>
      </c>
      <c r="K10">
        <v>3.5259999999999998</v>
      </c>
      <c r="L10">
        <v>26200</v>
      </c>
      <c r="M10">
        <v>0</v>
      </c>
      <c r="N10">
        <v>871</v>
      </c>
      <c r="O10">
        <v>469</v>
      </c>
      <c r="P10">
        <v>19613</v>
      </c>
      <c r="Q10">
        <v>78366.764999999999</v>
      </c>
      <c r="R10">
        <v>0.78452</v>
      </c>
      <c r="S10">
        <v>53.823327609890107</v>
      </c>
      <c r="T10">
        <v>53.823327609890107</v>
      </c>
      <c r="U10">
        <v>0.78452</v>
      </c>
      <c r="V10">
        <v>1456</v>
      </c>
      <c r="W10" t="str">
        <v>36811-FORCADES PEREZ JOSEP MARIA</v>
      </c>
    </row>
    <row r="11" spans="1:23" x14ac:dyDescent="0.25">
      <c r="A11" t="str">
        <v>2025-11-17</v>
      </c>
      <c r="B11" t="str">
        <v>36863-GABANDE LOPEZ EVA - 2 (VERNET)-L:075-N:2-A:A13-POLLO AMARILLO MACHO</v>
      </c>
      <c r="C11" t="str">
        <v>POLLO AMARILLO MACHO</v>
      </c>
      <c r="D11">
        <v>11657</v>
      </c>
      <c r="E11" t="str">
        <v>Broiler Amarillo</v>
      </c>
      <c r="F11">
        <v>53</v>
      </c>
      <c r="G11">
        <v>0</v>
      </c>
      <c r="H11" t="str">
        <v>Abierto</v>
      </c>
      <c r="I11">
        <v>3.6589999999999998</v>
      </c>
      <c r="J11">
        <v>3.9279000000000002</v>
      </c>
      <c r="K11">
        <v>3.5259999999999998</v>
      </c>
      <c r="L11">
        <v>11800</v>
      </c>
      <c r="M11">
        <v>0</v>
      </c>
      <c r="N11">
        <v>140</v>
      </c>
      <c r="O11">
        <v>203</v>
      </c>
      <c r="P11">
        <v>6964</v>
      </c>
      <c r="Q11">
        <v>30225.289000000001</v>
      </c>
      <c r="R11">
        <v>0.59268085106382984</v>
      </c>
      <c r="S11">
        <v>38.75037051282051</v>
      </c>
      <c r="T11">
        <v>38.75037051282051</v>
      </c>
      <c r="U11">
        <v>0.59267999999999998</v>
      </c>
      <c r="V11">
        <v>780</v>
      </c>
      <c r="W11" t="str">
        <v>36863-GABANDE LOPEZ EVA - 2 (VERNET)</v>
      </c>
    </row>
    <row r="12" spans="1:23" x14ac:dyDescent="0.25">
      <c r="A12" t="str">
        <v>2025-11-17</v>
      </c>
      <c r="B12" t="str">
        <v>36308-CAL CASO SCP-L:147-N:2-A:A13-POLLO AMARILLO MACHO</v>
      </c>
      <c r="C12" t="str">
        <v>POLLO AMARILLO MACHO</v>
      </c>
      <c r="D12">
        <v>11680</v>
      </c>
      <c r="E12" t="str">
        <v>Broiler Amarillo</v>
      </c>
      <c r="F12">
        <v>53</v>
      </c>
      <c r="G12">
        <v>0</v>
      </c>
      <c r="H12" t="str">
        <v>Abierto</v>
      </c>
      <c r="I12">
        <v>3.6389999999999998</v>
      </c>
      <c r="J12">
        <v>3.8673500000000001</v>
      </c>
      <c r="K12">
        <v>3.5259999999999998</v>
      </c>
      <c r="L12">
        <v>11800</v>
      </c>
      <c r="M12">
        <v>0</v>
      </c>
      <c r="N12">
        <v>117</v>
      </c>
      <c r="O12">
        <v>203</v>
      </c>
      <c r="P12">
        <v>7312</v>
      </c>
      <c r="Q12">
        <v>30929.019</v>
      </c>
      <c r="R12">
        <v>0.58496000000000004</v>
      </c>
      <c r="S12">
        <v>41.739566801619432</v>
      </c>
      <c r="T12">
        <v>41.739566801619432</v>
      </c>
      <c r="U12">
        <v>0.58496000000000004</v>
      </c>
      <c r="V12">
        <v>741</v>
      </c>
      <c r="W12" t="str">
        <v>36308-CAL CASO SCP</v>
      </c>
    </row>
    <row r="13" spans="1:23" x14ac:dyDescent="0.25">
      <c r="A13" t="str">
        <v>2025-11-17</v>
      </c>
      <c r="B13" t="str">
        <v>36811-FORCADES PEREZ JOSEP MARIA-L:076-N:1-A:A13-POLLO AMARILLO MACHO</v>
      </c>
      <c r="C13" t="str">
        <v>POLLO AMARILLO MACHO</v>
      </c>
      <c r="D13">
        <v>15134</v>
      </c>
      <c r="E13" t="str">
        <v>Broiler Amarillo</v>
      </c>
      <c r="F13">
        <v>53</v>
      </c>
      <c r="G13">
        <v>0</v>
      </c>
      <c r="H13" t="str">
        <v>Abierto</v>
      </c>
      <c r="I13">
        <v>3.5609999999999999</v>
      </c>
      <c r="J13">
        <v>4.0196399999999999</v>
      </c>
      <c r="K13">
        <v>3.5259999999999998</v>
      </c>
      <c r="L13">
        <v>15600</v>
      </c>
      <c r="M13">
        <v>0</v>
      </c>
      <c r="N13">
        <v>457</v>
      </c>
      <c r="O13">
        <v>281</v>
      </c>
      <c r="P13">
        <v>30653</v>
      </c>
      <c r="Q13">
        <v>99719.781000000003</v>
      </c>
      <c r="R13">
        <v>2.0435333333333334</v>
      </c>
      <c r="S13">
        <v>116.63132280701754</v>
      </c>
      <c r="T13">
        <v>116.63132280701754</v>
      </c>
      <c r="U13">
        <v>2.0435300000000001</v>
      </c>
      <c r="V13">
        <v>855</v>
      </c>
      <c r="W13" t="str">
        <v>36811-FORCADES PEREZ JOSEP MARIA</v>
      </c>
    </row>
    <row r="14" spans="1:23" x14ac:dyDescent="0.25">
      <c r="A14" t="str">
        <v>2025-11-17</v>
      </c>
      <c r="B14" t="str">
        <v>36731-BLASI INGLA JAUME-L:121-N:1-A:A13-POLLO AMARILLO MACHO</v>
      </c>
      <c r="C14" t="str">
        <v>POLLO AMARILLO MACHO</v>
      </c>
      <c r="D14">
        <v>23047</v>
      </c>
      <c r="E14" t="str">
        <v>Broiler Amarillo</v>
      </c>
      <c r="F14">
        <v>52</v>
      </c>
      <c r="G14">
        <v>0</v>
      </c>
      <c r="H14" t="str">
        <v>Abierto</v>
      </c>
      <c r="I14">
        <v>3.548</v>
      </c>
      <c r="J14">
        <v>3.6226400000000001</v>
      </c>
      <c r="K14">
        <v>3.4609999999999999</v>
      </c>
      <c r="L14">
        <v>23400</v>
      </c>
      <c r="M14">
        <v>0</v>
      </c>
      <c r="N14">
        <v>350</v>
      </c>
      <c r="O14">
        <v>404</v>
      </c>
      <c r="P14">
        <v>46494</v>
      </c>
      <c r="Q14">
        <v>150564.25399999999</v>
      </c>
      <c r="R14">
        <v>1.8597600000000001</v>
      </c>
      <c r="S14">
        <v>105.43715266106443</v>
      </c>
      <c r="T14">
        <v>105.43715266106443</v>
      </c>
      <c r="U14">
        <v>1.8597600000000001</v>
      </c>
      <c r="V14">
        <v>1428</v>
      </c>
      <c r="W14" t="str">
        <v>36731-BLASI INGLA JAUME</v>
      </c>
    </row>
    <row r="15" spans="1:23" x14ac:dyDescent="0.25">
      <c r="A15" t="str">
        <v>2025-11-17</v>
      </c>
      <c r="B15" t="str">
        <v>36811-FORCADES PEREZ JOSEP MARIA-L:076-N:2-A:A13-POLLO AMARILLO MACHO</v>
      </c>
      <c r="C15" t="str">
        <v>POLLO AMARILLO MACHO</v>
      </c>
      <c r="D15">
        <v>15481</v>
      </c>
      <c r="E15" t="str">
        <v>Broiler Amarillo</v>
      </c>
      <c r="F15">
        <v>53</v>
      </c>
      <c r="G15">
        <v>0</v>
      </c>
      <c r="H15" t="str">
        <v>Abierto</v>
      </c>
      <c r="I15">
        <v>3.5259999999999998</v>
      </c>
      <c r="J15">
        <v>3.5259999999999998</v>
      </c>
      <c r="K15">
        <v>3.5259999999999998</v>
      </c>
      <c r="L15">
        <v>15600</v>
      </c>
      <c r="M15">
        <v>0</v>
      </c>
      <c r="N15">
        <v>119</v>
      </c>
      <c r="O15">
        <v>119</v>
      </c>
      <c r="P15">
        <v>30709</v>
      </c>
      <c r="Q15">
        <v>99995.902000000002</v>
      </c>
      <c r="R15">
        <v>2.0472666666666668</v>
      </c>
      <c r="S15">
        <v>116.95427134502924</v>
      </c>
      <c r="T15">
        <v>116.95427134502924</v>
      </c>
      <c r="U15">
        <v>2.0472700000000001</v>
      </c>
      <c r="V15">
        <v>855</v>
      </c>
      <c r="W15" t="str">
        <v>36811-FORCADES PEREZ JOSEP MARIA</v>
      </c>
    </row>
    <row r="16" spans="1:23" x14ac:dyDescent="0.25">
      <c r="A16" t="str">
        <v>2025-11-17</v>
      </c>
      <c r="B16" t="str">
        <v>36034-ALCOLEA MARTI, EFREN-L:028-N:2-A:A13-POLLO AMARILLO MACHO</v>
      </c>
      <c r="C16" t="str">
        <v>POLLO AMARILLO MACHO</v>
      </c>
      <c r="D16">
        <v>37375</v>
      </c>
      <c r="E16" t="str">
        <v>Broiler Amarillo</v>
      </c>
      <c r="F16">
        <v>52</v>
      </c>
      <c r="G16">
        <v>0</v>
      </c>
      <c r="H16" t="str">
        <v>Abierto</v>
      </c>
      <c r="I16">
        <v>3.5190000000000001</v>
      </c>
      <c r="J16">
        <v>4.2639399999999998</v>
      </c>
      <c r="K16">
        <v>3.4609999999999999</v>
      </c>
      <c r="L16">
        <v>37600</v>
      </c>
      <c r="M16">
        <v>0</v>
      </c>
      <c r="N16">
        <v>220</v>
      </c>
      <c r="O16">
        <v>431</v>
      </c>
      <c r="P16">
        <v>74995</v>
      </c>
      <c r="Q16">
        <v>243028.30499999999</v>
      </c>
      <c r="R16">
        <v>1.8748750000000001</v>
      </c>
      <c r="S16">
        <v>120.60958064516129</v>
      </c>
      <c r="T16">
        <v>120.60958064516129</v>
      </c>
      <c r="U16">
        <v>1.8748800000000001</v>
      </c>
      <c r="V16">
        <v>2015</v>
      </c>
      <c r="W16" t="str">
        <v>36034-ALCOLEA MARTI, EFREN</v>
      </c>
    </row>
    <row r="17" spans="1:23" x14ac:dyDescent="0.25">
      <c r="A17" t="str">
        <v>2025-11-17</v>
      </c>
      <c r="B17" t="str">
        <v>36789-GABANDE LOPEZ EVA-1 (ALENTORN)-L:085-N:1-A:A13-POLLO AMARILLO MACHO</v>
      </c>
      <c r="C17" t="str">
        <v>POLLO AMARILLO MACHO</v>
      </c>
      <c r="D17">
        <v>8388</v>
      </c>
      <c r="E17" t="str">
        <v>Broiler Amarillo</v>
      </c>
      <c r="F17">
        <v>52</v>
      </c>
      <c r="G17">
        <v>0</v>
      </c>
      <c r="H17" t="str">
        <v>Abierto</v>
      </c>
      <c r="I17">
        <v>3.5110000000000001</v>
      </c>
      <c r="J17">
        <v>4.1532</v>
      </c>
      <c r="K17">
        <v>3.4609999999999999</v>
      </c>
      <c r="L17">
        <v>8600</v>
      </c>
      <c r="M17">
        <v>0</v>
      </c>
      <c r="N17">
        <v>209</v>
      </c>
      <c r="O17">
        <v>166</v>
      </c>
      <c r="P17">
        <v>17022</v>
      </c>
      <c r="Q17">
        <v>54514.77</v>
      </c>
      <c r="R17">
        <v>2.1277499999999998</v>
      </c>
      <c r="S17">
        <v>102.47137218045113</v>
      </c>
      <c r="T17">
        <v>102.47137218045113</v>
      </c>
      <c r="U17">
        <v>2.1277499999999998</v>
      </c>
      <c r="V17">
        <v>532</v>
      </c>
      <c r="W17" t="str">
        <v>36789-GABANDE LOPEZ EVA-1 (ALENTORN)</v>
      </c>
    </row>
    <row r="18" spans="1:23" x14ac:dyDescent="0.25">
      <c r="A18" t="str">
        <v>2025-11-17</v>
      </c>
      <c r="B18" t="str">
        <v>36978-CORAL SANTACANA SLU-L:036-N:1-A:A13-POLLO AMARILLO MACHO</v>
      </c>
      <c r="C18" t="str">
        <v>POLLO AMARILLO MACHO</v>
      </c>
      <c r="D18">
        <v>13087</v>
      </c>
      <c r="E18" t="str">
        <v>Broiler Amarillo</v>
      </c>
      <c r="F18">
        <v>52</v>
      </c>
      <c r="G18">
        <v>0</v>
      </c>
      <c r="H18" t="str">
        <v>Abierto</v>
      </c>
      <c r="I18">
        <v>3.504</v>
      </c>
      <c r="J18">
        <v>4.1470000000000002</v>
      </c>
      <c r="K18">
        <v>3.4609999999999999</v>
      </c>
      <c r="L18">
        <v>13200</v>
      </c>
      <c r="M18">
        <v>0</v>
      </c>
      <c r="N18">
        <v>113</v>
      </c>
      <c r="O18">
        <v>222</v>
      </c>
      <c r="P18">
        <v>26574</v>
      </c>
      <c r="Q18">
        <v>85481.653999999995</v>
      </c>
      <c r="R18">
        <v>2.120830007980846</v>
      </c>
      <c r="S18">
        <v>122.11664857142857</v>
      </c>
      <c r="T18">
        <v>122.11664857142857</v>
      </c>
      <c r="U18">
        <v>2.1208300000000002</v>
      </c>
      <c r="V18">
        <v>700</v>
      </c>
      <c r="W18" t="str">
        <v>36978-CORAL SANTACANA SLU</v>
      </c>
    </row>
    <row r="19" spans="1:23" x14ac:dyDescent="0.25">
      <c r="A19" t="str">
        <v>2025-11-17</v>
      </c>
      <c r="B19" t="str">
        <v>36789-GABANDE LOPEZ EVA-1 (ALENTORN)-L:085-N:2-A:A13-POLLO AMARILLO MACHO</v>
      </c>
      <c r="C19" t="str">
        <v>POLLO AMARILLO MACHO</v>
      </c>
      <c r="D19">
        <v>8437</v>
      </c>
      <c r="E19" t="str">
        <v>Broiler Amarillo</v>
      </c>
      <c r="F19">
        <v>52</v>
      </c>
      <c r="G19">
        <v>0</v>
      </c>
      <c r="H19" t="str">
        <v>Abierto</v>
      </c>
      <c r="I19">
        <v>3.4980000000000002</v>
      </c>
      <c r="J19">
        <v>3.5297700000000001</v>
      </c>
      <c r="K19">
        <v>3.4609999999999999</v>
      </c>
      <c r="L19">
        <v>8600</v>
      </c>
      <c r="M19">
        <v>0</v>
      </c>
      <c r="N19">
        <v>160</v>
      </c>
      <c r="O19">
        <v>31</v>
      </c>
      <c r="P19">
        <v>17274</v>
      </c>
      <c r="Q19">
        <v>55175.273999999998</v>
      </c>
      <c r="R19">
        <v>2.1592500000000001</v>
      </c>
      <c r="S19">
        <v>103.71292105263159</v>
      </c>
      <c r="T19">
        <v>103.71292105263159</v>
      </c>
      <c r="U19">
        <v>2.1592500000000001</v>
      </c>
      <c r="V19">
        <v>532</v>
      </c>
      <c r="W19" t="str">
        <v>36789-GABANDE LOPEZ EVA-1 (ALENTORN)</v>
      </c>
    </row>
    <row r="20" spans="1:23" x14ac:dyDescent="0.25">
      <c r="A20" t="str">
        <v>2025-11-17</v>
      </c>
      <c r="B20" t="str">
        <v>36863-GABANDE LOPEZ EVA - 2 (VERNET)-L:075-N:1-A:A13-POLLO AMARILLO MACHO</v>
      </c>
      <c r="C20" t="str">
        <v>POLLO AMARILLO MACHO</v>
      </c>
      <c r="D20">
        <v>11614</v>
      </c>
      <c r="E20" t="str">
        <v>Broiler Amarillo</v>
      </c>
      <c r="F20">
        <v>53</v>
      </c>
      <c r="G20">
        <v>0</v>
      </c>
      <c r="H20" t="str">
        <v>Abierto</v>
      </c>
      <c r="I20">
        <v>3.4969999999999999</v>
      </c>
      <c r="J20">
        <v>3.2153100000000001</v>
      </c>
      <c r="K20">
        <v>3.5259999999999998</v>
      </c>
      <c r="L20">
        <v>11800</v>
      </c>
      <c r="M20">
        <v>0</v>
      </c>
      <c r="N20">
        <v>183</v>
      </c>
      <c r="O20">
        <v>203</v>
      </c>
      <c r="P20">
        <v>23211</v>
      </c>
      <c r="Q20">
        <v>74860.099000000002</v>
      </c>
      <c r="R20">
        <v>1.9754042553191489</v>
      </c>
      <c r="S20">
        <v>95.974485897435898</v>
      </c>
      <c r="T20">
        <v>95.974485897435898</v>
      </c>
      <c r="U20">
        <v>1.9754</v>
      </c>
      <c r="V20">
        <v>780</v>
      </c>
      <c r="W20" t="str">
        <v>36863-GABANDE LOPEZ EVA - 2 (VERNET)</v>
      </c>
    </row>
    <row r="21" spans="1:23" x14ac:dyDescent="0.25">
      <c r="A21" t="str">
        <v>2025-11-17</v>
      </c>
      <c r="B21" t="str">
        <v>36978-CORAL SANTACANA SLU-L:036-N:3-A:A13-POLLO AMARILLO MACHO</v>
      </c>
      <c r="C21" t="str">
        <v>POLLO AMARILLO MACHO</v>
      </c>
      <c r="D21">
        <v>21250</v>
      </c>
      <c r="E21" t="str">
        <v>Broiler Amarillo</v>
      </c>
      <c r="F21">
        <v>52</v>
      </c>
      <c r="G21">
        <v>0</v>
      </c>
      <c r="H21" t="str">
        <v>Abierto</v>
      </c>
      <c r="I21">
        <v>3.4889999999999999</v>
      </c>
      <c r="J21">
        <v>3.9074800000000001</v>
      </c>
      <c r="K21">
        <v>3.4609999999999999</v>
      </c>
      <c r="L21">
        <v>21400</v>
      </c>
      <c r="M21">
        <v>0</v>
      </c>
      <c r="N21">
        <v>150</v>
      </c>
      <c r="O21">
        <v>381</v>
      </c>
      <c r="P21">
        <v>42665</v>
      </c>
      <c r="Q21">
        <v>136308.995</v>
      </c>
      <c r="R21">
        <v>2.0621072982116964</v>
      </c>
      <c r="S21">
        <v>117.91435553633218</v>
      </c>
      <c r="T21">
        <v>117.91435553633218</v>
      </c>
      <c r="U21">
        <v>2.0621100000000001</v>
      </c>
      <c r="V21">
        <v>1156</v>
      </c>
      <c r="W21" t="str">
        <v>36978-CORAL SANTACANA SLU</v>
      </c>
    </row>
    <row r="22" spans="1:23" x14ac:dyDescent="0.25">
      <c r="A22" t="str">
        <v>2025-11-17</v>
      </c>
      <c r="B22" t="str">
        <v>36588-PELEGRI SCP (Ns 6,7)-L:063-N:7-A:A13-POLLO AMARILLO MACHO</v>
      </c>
      <c r="C22" t="str">
        <v>POLLO AMARILLO MACHO</v>
      </c>
      <c r="D22">
        <v>53717</v>
      </c>
      <c r="E22" t="str">
        <v>Broiler Amarillo</v>
      </c>
      <c r="F22">
        <v>49</v>
      </c>
      <c r="G22">
        <v>0</v>
      </c>
      <c r="H22" t="str">
        <v>Abierto</v>
      </c>
      <c r="I22">
        <v>3.4670000000000001</v>
      </c>
      <c r="J22">
        <v>3.6700599999999999</v>
      </c>
      <c r="K22">
        <v>3.2490000000000001</v>
      </c>
      <c r="L22">
        <v>54000</v>
      </c>
      <c r="M22">
        <v>0</v>
      </c>
      <c r="N22">
        <v>280</v>
      </c>
      <c r="O22">
        <v>481</v>
      </c>
      <c r="P22">
        <v>107464</v>
      </c>
      <c r="Q22">
        <v>344199.272</v>
      </c>
      <c r="R22">
        <v>3.9801481481481482</v>
      </c>
      <c r="S22">
        <v>229.46618133333334</v>
      </c>
      <c r="T22">
        <v>229.46618133333334</v>
      </c>
      <c r="U22">
        <v>3.9801500000000001</v>
      </c>
      <c r="V22">
        <v>1500</v>
      </c>
      <c r="W22" t="str">
        <v>36588-PELEGRI SCP (Ns 6,7)</v>
      </c>
    </row>
    <row r="23" spans="1:23" x14ac:dyDescent="0.25">
      <c r="A23" t="str">
        <v>2025-11-17</v>
      </c>
      <c r="B23" t="str">
        <v>36589-PELEGRI-L:144-N:3-A:A13-POLLO AMARILLO MACHO</v>
      </c>
      <c r="C23" t="str">
        <v>POLLO AMARILLO MACHO</v>
      </c>
      <c r="D23">
        <v>21072</v>
      </c>
      <c r="E23" t="str">
        <v>Broiler Amarillo</v>
      </c>
      <c r="F23">
        <v>49</v>
      </c>
      <c r="G23">
        <v>0</v>
      </c>
      <c r="H23" t="str">
        <v>Abierto</v>
      </c>
      <c r="I23">
        <v>3.4670000000000001</v>
      </c>
      <c r="J23">
        <v>3.6700599999999999</v>
      </c>
      <c r="K23">
        <v>3.2490000000000001</v>
      </c>
      <c r="L23">
        <v>21200</v>
      </c>
      <c r="M23">
        <v>0</v>
      </c>
      <c r="N23">
        <v>125</v>
      </c>
      <c r="O23">
        <v>188</v>
      </c>
      <c r="P23">
        <v>41739</v>
      </c>
      <c r="Q23">
        <v>133796.93700000001</v>
      </c>
      <c r="R23">
        <v>3.7300268096514744</v>
      </c>
      <c r="S23">
        <v>206.47675462962962</v>
      </c>
      <c r="T23">
        <v>206.47675462962962</v>
      </c>
      <c r="U23">
        <v>3.7300300000000002</v>
      </c>
      <c r="V23">
        <v>648</v>
      </c>
      <c r="W23" t="str">
        <v>36589-PELEGRI</v>
      </c>
    </row>
    <row r="24" spans="1:23" x14ac:dyDescent="0.25">
      <c r="A24" t="str">
        <v>2025-11-17</v>
      </c>
      <c r="B24" t="str">
        <v>36589-PELEGRI-L:144-N:2-A:A13-POLLO AMARILLO MACHO</v>
      </c>
      <c r="C24" t="str">
        <v>POLLO AMARILLO MACHO</v>
      </c>
      <c r="D24">
        <v>29827</v>
      </c>
      <c r="E24" t="str">
        <v>Broiler Amarillo</v>
      </c>
      <c r="F24">
        <v>49</v>
      </c>
      <c r="G24">
        <v>0</v>
      </c>
      <c r="H24" t="str">
        <v>Abierto</v>
      </c>
      <c r="I24">
        <v>3.4670000000000001</v>
      </c>
      <c r="J24">
        <v>3.6700599999999999</v>
      </c>
      <c r="K24">
        <v>3.2490000000000001</v>
      </c>
      <c r="L24">
        <v>30000</v>
      </c>
      <c r="M24">
        <v>0</v>
      </c>
      <c r="N24">
        <v>170</v>
      </c>
      <c r="O24">
        <v>274</v>
      </c>
      <c r="P24">
        <v>59654</v>
      </c>
      <c r="Q24">
        <v>191071.76199999999</v>
      </c>
      <c r="R24">
        <v>3.8387387387387388</v>
      </c>
      <c r="S24">
        <v>212.30195777777777</v>
      </c>
      <c r="T24">
        <v>212.30195777777777</v>
      </c>
      <c r="U24">
        <v>3.83874</v>
      </c>
      <c r="V24">
        <v>900</v>
      </c>
      <c r="W24" t="str">
        <v>36589-PELEGRI</v>
      </c>
    </row>
    <row r="25" spans="1:23" x14ac:dyDescent="0.25">
      <c r="A25" t="str">
        <v>2025-11-17</v>
      </c>
      <c r="B25" t="str">
        <v>36589-PELEGRI-L:144-N:1-A:A13-POLLO AMARILLO MACHO</v>
      </c>
      <c r="C25" t="str">
        <v>POLLO AMARILLO MACHO</v>
      </c>
      <c r="D25">
        <v>29847</v>
      </c>
      <c r="E25" t="str">
        <v>Broiler Amarillo</v>
      </c>
      <c r="F25">
        <v>49</v>
      </c>
      <c r="G25">
        <v>0</v>
      </c>
      <c r="H25" t="str">
        <v>Abierto</v>
      </c>
      <c r="I25">
        <v>3.4670000000000001</v>
      </c>
      <c r="J25">
        <v>3.6700599999999999</v>
      </c>
      <c r="K25">
        <v>3.2490000000000001</v>
      </c>
      <c r="L25">
        <v>30000</v>
      </c>
      <c r="M25">
        <v>0</v>
      </c>
      <c r="N25">
        <v>150</v>
      </c>
      <c r="O25">
        <v>274</v>
      </c>
      <c r="P25">
        <v>59694</v>
      </c>
      <c r="Q25">
        <v>191199.88200000001</v>
      </c>
      <c r="R25">
        <v>3.8413127413127413</v>
      </c>
      <c r="S25">
        <v>212.44431333333333</v>
      </c>
      <c r="T25">
        <v>212.44431333333333</v>
      </c>
      <c r="U25">
        <v>3.84131</v>
      </c>
      <c r="V25">
        <v>900</v>
      </c>
      <c r="W25" t="str">
        <v>36589-PELEGRI</v>
      </c>
    </row>
    <row r="26" spans="1:23" x14ac:dyDescent="0.25">
      <c r="A26" t="str">
        <v>2025-11-17</v>
      </c>
      <c r="B26" t="str">
        <v>36589-PELEGRI-L:144-N:4-A:A13-POLLO AMARILLO MACHO</v>
      </c>
      <c r="C26" t="str">
        <v>POLLO AMARILLO MACHO</v>
      </c>
      <c r="D26">
        <v>20627</v>
      </c>
      <c r="E26" t="str">
        <v>Broiler Amarillo</v>
      </c>
      <c r="F26">
        <v>49</v>
      </c>
      <c r="G26">
        <v>0</v>
      </c>
      <c r="H26" t="str">
        <v>Abierto</v>
      </c>
      <c r="I26">
        <v>3.4670000000000001</v>
      </c>
      <c r="J26">
        <v>3.6700599999999999</v>
      </c>
      <c r="K26">
        <v>3.2490000000000001</v>
      </c>
      <c r="L26">
        <v>20800</v>
      </c>
      <c r="M26">
        <v>0</v>
      </c>
      <c r="N26">
        <v>170</v>
      </c>
      <c r="O26">
        <v>185</v>
      </c>
      <c r="P26">
        <v>41664</v>
      </c>
      <c r="Q26">
        <v>133341.552</v>
      </c>
      <c r="R26">
        <v>3.723324396782842</v>
      </c>
      <c r="S26">
        <v>205.774</v>
      </c>
      <c r="T26">
        <v>205.774</v>
      </c>
      <c r="U26">
        <v>3.7233200000000002</v>
      </c>
      <c r="V26">
        <v>648</v>
      </c>
      <c r="W26" t="str">
        <v>36589-PELEGRI</v>
      </c>
    </row>
    <row r="27" spans="1:23" x14ac:dyDescent="0.25">
      <c r="A27" t="str">
        <v>2025-11-17</v>
      </c>
      <c r="B27" t="str">
        <v>36589-PELEGRI-L:144-N:5-A:A13-POLLO AMARILLO MACHO</v>
      </c>
      <c r="C27" t="str">
        <v>POLLO AMARILLO MACHO</v>
      </c>
      <c r="D27">
        <v>25827</v>
      </c>
      <c r="E27" t="str">
        <v>Broiler Amarillo</v>
      </c>
      <c r="F27">
        <v>49</v>
      </c>
      <c r="G27">
        <v>0</v>
      </c>
      <c r="H27" t="str">
        <v>Abierto</v>
      </c>
      <c r="I27">
        <v>3.4670000000000001</v>
      </c>
      <c r="J27">
        <v>3.6700599999999999</v>
      </c>
      <c r="K27">
        <v>3.2490000000000001</v>
      </c>
      <c r="L27">
        <v>26000</v>
      </c>
      <c r="M27">
        <v>0</v>
      </c>
      <c r="N27">
        <v>170</v>
      </c>
      <c r="O27">
        <v>219</v>
      </c>
      <c r="P27">
        <v>51654</v>
      </c>
      <c r="Q27">
        <v>165447.76199999999</v>
      </c>
      <c r="R27">
        <v>3.8149187592319054</v>
      </c>
      <c r="S27">
        <v>211.03030867346939</v>
      </c>
      <c r="T27">
        <v>211.03030867346939</v>
      </c>
      <c r="U27">
        <v>3.8149199999999999</v>
      </c>
      <c r="V27">
        <v>784</v>
      </c>
      <c r="W27" t="str">
        <v>36589-PELEGRI</v>
      </c>
    </row>
    <row r="28" spans="1:23" x14ac:dyDescent="0.25">
      <c r="A28" t="str">
        <v>2025-11-17</v>
      </c>
      <c r="B28" t="str">
        <v>36588-PELEGRI SCP (Ns 6,7)-L:063-N:6-A:A13-POLLO AMARILLO MACHO</v>
      </c>
      <c r="C28" t="str">
        <v>POLLO AMARILLO MACHO</v>
      </c>
      <c r="D28">
        <v>53680</v>
      </c>
      <c r="E28" t="str">
        <v>Broiler Amarillo</v>
      </c>
      <c r="F28">
        <v>49</v>
      </c>
      <c r="G28">
        <v>0</v>
      </c>
      <c r="H28" t="str">
        <v>Abierto</v>
      </c>
      <c r="I28">
        <v>3.4670000000000001</v>
      </c>
      <c r="J28">
        <v>3.6700599999999999</v>
      </c>
      <c r="K28">
        <v>3.2490000000000001</v>
      </c>
      <c r="L28">
        <v>54000</v>
      </c>
      <c r="M28">
        <v>0</v>
      </c>
      <c r="N28">
        <v>317</v>
      </c>
      <c r="O28">
        <v>274</v>
      </c>
      <c r="P28">
        <v>107377</v>
      </c>
      <c r="Q28">
        <v>343924.04300000001</v>
      </c>
      <c r="R28">
        <v>3.9769259259259258</v>
      </c>
      <c r="S28">
        <v>229.28269533333332</v>
      </c>
      <c r="T28">
        <v>229.28269533333332</v>
      </c>
      <c r="U28">
        <v>3.9769299999999999</v>
      </c>
      <c r="V28">
        <v>1500</v>
      </c>
      <c r="W28" t="str">
        <v>36588-PELEGRI SCP (Ns 6,7)</v>
      </c>
    </row>
    <row r="29" spans="1:23" x14ac:dyDescent="0.25">
      <c r="A29" t="str">
        <v>2025-11-17</v>
      </c>
      <c r="B29" t="str">
        <v>36978-CORAL SANTACANA SLU-L:036-N:2-A:A13-POLLO AMARILLO MACHO</v>
      </c>
      <c r="C29" t="str">
        <v>POLLO AMARILLO MACHO</v>
      </c>
      <c r="D29">
        <v>16900</v>
      </c>
      <c r="E29" t="str">
        <v>Broiler Amarillo</v>
      </c>
      <c r="F29">
        <v>52</v>
      </c>
      <c r="G29">
        <v>0</v>
      </c>
      <c r="H29" t="str">
        <v>Abierto</v>
      </c>
      <c r="I29">
        <v>3.4609999999999999</v>
      </c>
      <c r="J29">
        <v>3.4609999999999999</v>
      </c>
      <c r="K29">
        <v>3.4609999999999999</v>
      </c>
      <c r="L29">
        <v>17200</v>
      </c>
      <c r="M29">
        <v>0</v>
      </c>
      <c r="N29">
        <v>300</v>
      </c>
      <c r="O29">
        <v>300</v>
      </c>
      <c r="P29">
        <v>34533</v>
      </c>
      <c r="Q29">
        <v>110296.65399999999</v>
      </c>
      <c r="R29">
        <v>2.0888579724171303</v>
      </c>
      <c r="S29">
        <v>119.36867316017316</v>
      </c>
      <c r="T29">
        <v>119.36867316017316</v>
      </c>
      <c r="U29">
        <v>2.0888599999999999</v>
      </c>
      <c r="V29">
        <v>924</v>
      </c>
      <c r="W29" t="str">
        <v>36978-CORAL SANTACANA SLU</v>
      </c>
    </row>
    <row r="30" spans="1:23" x14ac:dyDescent="0.25">
      <c r="A30" t="str">
        <v>2025-11-17</v>
      </c>
      <c r="B30" t="str">
        <v>36991-PESSARRODONA AVIRAM SL-L:034-N:3-A:A14-POLLO AMARILLO HEMBRAS</v>
      </c>
      <c r="C30" t="str">
        <v>POLLO AMARILLO HEMBRAS</v>
      </c>
      <c r="D30">
        <v>37720</v>
      </c>
      <c r="E30" t="str">
        <v>Broiler Amarillo</v>
      </c>
      <c r="F30">
        <v>59</v>
      </c>
      <c r="G30">
        <v>0</v>
      </c>
      <c r="H30" t="str">
        <v>Abierto</v>
      </c>
      <c r="I30">
        <v>3.3650000000000002</v>
      </c>
      <c r="J30">
        <v>5.7970499999999996</v>
      </c>
      <c r="K30">
        <v>3.2290000000000001</v>
      </c>
      <c r="L30">
        <v>38000</v>
      </c>
      <c r="M30">
        <v>0</v>
      </c>
      <c r="N30">
        <v>280</v>
      </c>
      <c r="O30">
        <v>515</v>
      </c>
      <c r="P30">
        <v>75440</v>
      </c>
      <c r="Q30">
        <v>278826.23999999999</v>
      </c>
      <c r="R30">
        <v>1.9890318498207129</v>
      </c>
      <c r="S30">
        <v>116.1776</v>
      </c>
      <c r="T30">
        <v>116.1776</v>
      </c>
      <c r="U30">
        <v>1.9890300000000001</v>
      </c>
      <c r="V30">
        <v>2400</v>
      </c>
      <c r="W30" t="str">
        <v>36991-PESSARRODONA AVIRAM SL</v>
      </c>
    </row>
    <row r="31" spans="1:23" x14ac:dyDescent="0.25">
      <c r="A31" t="str">
        <v>2025-11-17</v>
      </c>
      <c r="B31" t="str">
        <v>36666-PONS FAURA SCP-L:144-N:1-A:A13-POLLO AMARILLO MACHO</v>
      </c>
      <c r="C31" t="str">
        <v>POLLO AMARILLO MACHO</v>
      </c>
      <c r="D31">
        <v>37465</v>
      </c>
      <c r="E31" t="str">
        <v>Broiler Amarillo</v>
      </c>
      <c r="F31">
        <v>48</v>
      </c>
      <c r="G31">
        <v>0</v>
      </c>
      <c r="H31" t="str">
        <v>Abierto</v>
      </c>
      <c r="I31">
        <v>3.3140000000000001</v>
      </c>
      <c r="J31">
        <v>3.4883899999999999</v>
      </c>
      <c r="K31">
        <v>3.173</v>
      </c>
      <c r="L31">
        <v>37800</v>
      </c>
      <c r="M31">
        <v>0</v>
      </c>
      <c r="N31">
        <v>332</v>
      </c>
      <c r="O31">
        <v>431</v>
      </c>
      <c r="P31">
        <v>74613</v>
      </c>
      <c r="Q31">
        <v>225907.38200000001</v>
      </c>
      <c r="R31">
        <v>3.1088749999999998</v>
      </c>
      <c r="S31">
        <v>159.53911158192091</v>
      </c>
      <c r="T31">
        <v>159.53911158192091</v>
      </c>
      <c r="U31">
        <v>3.1088800000000001</v>
      </c>
      <c r="V31">
        <v>1416</v>
      </c>
      <c r="W31" t="str">
        <v>36666-PONS FAURA SCP</v>
      </c>
    </row>
    <row r="32" spans="1:23" x14ac:dyDescent="0.25">
      <c r="A32" t="str">
        <v>2025-11-17</v>
      </c>
      <c r="B32" t="str">
        <v>36811-FORCADES PEREZ JOSEP MARIA-L:076-N:3-A:A15-POLLO AMARILLO MIXTO</v>
      </c>
      <c r="C32" t="str">
        <v>POLLO AMARILLO MIXTO</v>
      </c>
      <c r="D32">
        <v>16924</v>
      </c>
      <c r="E32" t="str">
        <v>Broiler Amarillo</v>
      </c>
      <c r="F32">
        <v>53</v>
      </c>
      <c r="G32">
        <v>0</v>
      </c>
      <c r="H32" t="str">
        <v>Abierto</v>
      </c>
      <c r="I32">
        <v>3.2730000000000001</v>
      </c>
      <c r="J32">
        <v>3.6830500000000002</v>
      </c>
      <c r="K32">
        <v>3.2389999999999999</v>
      </c>
      <c r="L32">
        <v>17100</v>
      </c>
      <c r="M32">
        <v>0</v>
      </c>
      <c r="N32">
        <v>174</v>
      </c>
      <c r="O32">
        <v>300</v>
      </c>
      <c r="P32">
        <v>16924</v>
      </c>
      <c r="Q32">
        <v>55392.252</v>
      </c>
      <c r="R32">
        <v>1.8804444444444444</v>
      </c>
      <c r="S32">
        <v>121.47423684210527</v>
      </c>
      <c r="T32">
        <v>121.47423684210527</v>
      </c>
      <c r="U32">
        <v>1.8804399999999999</v>
      </c>
      <c r="V32">
        <v>456</v>
      </c>
      <c r="W32" t="str">
        <v>36811-FORCADES PEREZ JOSEP MARIA</v>
      </c>
    </row>
    <row r="33" spans="1:23" x14ac:dyDescent="0.25">
      <c r="A33" t="str">
        <v>2025-11-17</v>
      </c>
      <c r="B33" t="str">
        <v>36308-CAL CASO SCP-L:147-N:1-A:A13-POLLO AMARILLO MACHO</v>
      </c>
      <c r="C33" t="str">
        <v>POLLO AMARILLO MACHO</v>
      </c>
      <c r="D33">
        <v>-4236</v>
      </c>
      <c r="E33" t="str">
        <v>Broiler Amarillo</v>
      </c>
      <c r="F33">
        <v>53</v>
      </c>
      <c r="G33">
        <v>0</v>
      </c>
      <c r="H33" t="str">
        <v>Abierto</v>
      </c>
      <c r="I33">
        <v>3.1796700000000002</v>
      </c>
      <c r="J33">
        <v>2.79996</v>
      </c>
      <c r="K33">
        <v>3.5259999999999998</v>
      </c>
      <c r="L33">
        <v>11800</v>
      </c>
      <c r="M33">
        <v>-15978</v>
      </c>
      <c r="N33">
        <v>58</v>
      </c>
      <c r="O33">
        <v>66</v>
      </c>
      <c r="P33">
        <v>7247</v>
      </c>
      <c r="Q33">
        <v>20532.080999999998</v>
      </c>
      <c r="R33">
        <v>0.57976000000000005</v>
      </c>
      <c r="S33">
        <v>27.708611336032387</v>
      </c>
      <c r="T33">
        <v>27.708611336032387</v>
      </c>
      <c r="U33">
        <v>0.57976000000000005</v>
      </c>
      <c r="V33">
        <v>741</v>
      </c>
      <c r="W33" t="str">
        <v>36308-CAL CASO SCP</v>
      </c>
    </row>
    <row r="34" spans="1:23" x14ac:dyDescent="0.25">
      <c r="A34" t="str">
        <v>2025-11-17</v>
      </c>
      <c r="B34" t="str">
        <v>36033-ORONICH BONET SCP-L:030-N:1-A:A13-POLLO AMARILLO MACHO</v>
      </c>
      <c r="C34" t="str">
        <v>POLLO AMARILLO MACHO</v>
      </c>
      <c r="D34">
        <v>54566</v>
      </c>
      <c r="E34" t="str">
        <v>Broiler Amarillo</v>
      </c>
      <c r="F34">
        <v>48</v>
      </c>
      <c r="G34">
        <v>0</v>
      </c>
      <c r="H34" t="str">
        <v>Abierto</v>
      </c>
      <c r="I34">
        <v>3.173</v>
      </c>
      <c r="J34">
        <v>3.173</v>
      </c>
      <c r="K34">
        <v>3.173</v>
      </c>
      <c r="L34">
        <v>54600</v>
      </c>
      <c r="M34">
        <v>0</v>
      </c>
      <c r="N34">
        <v>34</v>
      </c>
      <c r="O34">
        <v>34</v>
      </c>
      <c r="P34">
        <v>110891</v>
      </c>
      <c r="Q34">
        <v>324257.89299999998</v>
      </c>
      <c r="R34">
        <v>3.0803055555555554</v>
      </c>
      <c r="S34">
        <v>157.86654965920155</v>
      </c>
      <c r="T34">
        <v>157.86654965920155</v>
      </c>
      <c r="U34">
        <v>3.0803099999999999</v>
      </c>
      <c r="V34">
        <v>2054</v>
      </c>
      <c r="W34" t="str">
        <v>36033-ORONICH BONET SCP</v>
      </c>
    </row>
    <row r="35" spans="1:23" x14ac:dyDescent="0.25">
      <c r="A35" t="str">
        <v>2025-11-17</v>
      </c>
      <c r="B35" t="str">
        <v>36733-BOIX LLOP SC- 3-L:078-N:3-A:A13-POLLO AMARILLO MACHO</v>
      </c>
      <c r="C35" t="str">
        <v>POLLO AMARILLO MACHO</v>
      </c>
      <c r="D35">
        <v>21401</v>
      </c>
      <c r="E35" t="str">
        <v>Broiler Amarillo</v>
      </c>
      <c r="F35">
        <v>45</v>
      </c>
      <c r="G35">
        <v>0</v>
      </c>
      <c r="H35" t="str">
        <v>Abierto</v>
      </c>
      <c r="I35">
        <v>3.1240000000000001</v>
      </c>
      <c r="J35">
        <v>3.3277800000000002</v>
      </c>
      <c r="K35">
        <v>2.9329999999999998</v>
      </c>
      <c r="L35">
        <v>21800</v>
      </c>
      <c r="M35">
        <v>0</v>
      </c>
      <c r="N35">
        <v>390</v>
      </c>
      <c r="O35">
        <v>300</v>
      </c>
      <c r="P35">
        <v>42799</v>
      </c>
      <c r="Q35">
        <v>126685.53200000001</v>
      </c>
      <c r="R35">
        <v>1.9704880294659299</v>
      </c>
      <c r="S35">
        <v>117.30141851851852</v>
      </c>
      <c r="T35">
        <v>117.30141851851852</v>
      </c>
      <c r="U35">
        <v>1.9704900000000001</v>
      </c>
      <c r="V35">
        <v>1080</v>
      </c>
      <c r="W35" t="str">
        <v>36733-BOIX LLOP SC- 3</v>
      </c>
    </row>
    <row r="36" spans="1:23" x14ac:dyDescent="0.25">
      <c r="A36" t="str">
        <v>2025-11-17</v>
      </c>
      <c r="B36" t="str">
        <v>36946-TRIBO MUÑOZ CRISTINA - 2-L:040-N:3-A:A14-POLLO AMARILLO HEMBRAS</v>
      </c>
      <c r="C36" t="str">
        <v>POLLO AMARILLO HEMBRAS</v>
      </c>
      <c r="D36">
        <v>13821</v>
      </c>
      <c r="E36" t="str">
        <v>Broiler Amarillo</v>
      </c>
      <c r="F36">
        <v>56</v>
      </c>
      <c r="G36">
        <v>0</v>
      </c>
      <c r="H36" t="str">
        <v>Abierto</v>
      </c>
      <c r="I36">
        <v>3.1030000000000002</v>
      </c>
      <c r="J36">
        <v>3.2525300000000001</v>
      </c>
      <c r="K36">
        <v>3.09</v>
      </c>
      <c r="L36">
        <v>14000</v>
      </c>
      <c r="M36">
        <v>0</v>
      </c>
      <c r="N36">
        <v>177</v>
      </c>
      <c r="O36">
        <v>234</v>
      </c>
      <c r="P36">
        <v>27619</v>
      </c>
      <c r="Q36">
        <v>94242.718999999997</v>
      </c>
      <c r="R36">
        <v>2.1245384615384615</v>
      </c>
      <c r="S36">
        <v>104.71413222222222</v>
      </c>
      <c r="T36">
        <v>104.71413222222222</v>
      </c>
      <c r="U36">
        <v>2.1245400000000001</v>
      </c>
      <c r="V36">
        <v>900</v>
      </c>
      <c r="W36" t="str">
        <v>36946-TRIBO MUÑOZ CRISTINA - 2</v>
      </c>
    </row>
    <row r="37" spans="1:23" x14ac:dyDescent="0.25">
      <c r="A37" t="str">
        <v>2025-11-17</v>
      </c>
      <c r="B37" t="str">
        <v>36733-BOIX LLOP SC- 3-L:078-N:1-A:A13-POLLO AMARILLO MACHO</v>
      </c>
      <c r="C37" t="str">
        <v>POLLO AMARILLO MACHO</v>
      </c>
      <c r="D37">
        <v>20507</v>
      </c>
      <c r="E37" t="str">
        <v>Broiler Amarillo</v>
      </c>
      <c r="F37">
        <v>45</v>
      </c>
      <c r="G37">
        <v>0</v>
      </c>
      <c r="H37" t="str">
        <v>Abierto</v>
      </c>
      <c r="I37">
        <v>3.0510000000000002</v>
      </c>
      <c r="J37">
        <v>3.1388500000000001</v>
      </c>
      <c r="K37">
        <v>2.9329999999999998</v>
      </c>
      <c r="L37">
        <v>21000</v>
      </c>
      <c r="M37">
        <v>0</v>
      </c>
      <c r="N37">
        <v>478</v>
      </c>
      <c r="O37">
        <v>375</v>
      </c>
      <c r="P37">
        <v>42707</v>
      </c>
      <c r="Q37">
        <v>122418.057</v>
      </c>
      <c r="R37">
        <v>1.7691383595691799</v>
      </c>
      <c r="S37">
        <v>102.01504749999999</v>
      </c>
      <c r="T37">
        <v>102.01504749999999</v>
      </c>
      <c r="U37">
        <v>1.7691399999999999</v>
      </c>
      <c r="V37">
        <v>1200</v>
      </c>
      <c r="W37" t="str">
        <v>36733-BOIX LLOP SC- 3</v>
      </c>
    </row>
    <row r="38" spans="1:23" x14ac:dyDescent="0.25">
      <c r="A38" t="str">
        <v>2025-11-17</v>
      </c>
      <c r="B38" t="str">
        <v>36811-FORCADES PEREZ JOSEP MARIA-L:076-N:2-A:A14-POLLO AMARILLO HEMBRAS</v>
      </c>
      <c r="C38" t="str">
        <v>POLLO AMARILLO HEMBRAS</v>
      </c>
      <c r="D38">
        <v>15228</v>
      </c>
      <c r="E38" t="str">
        <v>Broiler Amarillo</v>
      </c>
      <c r="F38">
        <v>53</v>
      </c>
      <c r="G38">
        <v>0</v>
      </c>
      <c r="H38" t="str">
        <v>Abierto</v>
      </c>
      <c r="I38">
        <v>2.9820000000000002</v>
      </c>
      <c r="J38">
        <v>3.2997000000000001</v>
      </c>
      <c r="K38">
        <v>2.9529999999999998</v>
      </c>
      <c r="L38">
        <v>15600</v>
      </c>
      <c r="M38">
        <v>0</v>
      </c>
      <c r="N38">
        <v>363</v>
      </c>
      <c r="O38">
        <v>169</v>
      </c>
      <c r="P38">
        <v>30709</v>
      </c>
      <c r="Q38">
        <v>99995.902000000002</v>
      </c>
      <c r="R38">
        <v>2.0472666666666668</v>
      </c>
      <c r="S38">
        <v>116.95427134502924</v>
      </c>
      <c r="T38">
        <v>116.95427134502924</v>
      </c>
      <c r="U38">
        <v>2.0472700000000001</v>
      </c>
      <c r="V38">
        <v>855</v>
      </c>
      <c r="W38" t="str">
        <v>36811-FORCADES PEREZ JOSEP MARIA</v>
      </c>
    </row>
    <row r="39" spans="1:23" x14ac:dyDescent="0.25">
      <c r="A39" t="str">
        <v>2025-11-17</v>
      </c>
      <c r="B39" t="str">
        <v>36034-ALCOLEA MARTI, EFREN-L:028-N:2-A:A14-POLLO AMARILLO HEMBRAS</v>
      </c>
      <c r="C39" t="str">
        <v>POLLO AMARILLO HEMBRAS</v>
      </c>
      <c r="D39">
        <v>37620</v>
      </c>
      <c r="E39" t="str">
        <v>Broiler Amarillo</v>
      </c>
      <c r="F39">
        <v>52</v>
      </c>
      <c r="G39">
        <v>0</v>
      </c>
      <c r="H39" t="str">
        <v>Abierto</v>
      </c>
      <c r="I39">
        <v>2.964</v>
      </c>
      <c r="J39">
        <v>3.6200299999999999</v>
      </c>
      <c r="K39">
        <v>2.903</v>
      </c>
      <c r="L39">
        <v>37800</v>
      </c>
      <c r="M39">
        <v>0</v>
      </c>
      <c r="N39">
        <v>175</v>
      </c>
      <c r="O39">
        <v>234</v>
      </c>
      <c r="P39">
        <v>74995</v>
      </c>
      <c r="Q39">
        <v>243028.30499999999</v>
      </c>
      <c r="R39">
        <v>1.8748750000000001</v>
      </c>
      <c r="S39">
        <v>120.60958064516129</v>
      </c>
      <c r="T39">
        <v>120.60958064516129</v>
      </c>
      <c r="U39">
        <v>1.8748800000000001</v>
      </c>
      <c r="V39">
        <v>2015</v>
      </c>
      <c r="W39" t="str">
        <v>36034-ALCOLEA MARTI, EFREN</v>
      </c>
    </row>
    <row r="40" spans="1:23" x14ac:dyDescent="0.25">
      <c r="A40" t="str">
        <v>2025-11-17</v>
      </c>
      <c r="B40" t="str">
        <v>36308-CAL CASO SCP-L:147-N:1-A:A14-POLLO AMARILLO HEMBRAS</v>
      </c>
      <c r="C40" t="str">
        <v>POLLO AMARILLO HEMBRAS</v>
      </c>
      <c r="D40">
        <v>11483</v>
      </c>
      <c r="E40" t="str">
        <v>Broiler Amarillo</v>
      </c>
      <c r="F40">
        <v>53</v>
      </c>
      <c r="G40">
        <v>0</v>
      </c>
      <c r="H40" t="str">
        <v>Abierto</v>
      </c>
      <c r="I40">
        <v>2.9609999999999999</v>
      </c>
      <c r="J40">
        <v>2.9751500000000002</v>
      </c>
      <c r="K40">
        <v>2.9529999999999998</v>
      </c>
      <c r="L40">
        <v>11600</v>
      </c>
      <c r="M40">
        <v>0</v>
      </c>
      <c r="N40">
        <v>114</v>
      </c>
      <c r="O40">
        <v>181</v>
      </c>
      <c r="P40">
        <v>7247</v>
      </c>
      <c r="Q40">
        <v>20532.080999999998</v>
      </c>
      <c r="R40">
        <v>0.57976000000000005</v>
      </c>
      <c r="S40">
        <v>27.708611336032387</v>
      </c>
      <c r="T40">
        <v>27.708611336032387</v>
      </c>
      <c r="U40">
        <v>0.57976000000000005</v>
      </c>
      <c r="V40">
        <v>741</v>
      </c>
      <c r="W40" t="str">
        <v>36308-CAL CASO SCP</v>
      </c>
    </row>
    <row r="41" spans="1:23" x14ac:dyDescent="0.25">
      <c r="A41" t="str">
        <v>2025-11-17</v>
      </c>
      <c r="B41" t="str">
        <v>36811-FORCADES PEREZ JOSEP MARIA-L:076-N:1-A:A14-POLLO AMARILLO HEMBRAS</v>
      </c>
      <c r="C41" t="str">
        <v>POLLO AMARILLO HEMBRAS</v>
      </c>
      <c r="D41">
        <v>15519</v>
      </c>
      <c r="E41" t="str">
        <v>Broiler Amarillo</v>
      </c>
      <c r="F41">
        <v>53</v>
      </c>
      <c r="G41">
        <v>0</v>
      </c>
      <c r="H41" t="str">
        <v>Abierto</v>
      </c>
      <c r="I41">
        <v>2.9529999999999998</v>
      </c>
      <c r="J41">
        <v>2.9529999999999998</v>
      </c>
      <c r="K41">
        <v>2.9529999999999998</v>
      </c>
      <c r="L41">
        <v>15800</v>
      </c>
      <c r="M41">
        <v>0</v>
      </c>
      <c r="N41">
        <v>281</v>
      </c>
      <c r="O41">
        <v>281</v>
      </c>
      <c r="P41">
        <v>30653</v>
      </c>
      <c r="Q41">
        <v>99719.781000000003</v>
      </c>
      <c r="R41">
        <v>2.0435333333333334</v>
      </c>
      <c r="S41">
        <v>116.63132280701754</v>
      </c>
      <c r="T41">
        <v>116.63132280701754</v>
      </c>
      <c r="U41">
        <v>2.0435300000000001</v>
      </c>
      <c r="V41">
        <v>855</v>
      </c>
      <c r="W41" t="str">
        <v>36811-FORCADES PEREZ JOSEP MARIA</v>
      </c>
    </row>
    <row r="42" spans="1:23" x14ac:dyDescent="0.25">
      <c r="A42" t="str">
        <v>2025-11-17</v>
      </c>
      <c r="B42" t="str">
        <v>36863-GABANDE LOPEZ EVA - 2 (VERNET)-L:075-N:1-A:A14-POLLO AMARILLO HEMBRAS</v>
      </c>
      <c r="C42" t="str">
        <v>POLLO AMARILLO HEMBRAS</v>
      </c>
      <c r="D42">
        <v>11597</v>
      </c>
      <c r="E42" t="str">
        <v>Broiler Amarillo</v>
      </c>
      <c r="F42">
        <v>53</v>
      </c>
      <c r="G42">
        <v>0</v>
      </c>
      <c r="H42" t="str">
        <v>Abierto</v>
      </c>
      <c r="I42">
        <v>2.9529999999999998</v>
      </c>
      <c r="J42">
        <v>2.9529999999999998</v>
      </c>
      <c r="K42">
        <v>2.9529999999999998</v>
      </c>
      <c r="L42">
        <v>11800</v>
      </c>
      <c r="M42">
        <v>0</v>
      </c>
      <c r="N42">
        <v>203</v>
      </c>
      <c r="O42">
        <v>203</v>
      </c>
      <c r="P42">
        <v>23211</v>
      </c>
      <c r="Q42">
        <v>74860.099000000002</v>
      </c>
      <c r="R42">
        <v>1.9754042553191489</v>
      </c>
      <c r="S42">
        <v>95.974485897435898</v>
      </c>
      <c r="T42">
        <v>95.974485897435898</v>
      </c>
      <c r="U42">
        <v>1.9754</v>
      </c>
      <c r="V42">
        <v>780</v>
      </c>
      <c r="W42" t="str">
        <v>36863-GABANDE LOPEZ EVA - 2 (VERNET)</v>
      </c>
    </row>
    <row r="43" spans="1:23" x14ac:dyDescent="0.25">
      <c r="A43" t="str">
        <v>2025-11-17</v>
      </c>
      <c r="B43" t="str">
        <v>36589-PELEGRI-L:144-N:3-A:A14-POLLO AMARILLO HEMBRAS</v>
      </c>
      <c r="C43" t="str">
        <v>POLLO AMARILLO HEMBRAS</v>
      </c>
      <c r="D43">
        <v>20667</v>
      </c>
      <c r="E43" t="str">
        <v>Broiler Amarillo</v>
      </c>
      <c r="F43">
        <v>49</v>
      </c>
      <c r="G43">
        <v>0</v>
      </c>
      <c r="H43" t="str">
        <v>Abierto</v>
      </c>
      <c r="I43">
        <v>2.9390000000000001</v>
      </c>
      <c r="J43">
        <v>3.10229</v>
      </c>
      <c r="K43">
        <v>2.7410000000000001</v>
      </c>
      <c r="L43">
        <v>20800</v>
      </c>
      <c r="M43">
        <v>0</v>
      </c>
      <c r="N43">
        <v>130</v>
      </c>
      <c r="O43">
        <v>185</v>
      </c>
      <c r="P43">
        <v>41739</v>
      </c>
      <c r="Q43">
        <v>133796.93700000001</v>
      </c>
      <c r="R43">
        <v>3.7300268096514744</v>
      </c>
      <c r="S43">
        <v>206.47675462962962</v>
      </c>
      <c r="T43">
        <v>206.47675462962962</v>
      </c>
      <c r="U43">
        <v>3.7300300000000002</v>
      </c>
      <c r="V43">
        <v>648</v>
      </c>
      <c r="W43" t="str">
        <v>36589-PELEGRI</v>
      </c>
    </row>
    <row r="44" spans="1:23" x14ac:dyDescent="0.25">
      <c r="A44" t="str">
        <v>2025-11-17</v>
      </c>
      <c r="B44" t="str">
        <v>36589-PELEGRI-L:144-N:4-A:A14-POLLO AMARILLO HEMBRAS</v>
      </c>
      <c r="C44" t="str">
        <v>POLLO AMARILLO HEMBRAS</v>
      </c>
      <c r="D44">
        <v>21037</v>
      </c>
      <c r="E44" t="str">
        <v>Broiler Amarillo</v>
      </c>
      <c r="F44">
        <v>49</v>
      </c>
      <c r="G44">
        <v>0</v>
      </c>
      <c r="H44" t="str">
        <v>Abierto</v>
      </c>
      <c r="I44">
        <v>2.9390000000000001</v>
      </c>
      <c r="J44">
        <v>3.10229</v>
      </c>
      <c r="K44">
        <v>2.7410000000000001</v>
      </c>
      <c r="L44">
        <v>21200</v>
      </c>
      <c r="M44">
        <v>0</v>
      </c>
      <c r="N44">
        <v>160</v>
      </c>
      <c r="O44">
        <v>188</v>
      </c>
      <c r="P44">
        <v>41664</v>
      </c>
      <c r="Q44">
        <v>133341.552</v>
      </c>
      <c r="R44">
        <v>3.723324396782842</v>
      </c>
      <c r="S44">
        <v>205.774</v>
      </c>
      <c r="T44">
        <v>205.774</v>
      </c>
      <c r="U44">
        <v>3.7233200000000002</v>
      </c>
      <c r="V44">
        <v>648</v>
      </c>
      <c r="W44" t="str">
        <v>36589-PELEGRI</v>
      </c>
    </row>
    <row r="45" spans="1:23" x14ac:dyDescent="0.25">
      <c r="A45" t="str">
        <v>2025-11-17</v>
      </c>
      <c r="B45" t="str">
        <v>36589-PELEGRI-L:144-N:2-A:A14-POLLO AMARILLO HEMBRAS</v>
      </c>
      <c r="C45" t="str">
        <v>POLLO AMARILLO HEMBRAS</v>
      </c>
      <c r="D45">
        <v>29827</v>
      </c>
      <c r="E45" t="str">
        <v>Broiler Amarillo</v>
      </c>
      <c r="F45">
        <v>49</v>
      </c>
      <c r="G45">
        <v>0</v>
      </c>
      <c r="H45" t="str">
        <v>Abierto</v>
      </c>
      <c r="I45">
        <v>2.9390000000000001</v>
      </c>
      <c r="J45">
        <v>3.10229</v>
      </c>
      <c r="K45">
        <v>2.7410000000000001</v>
      </c>
      <c r="L45">
        <v>30000</v>
      </c>
      <c r="M45">
        <v>0</v>
      </c>
      <c r="N45">
        <v>170</v>
      </c>
      <c r="O45">
        <v>274</v>
      </c>
      <c r="P45">
        <v>59654</v>
      </c>
      <c r="Q45">
        <v>191071.76199999999</v>
      </c>
      <c r="R45">
        <v>3.8387387387387388</v>
      </c>
      <c r="S45">
        <v>212.30195777777777</v>
      </c>
      <c r="T45">
        <v>212.30195777777777</v>
      </c>
      <c r="U45">
        <v>3.83874</v>
      </c>
      <c r="V45">
        <v>900</v>
      </c>
      <c r="W45" t="str">
        <v>36589-PELEGRI</v>
      </c>
    </row>
    <row r="46" spans="1:23" x14ac:dyDescent="0.25">
      <c r="A46" t="str">
        <v>2025-11-17</v>
      </c>
      <c r="B46" t="str">
        <v>36589-PELEGRI-L:144-N:1-A:A14-POLLO AMARILLO HEMBRAS</v>
      </c>
      <c r="C46" t="str">
        <v>POLLO AMARILLO HEMBRAS</v>
      </c>
      <c r="D46">
        <v>29847</v>
      </c>
      <c r="E46" t="str">
        <v>Broiler Amarillo</v>
      </c>
      <c r="F46">
        <v>49</v>
      </c>
      <c r="G46">
        <v>0</v>
      </c>
      <c r="H46" t="str">
        <v>Abierto</v>
      </c>
      <c r="I46">
        <v>2.9390000000000001</v>
      </c>
      <c r="J46">
        <v>3.10229</v>
      </c>
      <c r="K46">
        <v>2.7410000000000001</v>
      </c>
      <c r="L46">
        <v>30000</v>
      </c>
      <c r="M46">
        <v>0</v>
      </c>
      <c r="N46">
        <v>150</v>
      </c>
      <c r="O46">
        <v>274</v>
      </c>
      <c r="P46">
        <v>59694</v>
      </c>
      <c r="Q46">
        <v>191199.88200000001</v>
      </c>
      <c r="R46">
        <v>3.8413127413127413</v>
      </c>
      <c r="S46">
        <v>212.44431333333333</v>
      </c>
      <c r="T46">
        <v>212.44431333333333</v>
      </c>
      <c r="U46">
        <v>3.84131</v>
      </c>
      <c r="V46">
        <v>900</v>
      </c>
      <c r="W46" t="str">
        <v>36589-PELEGRI</v>
      </c>
    </row>
    <row r="47" spans="1:23" x14ac:dyDescent="0.25">
      <c r="A47" t="str">
        <v>2025-11-17</v>
      </c>
      <c r="B47" t="str">
        <v>36589-PELEGRI-L:144-N:5-A:A14-POLLO AMARILLO HEMBRAS</v>
      </c>
      <c r="C47" t="str">
        <v>POLLO AMARILLO HEMBRAS</v>
      </c>
      <c r="D47">
        <v>25827</v>
      </c>
      <c r="E47" t="str">
        <v>Broiler Amarillo</v>
      </c>
      <c r="F47">
        <v>49</v>
      </c>
      <c r="G47">
        <v>0</v>
      </c>
      <c r="H47" t="str">
        <v>Abierto</v>
      </c>
      <c r="I47">
        <v>2.9390000000000001</v>
      </c>
      <c r="J47">
        <v>3.10229</v>
      </c>
      <c r="K47">
        <v>2.7410000000000001</v>
      </c>
      <c r="L47">
        <v>26000</v>
      </c>
      <c r="M47">
        <v>0</v>
      </c>
      <c r="N47">
        <v>170</v>
      </c>
      <c r="O47">
        <v>219</v>
      </c>
      <c r="P47">
        <v>51654</v>
      </c>
      <c r="Q47">
        <v>165447.76199999999</v>
      </c>
      <c r="R47">
        <v>3.8149187592319054</v>
      </c>
      <c r="S47">
        <v>211.03030867346939</v>
      </c>
      <c r="T47">
        <v>211.03030867346939</v>
      </c>
      <c r="U47">
        <v>3.8149199999999999</v>
      </c>
      <c r="V47">
        <v>784</v>
      </c>
      <c r="W47" t="str">
        <v>36589-PELEGRI</v>
      </c>
    </row>
    <row r="48" spans="1:23" x14ac:dyDescent="0.25">
      <c r="A48" t="str">
        <v>2025-11-17</v>
      </c>
      <c r="B48" t="str">
        <v>36588-PELEGRI SCP (Ns 6,7)-L:063-N:6-A:A14-POLLO AMARILLO HEMBRAS</v>
      </c>
      <c r="C48" t="str">
        <v>POLLO AMARILLO HEMBRAS</v>
      </c>
      <c r="D48">
        <v>53697</v>
      </c>
      <c r="E48" t="str">
        <v>Broiler Amarillo</v>
      </c>
      <c r="F48">
        <v>49</v>
      </c>
      <c r="G48">
        <v>0</v>
      </c>
      <c r="H48" t="str">
        <v>Abierto</v>
      </c>
      <c r="I48">
        <v>2.9390000000000001</v>
      </c>
      <c r="J48">
        <v>3.10229</v>
      </c>
      <c r="K48">
        <v>2.7410000000000001</v>
      </c>
      <c r="L48">
        <v>54000</v>
      </c>
      <c r="M48">
        <v>0</v>
      </c>
      <c r="N48">
        <v>300</v>
      </c>
      <c r="O48">
        <v>325</v>
      </c>
      <c r="P48">
        <v>107377</v>
      </c>
      <c r="Q48">
        <v>343924.04300000001</v>
      </c>
      <c r="R48">
        <v>3.9769259259259258</v>
      </c>
      <c r="S48">
        <v>229.28269533333332</v>
      </c>
      <c r="T48">
        <v>229.28269533333332</v>
      </c>
      <c r="U48">
        <v>3.9769299999999999</v>
      </c>
      <c r="V48">
        <v>1500</v>
      </c>
      <c r="W48" t="str">
        <v>36588-PELEGRI SCP (Ns 6,7)</v>
      </c>
    </row>
    <row r="49" spans="1:23" x14ac:dyDescent="0.25">
      <c r="A49" t="str">
        <v>2025-11-17</v>
      </c>
      <c r="B49" t="str">
        <v>36588-PELEGRI SCP (Ns 6,7)-L:063-N:7-A:A14-POLLO AMARILLO HEMBRAS</v>
      </c>
      <c r="C49" t="str">
        <v>POLLO AMARILLO HEMBRAS</v>
      </c>
      <c r="D49">
        <v>53747</v>
      </c>
      <c r="E49" t="str">
        <v>Broiler Amarillo</v>
      </c>
      <c r="F49">
        <v>49</v>
      </c>
      <c r="G49">
        <v>0</v>
      </c>
      <c r="H49" t="str">
        <v>Abierto</v>
      </c>
      <c r="I49">
        <v>2.9390000000000001</v>
      </c>
      <c r="J49">
        <v>3.10229</v>
      </c>
      <c r="K49">
        <v>2.7410000000000001</v>
      </c>
      <c r="L49">
        <v>54000</v>
      </c>
      <c r="M49">
        <v>0</v>
      </c>
      <c r="N49">
        <v>250</v>
      </c>
      <c r="O49">
        <v>481</v>
      </c>
      <c r="P49">
        <v>107464</v>
      </c>
      <c r="Q49">
        <v>344199.272</v>
      </c>
      <c r="R49">
        <v>3.9801481481481482</v>
      </c>
      <c r="S49">
        <v>229.46618133333334</v>
      </c>
      <c r="T49">
        <v>229.46618133333334</v>
      </c>
      <c r="U49">
        <v>3.9801500000000001</v>
      </c>
      <c r="V49">
        <v>1500</v>
      </c>
      <c r="W49" t="str">
        <v>36588-PELEGRI SCP (Ns 6,7)</v>
      </c>
    </row>
    <row r="50" spans="1:23" x14ac:dyDescent="0.25">
      <c r="A50" t="str">
        <v>2025-11-17</v>
      </c>
      <c r="B50" t="str">
        <v>36978-CORAL SANTACANA SLU-L:036-N:2-A:A14-POLLO AMARILLO HEMBRAS</v>
      </c>
      <c r="C50" t="str">
        <v>POLLO AMARILLO HEMBRAS</v>
      </c>
      <c r="D50">
        <v>17633</v>
      </c>
      <c r="E50" t="str">
        <v>Broiler Amarillo</v>
      </c>
      <c r="F50">
        <v>52</v>
      </c>
      <c r="G50">
        <v>0</v>
      </c>
      <c r="H50" t="str">
        <v>Abierto</v>
      </c>
      <c r="I50">
        <v>2.9380000000000002</v>
      </c>
      <c r="J50">
        <v>3.3755700000000002</v>
      </c>
      <c r="K50">
        <v>2.903</v>
      </c>
      <c r="L50">
        <v>17800</v>
      </c>
      <c r="M50">
        <v>0</v>
      </c>
      <c r="N50">
        <v>167</v>
      </c>
      <c r="O50">
        <v>307</v>
      </c>
      <c r="P50">
        <v>34533</v>
      </c>
      <c r="Q50">
        <v>110296.65399999999</v>
      </c>
      <c r="R50">
        <v>2.0888579724171303</v>
      </c>
      <c r="S50">
        <v>119.36867316017316</v>
      </c>
      <c r="T50">
        <v>119.36867316017316</v>
      </c>
      <c r="U50">
        <v>2.0888599999999999</v>
      </c>
      <c r="V50">
        <v>924</v>
      </c>
      <c r="W50" t="str">
        <v>36978-CORAL SANTACANA SLU</v>
      </c>
    </row>
    <row r="51" spans="1:23" x14ac:dyDescent="0.25">
      <c r="A51" t="str">
        <v>2025-11-17</v>
      </c>
      <c r="B51" t="str">
        <v>36978-CORAL SANTACANA SLU-L:036-N:1-A:A14-POLLO AMARILLO HEMBRAS</v>
      </c>
      <c r="C51" t="str">
        <v>POLLO AMARILLO HEMBRAS</v>
      </c>
      <c r="D51">
        <v>13487</v>
      </c>
      <c r="E51" t="str">
        <v>Broiler Amarillo</v>
      </c>
      <c r="F51">
        <v>52</v>
      </c>
      <c r="G51">
        <v>0</v>
      </c>
      <c r="H51" t="str">
        <v>Abierto</v>
      </c>
      <c r="I51">
        <v>2.9380000000000002</v>
      </c>
      <c r="J51">
        <v>3.3755700000000002</v>
      </c>
      <c r="K51">
        <v>2.903</v>
      </c>
      <c r="L51">
        <v>13600</v>
      </c>
      <c r="M51">
        <v>0</v>
      </c>
      <c r="N51">
        <v>113</v>
      </c>
      <c r="O51">
        <v>231</v>
      </c>
      <c r="P51">
        <v>26574</v>
      </c>
      <c r="Q51">
        <v>85481.653999999995</v>
      </c>
      <c r="R51">
        <v>2.120830007980846</v>
      </c>
      <c r="S51">
        <v>122.11664857142857</v>
      </c>
      <c r="T51">
        <v>122.11664857142857</v>
      </c>
      <c r="U51">
        <v>2.1208300000000002</v>
      </c>
      <c r="V51">
        <v>700</v>
      </c>
      <c r="W51" t="str">
        <v>36978-CORAL SANTACANA SLU</v>
      </c>
    </row>
    <row r="52" spans="1:23" x14ac:dyDescent="0.25">
      <c r="A52" t="str">
        <v>2025-11-17</v>
      </c>
      <c r="B52" t="str">
        <v>36731-BLASI INGLA JAUME-L:121-N:1-A:A14-POLLO AMARILLO HEMBRAS</v>
      </c>
      <c r="C52" t="str">
        <v>POLLO AMARILLO HEMBRAS</v>
      </c>
      <c r="D52">
        <v>23447</v>
      </c>
      <c r="E52" t="str">
        <v>Broiler Amarillo</v>
      </c>
      <c r="F52">
        <v>52</v>
      </c>
      <c r="G52">
        <v>0</v>
      </c>
      <c r="H52" t="str">
        <v>Abierto</v>
      </c>
      <c r="I52">
        <v>2.9340000000000002</v>
      </c>
      <c r="J52">
        <v>2.95757</v>
      </c>
      <c r="K52">
        <v>2.903</v>
      </c>
      <c r="L52">
        <v>23800</v>
      </c>
      <c r="M52">
        <v>0</v>
      </c>
      <c r="N52">
        <v>350</v>
      </c>
      <c r="O52">
        <v>412</v>
      </c>
      <c r="P52">
        <v>46494</v>
      </c>
      <c r="Q52">
        <v>150564.25399999999</v>
      </c>
      <c r="R52">
        <v>1.8597600000000001</v>
      </c>
      <c r="S52">
        <v>105.43715266106443</v>
      </c>
      <c r="T52">
        <v>105.43715266106443</v>
      </c>
      <c r="U52">
        <v>1.8597600000000001</v>
      </c>
      <c r="V52">
        <v>1428</v>
      </c>
      <c r="W52" t="str">
        <v>36731-BLASI INGLA JAUME</v>
      </c>
    </row>
    <row r="53" spans="1:23" x14ac:dyDescent="0.25">
      <c r="A53" t="str">
        <v>2025-11-17</v>
      </c>
      <c r="B53" t="str">
        <v>36789-GABANDE LOPEZ EVA-1 (ALENTORN)-L:085-N:2-A:A14-POLLO AMARILLO HEMBRAS</v>
      </c>
      <c r="C53" t="str">
        <v>POLLO AMARILLO HEMBRAS</v>
      </c>
      <c r="D53">
        <v>8837</v>
      </c>
      <c r="E53" t="str">
        <v>Broiler Amarillo</v>
      </c>
      <c r="F53">
        <v>52</v>
      </c>
      <c r="G53">
        <v>0</v>
      </c>
      <c r="H53" t="str">
        <v>Abierto</v>
      </c>
      <c r="I53">
        <v>2.9039999999999999</v>
      </c>
      <c r="J53">
        <v>2.9047299999999998</v>
      </c>
      <c r="K53">
        <v>2.903</v>
      </c>
      <c r="L53">
        <v>9000</v>
      </c>
      <c r="M53">
        <v>0</v>
      </c>
      <c r="N53">
        <v>160</v>
      </c>
      <c r="O53">
        <v>96</v>
      </c>
      <c r="P53">
        <v>17274</v>
      </c>
      <c r="Q53">
        <v>55175.273999999998</v>
      </c>
      <c r="R53">
        <v>2.1592500000000001</v>
      </c>
      <c r="S53">
        <v>103.71292105263159</v>
      </c>
      <c r="T53">
        <v>103.71292105263159</v>
      </c>
      <c r="U53">
        <v>2.1592500000000001</v>
      </c>
      <c r="V53">
        <v>532</v>
      </c>
      <c r="W53" t="str">
        <v>36789-GABANDE LOPEZ EVA-1 (ALENTORN)</v>
      </c>
    </row>
    <row r="54" spans="1:23" x14ac:dyDescent="0.25">
      <c r="A54" t="str">
        <v>2025-11-17</v>
      </c>
      <c r="B54" t="str">
        <v>36978-CORAL SANTACANA SLU-L:036-N:3-A:A14-POLLO AMARILLO HEMBRAS</v>
      </c>
      <c r="C54" t="str">
        <v>POLLO AMARILLO HEMBRAS</v>
      </c>
      <c r="D54">
        <v>21415</v>
      </c>
      <c r="E54" t="str">
        <v>Broiler Amarillo</v>
      </c>
      <c r="F54">
        <v>52</v>
      </c>
      <c r="G54">
        <v>0</v>
      </c>
      <c r="H54" t="str">
        <v>Abierto</v>
      </c>
      <c r="I54">
        <v>2.903</v>
      </c>
      <c r="J54">
        <v>2.903</v>
      </c>
      <c r="K54">
        <v>2.903</v>
      </c>
      <c r="L54">
        <v>21800</v>
      </c>
      <c r="M54">
        <v>0</v>
      </c>
      <c r="N54">
        <v>385</v>
      </c>
      <c r="O54">
        <v>385</v>
      </c>
      <c r="P54">
        <v>42665</v>
      </c>
      <c r="Q54">
        <v>136308.995</v>
      </c>
      <c r="R54">
        <v>2.0621072982116964</v>
      </c>
      <c r="S54">
        <v>117.91435553633218</v>
      </c>
      <c r="T54">
        <v>117.91435553633218</v>
      </c>
      <c r="U54">
        <v>2.0621100000000001</v>
      </c>
      <c r="V54">
        <v>1156</v>
      </c>
      <c r="W54" t="str">
        <v>36978-CORAL SANTACANA SLU</v>
      </c>
    </row>
    <row r="55" spans="1:23" x14ac:dyDescent="0.25">
      <c r="A55" t="str">
        <v>2025-11-17</v>
      </c>
      <c r="B55" t="str">
        <v>36789-GABANDE LOPEZ EVA-1 (ALENTORN)-L:085-N:1-A:A14-POLLO AMARILLO HEMBRAS</v>
      </c>
      <c r="C55" t="str">
        <v>POLLO AMARILLO HEMBRAS</v>
      </c>
      <c r="D55">
        <v>8634</v>
      </c>
      <c r="E55" t="str">
        <v>Broiler Amarillo</v>
      </c>
      <c r="F55">
        <v>52</v>
      </c>
      <c r="G55">
        <v>0</v>
      </c>
      <c r="H55" t="str">
        <v>Abierto</v>
      </c>
      <c r="I55">
        <v>2.903</v>
      </c>
      <c r="J55">
        <v>2.903</v>
      </c>
      <c r="K55">
        <v>2.903</v>
      </c>
      <c r="L55">
        <v>8800</v>
      </c>
      <c r="M55">
        <v>0</v>
      </c>
      <c r="N55">
        <v>166</v>
      </c>
      <c r="O55">
        <v>166</v>
      </c>
      <c r="P55">
        <v>17022</v>
      </c>
      <c r="Q55">
        <v>54514.77</v>
      </c>
      <c r="R55">
        <v>2.1277499999999998</v>
      </c>
      <c r="S55">
        <v>102.47137218045113</v>
      </c>
      <c r="T55">
        <v>102.47137218045113</v>
      </c>
      <c r="U55">
        <v>2.1277499999999998</v>
      </c>
      <c r="V55">
        <v>532</v>
      </c>
      <c r="W55" t="str">
        <v>36789-GABANDE LOPEZ EVA-1 (ALENTORN)</v>
      </c>
    </row>
    <row r="56" spans="1:23" x14ac:dyDescent="0.25">
      <c r="A56" t="str">
        <v>2025-11-17</v>
      </c>
      <c r="B56" t="str">
        <v>36733-BOIX LLOP SC- 3-L:078-N:2-A:A15-POLLO AMARILLO MIXTO</v>
      </c>
      <c r="C56" t="str">
        <v>POLLO AMARILLO MIXTO</v>
      </c>
      <c r="D56">
        <v>42972</v>
      </c>
      <c r="E56" t="str">
        <v>Broiler Amarillo</v>
      </c>
      <c r="F56">
        <v>45</v>
      </c>
      <c r="G56">
        <v>0</v>
      </c>
      <c r="H56" t="str">
        <v>Abierto</v>
      </c>
      <c r="I56">
        <v>2.8730000000000002</v>
      </c>
      <c r="J56">
        <v>2.9843899999999999</v>
      </c>
      <c r="K56">
        <v>2.7149999999999999</v>
      </c>
      <c r="L56">
        <v>43700</v>
      </c>
      <c r="M56">
        <v>0</v>
      </c>
      <c r="N56">
        <v>722</v>
      </c>
      <c r="O56">
        <v>485</v>
      </c>
      <c r="P56">
        <v>42972</v>
      </c>
      <c r="Q56">
        <v>123458.556</v>
      </c>
      <c r="R56">
        <v>1.780115990057995</v>
      </c>
      <c r="S56">
        <v>102.88213</v>
      </c>
      <c r="T56">
        <v>102.88213</v>
      </c>
      <c r="U56">
        <v>1.7801199999999999</v>
      </c>
      <c r="V56">
        <v>1200</v>
      </c>
      <c r="W56" t="str">
        <v>36733-BOIX LLOP SC- 3</v>
      </c>
    </row>
    <row r="57" spans="1:23" x14ac:dyDescent="0.25">
      <c r="A57" t="str">
        <v>2025-11-17</v>
      </c>
      <c r="B57" t="str">
        <v>36733-BOIX LLOP SC- 3-L:078-N:3-A:A14-POLLO AMARILLO HEMBRAS</v>
      </c>
      <c r="C57" t="str">
        <v>POLLO AMARILLO HEMBRAS</v>
      </c>
      <c r="D57">
        <v>21398</v>
      </c>
      <c r="E57" t="str">
        <v>Broiler Amarillo</v>
      </c>
      <c r="F57">
        <v>45</v>
      </c>
      <c r="G57">
        <v>0</v>
      </c>
      <c r="H57" t="str">
        <v>Abierto</v>
      </c>
      <c r="I57">
        <v>2.7959999999999998</v>
      </c>
      <c r="J57">
        <v>2.9935800000000001</v>
      </c>
      <c r="K57">
        <v>2.4980000000000002</v>
      </c>
      <c r="L57">
        <v>21800</v>
      </c>
      <c r="M57">
        <v>0</v>
      </c>
      <c r="N57">
        <v>394</v>
      </c>
      <c r="O57">
        <v>300</v>
      </c>
      <c r="P57">
        <v>42799</v>
      </c>
      <c r="Q57">
        <v>126685.53200000001</v>
      </c>
      <c r="R57">
        <v>1.9704880294659299</v>
      </c>
      <c r="S57">
        <v>117.30141851851852</v>
      </c>
      <c r="T57">
        <v>117.30141851851852</v>
      </c>
      <c r="U57">
        <v>1.9704900000000001</v>
      </c>
      <c r="V57">
        <v>1080</v>
      </c>
      <c r="W57" t="str">
        <v>36733-BOIX LLOP SC- 3</v>
      </c>
    </row>
    <row r="58" spans="1:23" x14ac:dyDescent="0.25">
      <c r="A58" t="str">
        <v>2025-11-17</v>
      </c>
      <c r="B58" t="str">
        <v>36666-PONS FAURA SCP-L:144-N:1-A:A14-POLLO AMARILLO HEMBRAS</v>
      </c>
      <c r="C58" t="str">
        <v>POLLO AMARILLO HEMBRAS</v>
      </c>
      <c r="D58">
        <v>37148</v>
      </c>
      <c r="E58" t="str">
        <v>Broiler Amarillo</v>
      </c>
      <c r="F58">
        <v>48</v>
      </c>
      <c r="G58">
        <v>0</v>
      </c>
      <c r="H58" t="str">
        <v>Abierto</v>
      </c>
      <c r="I58">
        <v>2.7389999999999999</v>
      </c>
      <c r="J58">
        <v>2.7999900000000002</v>
      </c>
      <c r="K58">
        <v>2.6829999999999998</v>
      </c>
      <c r="L58">
        <v>37500</v>
      </c>
      <c r="M58">
        <v>0</v>
      </c>
      <c r="N58">
        <v>349</v>
      </c>
      <c r="O58">
        <v>431</v>
      </c>
      <c r="P58">
        <v>74613</v>
      </c>
      <c r="Q58">
        <v>225907.38200000001</v>
      </c>
      <c r="R58">
        <v>3.1088749999999998</v>
      </c>
      <c r="S58">
        <v>159.53911158192091</v>
      </c>
      <c r="T58">
        <v>159.53911158192091</v>
      </c>
      <c r="U58">
        <v>3.1088800000000001</v>
      </c>
      <c r="V58">
        <v>1416</v>
      </c>
      <c r="W58" t="str">
        <v>36666-PONS FAURA SCP</v>
      </c>
    </row>
    <row r="59" spans="1:23" x14ac:dyDescent="0.25">
      <c r="A59" t="str">
        <v>2025-11-17</v>
      </c>
      <c r="B59" t="str">
        <v>36811-FORCADES PEREZ JOSEP MARIA-L:076-N:5-A:A14-POLLO AMARILLO HEMBRAS</v>
      </c>
      <c r="C59" t="str">
        <v>POLLO AMARILLO HEMBRAS</v>
      </c>
      <c r="D59">
        <v>-5704</v>
      </c>
      <c r="E59" t="str">
        <v>Broiler Amarillo</v>
      </c>
      <c r="F59">
        <v>53</v>
      </c>
      <c r="G59">
        <v>0</v>
      </c>
      <c r="H59" t="str">
        <v>Abierto</v>
      </c>
      <c r="I59">
        <v>2.7233499999999999</v>
      </c>
      <c r="J59">
        <v>2.5417100000000001</v>
      </c>
      <c r="K59">
        <v>2.9529999999999998</v>
      </c>
      <c r="L59">
        <v>26400</v>
      </c>
      <c r="M59">
        <v>-31635</v>
      </c>
      <c r="N59">
        <v>469</v>
      </c>
      <c r="O59">
        <v>469</v>
      </c>
      <c r="P59">
        <v>19613</v>
      </c>
      <c r="Q59">
        <v>78366.764999999999</v>
      </c>
      <c r="R59">
        <v>0.78452</v>
      </c>
      <c r="S59">
        <v>53.823327609890107</v>
      </c>
      <c r="T59">
        <v>53.823327609890107</v>
      </c>
      <c r="U59">
        <v>0.78452</v>
      </c>
      <c r="V59">
        <v>1456</v>
      </c>
      <c r="W59" t="str">
        <v>36811-FORCADES PEREZ JOSEP MARIA</v>
      </c>
    </row>
    <row r="60" spans="1:23" x14ac:dyDescent="0.25">
      <c r="A60" t="str">
        <v>2025-11-17</v>
      </c>
      <c r="B60" t="str">
        <v>36733-BOIX LLOP SC- 3-L:078-N:1-A:A14-POLLO AMARILLO HEMBRAS</v>
      </c>
      <c r="C60" t="str">
        <v>POLLO AMARILLO HEMBRAS</v>
      </c>
      <c r="D60">
        <v>22200</v>
      </c>
      <c r="E60" t="str">
        <v>Broiler Amarillo</v>
      </c>
      <c r="F60">
        <v>45</v>
      </c>
      <c r="G60">
        <v>0</v>
      </c>
      <c r="H60" t="str">
        <v>Abierto</v>
      </c>
      <c r="I60">
        <v>2.6960000000000002</v>
      </c>
      <c r="J60">
        <v>2.8272699999999999</v>
      </c>
      <c r="K60">
        <v>2.4980000000000002</v>
      </c>
      <c r="L60">
        <v>22600</v>
      </c>
      <c r="M60">
        <v>0</v>
      </c>
      <c r="N60">
        <v>400</v>
      </c>
      <c r="O60">
        <v>400</v>
      </c>
      <c r="P60">
        <v>42707</v>
      </c>
      <c r="Q60">
        <v>122418.057</v>
      </c>
      <c r="R60">
        <v>1.7691383595691799</v>
      </c>
      <c r="S60">
        <v>102.01504749999999</v>
      </c>
      <c r="T60">
        <v>102.01504749999999</v>
      </c>
      <c r="U60">
        <v>1.7691399999999999</v>
      </c>
      <c r="V60">
        <v>1200</v>
      </c>
      <c r="W60" t="str">
        <v>36733-BOIX LLOP SC- 3</v>
      </c>
    </row>
    <row r="61" spans="1:23" x14ac:dyDescent="0.25">
      <c r="A61" t="str">
        <v>2025-11-17</v>
      </c>
      <c r="B61" t="str">
        <v>36033-ORONICH BONET SCP-L:030-N:1-A:A14-POLLO AMARILLO HEMBRAS</v>
      </c>
      <c r="C61" t="str">
        <v>POLLO AMARILLO HEMBRAS</v>
      </c>
      <c r="D61">
        <v>56325</v>
      </c>
      <c r="E61" t="str">
        <v>Broiler Amarillo</v>
      </c>
      <c r="F61">
        <v>48</v>
      </c>
      <c r="G61">
        <v>0</v>
      </c>
      <c r="H61" t="str">
        <v>Abierto</v>
      </c>
      <c r="I61">
        <v>2.6829999999999998</v>
      </c>
      <c r="J61">
        <v>2.6829999999999998</v>
      </c>
      <c r="K61">
        <v>2.6829999999999998</v>
      </c>
      <c r="L61">
        <v>57000</v>
      </c>
      <c r="M61">
        <v>0</v>
      </c>
      <c r="N61">
        <v>675</v>
      </c>
      <c r="O61">
        <v>675</v>
      </c>
      <c r="P61">
        <v>110891</v>
      </c>
      <c r="Q61">
        <v>324257.89299999998</v>
      </c>
      <c r="R61">
        <v>3.0803055555555554</v>
      </c>
      <c r="S61">
        <v>157.86654965920155</v>
      </c>
      <c r="T61">
        <v>157.86654965920155</v>
      </c>
      <c r="U61">
        <v>3.0803099999999999</v>
      </c>
      <c r="V61">
        <v>2054</v>
      </c>
      <c r="W61" t="str">
        <v>36033-ORONICH BONET SCP</v>
      </c>
    </row>
    <row r="62" spans="1:23" x14ac:dyDescent="0.25">
      <c r="A62" t="str">
        <v>2025-11-17</v>
      </c>
      <c r="B62" t="str">
        <v>36926-AVICOLA GUIM SCP-L:045-N:1-A:A13-POLLO AMARILLO MACHO</v>
      </c>
      <c r="C62" t="str">
        <v>POLLO AMARILLO MACHO</v>
      </c>
      <c r="D62">
        <v>27900</v>
      </c>
      <c r="E62" t="str">
        <v>Broiler Amarillo</v>
      </c>
      <c r="F62">
        <v>42</v>
      </c>
      <c r="G62">
        <v>0</v>
      </c>
      <c r="H62" t="str">
        <v>Abierto</v>
      </c>
      <c r="I62">
        <v>2.6760000000000002</v>
      </c>
      <c r="J62">
        <v>2.6760000000000002</v>
      </c>
      <c r="K62">
        <v>2.6760000000000002</v>
      </c>
      <c r="L62">
        <v>28400</v>
      </c>
      <c r="M62">
        <v>0</v>
      </c>
      <c r="N62">
        <v>500</v>
      </c>
      <c r="O62">
        <v>500</v>
      </c>
      <c r="P62">
        <v>56000</v>
      </c>
      <c r="Q62">
        <v>139206.1</v>
      </c>
      <c r="R62">
        <v>1.6</v>
      </c>
      <c r="S62">
        <v>81.885941176470581</v>
      </c>
      <c r="T62">
        <v>81.885941176470581</v>
      </c>
      <c r="U62">
        <v>1.6</v>
      </c>
      <c r="V62">
        <v>1700</v>
      </c>
      <c r="W62" t="str">
        <v>36926-AVICOLA GUIM SCP</v>
      </c>
    </row>
    <row r="63" spans="1:23" x14ac:dyDescent="0.25">
      <c r="A63" t="str">
        <v>2025-11-17</v>
      </c>
      <c r="B63" t="str">
        <v>36011-RAMADERIA FERPRATS- J FDZ - 1-L:030-N:5-A:A13-POLLO AMARILLO MACHO</v>
      </c>
      <c r="C63" t="str">
        <v>POLLO AMARILLO MACHO</v>
      </c>
      <c r="D63">
        <v>18675</v>
      </c>
      <c r="E63" t="str">
        <v>Broiler Amarillo</v>
      </c>
      <c r="F63">
        <v>42</v>
      </c>
      <c r="G63">
        <v>0</v>
      </c>
      <c r="H63" t="str">
        <v>Abierto</v>
      </c>
      <c r="I63">
        <v>2.6760000000000002</v>
      </c>
      <c r="J63">
        <v>2.6760000000000002</v>
      </c>
      <c r="K63">
        <v>2.6760000000000002</v>
      </c>
      <c r="L63">
        <v>19000</v>
      </c>
      <c r="M63">
        <v>0</v>
      </c>
      <c r="N63">
        <v>325</v>
      </c>
      <c r="O63">
        <v>325</v>
      </c>
      <c r="P63">
        <v>37350</v>
      </c>
      <c r="Q63">
        <v>92870.774999999994</v>
      </c>
      <c r="R63">
        <v>2.1155480033984708</v>
      </c>
      <c r="S63">
        <v>81.465592105263156</v>
      </c>
      <c r="T63">
        <v>81.465592105263156</v>
      </c>
      <c r="U63">
        <v>2.1155499999999998</v>
      </c>
      <c r="V63">
        <v>1140</v>
      </c>
      <c r="W63" t="str">
        <v>36011-RAMADERIA FERPRATS- J FDZ - 1</v>
      </c>
    </row>
    <row r="64" spans="1:23" x14ac:dyDescent="0.25">
      <c r="A64" t="str">
        <v>2025-11-17</v>
      </c>
      <c r="B64" t="str">
        <v>36011-RAMADERIA FERPRATS- J FDZ - 1-L:030-N:6-A:A13-POLLO AMARILLO MACHO</v>
      </c>
      <c r="C64" t="str">
        <v>POLLO AMARILLO MACHO</v>
      </c>
      <c r="D64">
        <v>15718</v>
      </c>
      <c r="E64" t="str">
        <v>Broiler Amarillo</v>
      </c>
      <c r="F64">
        <v>42</v>
      </c>
      <c r="G64">
        <v>0</v>
      </c>
      <c r="H64" t="str">
        <v>Abierto</v>
      </c>
      <c r="I64">
        <v>2.6760000000000002</v>
      </c>
      <c r="J64">
        <v>2.6760000000000002</v>
      </c>
      <c r="K64">
        <v>2.6760000000000002</v>
      </c>
      <c r="L64">
        <v>16000</v>
      </c>
      <c r="M64">
        <v>0</v>
      </c>
      <c r="N64">
        <v>282</v>
      </c>
      <c r="O64">
        <v>282</v>
      </c>
      <c r="P64">
        <v>31436</v>
      </c>
      <c r="Q64">
        <v>78165.614000000001</v>
      </c>
      <c r="R64">
        <v>1.7805720758991788</v>
      </c>
      <c r="S64">
        <v>68.566328070175445</v>
      </c>
      <c r="T64">
        <v>68.566328070175445</v>
      </c>
      <c r="U64">
        <v>1.78057</v>
      </c>
      <c r="V64">
        <v>1140</v>
      </c>
      <c r="W64" t="str">
        <v>36011-RAMADERIA FERPRATS- J FDZ - 1</v>
      </c>
    </row>
    <row r="65" spans="1:23" x14ac:dyDescent="0.25">
      <c r="A65" t="str">
        <v>2025-11-17</v>
      </c>
      <c r="B65" t="str">
        <v>36011-RAMADERIA FERPRATS- J FDZ - 1-L:030-N:3-A:A13-POLLO AMARILLO MACHO</v>
      </c>
      <c r="C65" t="str">
        <v>POLLO AMARILLO MACHO</v>
      </c>
      <c r="D65">
        <v>24178</v>
      </c>
      <c r="E65" t="str">
        <v>Broiler Amarillo</v>
      </c>
      <c r="F65">
        <v>42</v>
      </c>
      <c r="G65">
        <v>0</v>
      </c>
      <c r="H65" t="str">
        <v>Abierto</v>
      </c>
      <c r="I65">
        <v>2.6760000000000002</v>
      </c>
      <c r="J65">
        <v>2.6760000000000002</v>
      </c>
      <c r="K65">
        <v>2.6760000000000002</v>
      </c>
      <c r="L65">
        <v>24600</v>
      </c>
      <c r="M65">
        <v>0</v>
      </c>
      <c r="N65">
        <v>422</v>
      </c>
      <c r="O65">
        <v>422</v>
      </c>
      <c r="P65">
        <v>48159</v>
      </c>
      <c r="Q65">
        <v>119784.685</v>
      </c>
      <c r="R65">
        <v>2.0731381833835556</v>
      </c>
      <c r="S65">
        <v>79.856456666666674</v>
      </c>
      <c r="T65">
        <v>79.856456666666674</v>
      </c>
      <c r="U65">
        <v>2.07314</v>
      </c>
      <c r="V65">
        <v>1500</v>
      </c>
      <c r="W65" t="str">
        <v>36011-RAMADERIA FERPRATS- J FDZ - 1</v>
      </c>
    </row>
    <row r="66" spans="1:23" x14ac:dyDescent="0.25">
      <c r="A66" t="str">
        <v>2025-11-17</v>
      </c>
      <c r="B66" t="str">
        <v>36308-CAL CASO SCP-L:147-N:2-A:A14-POLLO AMARILLO HEMBRAS</v>
      </c>
      <c r="C66" t="str">
        <v>POLLO AMARILLO HEMBRAS</v>
      </c>
      <c r="D66">
        <v>-4368</v>
      </c>
      <c r="E66" t="str">
        <v>Broiler Amarillo</v>
      </c>
      <c r="F66">
        <v>53</v>
      </c>
      <c r="G66">
        <v>0</v>
      </c>
      <c r="H66" t="str">
        <v>Abierto</v>
      </c>
      <c r="I66">
        <v>2.6498400000000002</v>
      </c>
      <c r="J66">
        <v>2.3570500000000001</v>
      </c>
      <c r="K66">
        <v>2.9529999999999998</v>
      </c>
      <c r="L66">
        <v>11800</v>
      </c>
      <c r="M66">
        <v>-15981</v>
      </c>
      <c r="N66">
        <v>187</v>
      </c>
      <c r="O66">
        <v>203</v>
      </c>
      <c r="P66">
        <v>7312</v>
      </c>
      <c r="Q66">
        <v>30929.019</v>
      </c>
      <c r="R66">
        <v>0.58496000000000004</v>
      </c>
      <c r="S66">
        <v>41.739566801619432</v>
      </c>
      <c r="T66">
        <v>41.739566801619432</v>
      </c>
      <c r="U66">
        <v>0.58496000000000004</v>
      </c>
      <c r="V66">
        <v>741</v>
      </c>
      <c r="W66" t="str">
        <v>36308-CAL CASO SCP</v>
      </c>
    </row>
    <row r="67" spans="1:23" x14ac:dyDescent="0.25">
      <c r="A67" t="str">
        <v>2025-11-17</v>
      </c>
      <c r="B67" t="str">
        <v>36863-GABANDE LOPEZ EVA - 2 (VERNET)-L:075-N:2-A:A14-POLLO AMARILLO HEMBRAS</v>
      </c>
      <c r="C67" t="str">
        <v>POLLO AMARILLO HEMBRAS</v>
      </c>
      <c r="D67">
        <v>-4693</v>
      </c>
      <c r="E67" t="str">
        <v>Broiler Amarillo</v>
      </c>
      <c r="F67">
        <v>53</v>
      </c>
      <c r="G67">
        <v>0</v>
      </c>
      <c r="H67" t="str">
        <v>Abierto</v>
      </c>
      <c r="I67">
        <v>2.6481300000000001</v>
      </c>
      <c r="J67">
        <v>2.4070399999999998</v>
      </c>
      <c r="K67">
        <v>2.9529999999999998</v>
      </c>
      <c r="L67">
        <v>11800</v>
      </c>
      <c r="M67">
        <v>-16302</v>
      </c>
      <c r="N67">
        <v>191</v>
      </c>
      <c r="O67">
        <v>203</v>
      </c>
      <c r="P67">
        <v>6964</v>
      </c>
      <c r="Q67">
        <v>30225.289000000001</v>
      </c>
      <c r="R67">
        <v>0.59268085106382984</v>
      </c>
      <c r="S67">
        <v>38.75037051282051</v>
      </c>
      <c r="T67">
        <v>38.75037051282051</v>
      </c>
      <c r="U67">
        <v>0.59267999999999998</v>
      </c>
      <c r="V67">
        <v>780</v>
      </c>
      <c r="W67" t="str">
        <v>36863-GABANDE LOPEZ EVA - 2 (VERNET)</v>
      </c>
    </row>
    <row r="68" spans="1:23" x14ac:dyDescent="0.25">
      <c r="A68" t="str">
        <v>2025-11-17</v>
      </c>
      <c r="B68" t="str">
        <v>36034-ALCOLEA MARTI, EFREN-L:028-N:1-A:A15-POLLO AMARILLO MIXTO</v>
      </c>
      <c r="C68" t="str">
        <v>POLLO AMARILLO MIXTO</v>
      </c>
      <c r="D68">
        <v>53711</v>
      </c>
      <c r="E68" t="str">
        <v>Broiler Amarillo</v>
      </c>
      <c r="F68">
        <v>52</v>
      </c>
      <c r="G68">
        <v>0</v>
      </c>
      <c r="H68" t="str">
        <v>Abierto</v>
      </c>
      <c r="I68">
        <v>2.59659</v>
      </c>
      <c r="J68">
        <v>2.1211600000000002</v>
      </c>
      <c r="K68">
        <v>3.1819999999999999</v>
      </c>
      <c r="L68">
        <v>77940</v>
      </c>
      <c r="M68">
        <v>-23202</v>
      </c>
      <c r="N68">
        <v>1022</v>
      </c>
      <c r="O68">
        <v>1088</v>
      </c>
      <c r="P68">
        <v>53711</v>
      </c>
      <c r="Q68">
        <v>139465.44500000001</v>
      </c>
      <c r="R68">
        <v>1.3427750000000001</v>
      </c>
      <c r="S68">
        <v>69.213620347394539</v>
      </c>
      <c r="T68">
        <v>69.213620347394539</v>
      </c>
      <c r="U68">
        <v>1.3427800000000001</v>
      </c>
      <c r="V68">
        <v>2015</v>
      </c>
      <c r="W68" t="str">
        <v>36034-ALCOLEA MARTI, EFREN</v>
      </c>
    </row>
    <row r="69" spans="1:23" x14ac:dyDescent="0.25">
      <c r="A69" t="str">
        <v>2025-11-17</v>
      </c>
      <c r="B69" t="str">
        <v>36017-BOCHACA BERTRAN SCP-L:030-N:1-A:A15-POLLO AMARILLO MIXTO</v>
      </c>
      <c r="C69" t="str">
        <v>POLLO AMARILLO MIXTO</v>
      </c>
      <c r="D69">
        <v>55252</v>
      </c>
      <c r="E69" t="str">
        <v>Broiler Amarillo</v>
      </c>
      <c r="F69">
        <v>42</v>
      </c>
      <c r="G69">
        <v>0</v>
      </c>
      <c r="H69" t="str">
        <v>Abierto</v>
      </c>
      <c r="I69">
        <v>2.5049999999999999</v>
      </c>
      <c r="J69">
        <v>2.5330499999999998</v>
      </c>
      <c r="K69">
        <v>2.4870000000000001</v>
      </c>
      <c r="L69">
        <v>55800</v>
      </c>
      <c r="M69">
        <v>0</v>
      </c>
      <c r="N69">
        <v>540</v>
      </c>
      <c r="O69">
        <v>482</v>
      </c>
      <c r="P69">
        <v>55252</v>
      </c>
      <c r="Q69">
        <v>138406.26</v>
      </c>
      <c r="R69">
        <v>2.0644920225684715</v>
      </c>
      <c r="S69">
        <v>96.923151260504198</v>
      </c>
      <c r="T69">
        <v>96.923151260504198</v>
      </c>
      <c r="U69">
        <v>2.0644900000000002</v>
      </c>
      <c r="V69">
        <v>1428</v>
      </c>
      <c r="W69" t="str">
        <v>36017-BOCHACA BERTRAN SCP</v>
      </c>
    </row>
    <row r="70" spans="1:23" x14ac:dyDescent="0.25">
      <c r="A70" t="str">
        <v>2025-11-17</v>
      </c>
      <c r="B70" t="str">
        <v>36937-RAMADERIA LA BARRACA SCP-L:048-N:1-A:A15-POLLO AMARILLO MIXTO</v>
      </c>
      <c r="C70" t="str">
        <v>POLLO AMARILLO MIXTO</v>
      </c>
      <c r="D70">
        <v>61945</v>
      </c>
      <c r="E70" t="str">
        <v>Broiler Amarillo</v>
      </c>
      <c r="F70">
        <v>42</v>
      </c>
      <c r="G70">
        <v>0</v>
      </c>
      <c r="H70" t="str">
        <v>Abierto</v>
      </c>
      <c r="I70">
        <v>2.4870000000000001</v>
      </c>
      <c r="J70">
        <v>2.4870000000000001</v>
      </c>
      <c r="K70">
        <v>2.4870000000000001</v>
      </c>
      <c r="L70">
        <v>62320</v>
      </c>
      <c r="M70">
        <v>0</v>
      </c>
      <c r="N70">
        <v>375</v>
      </c>
      <c r="O70">
        <v>375</v>
      </c>
      <c r="P70">
        <v>61945</v>
      </c>
      <c r="Q70">
        <v>154057.215</v>
      </c>
      <c r="R70">
        <v>2.0648333333333335</v>
      </c>
      <c r="S70">
        <v>94.397803308823526</v>
      </c>
      <c r="T70">
        <v>94.397803308823526</v>
      </c>
      <c r="U70">
        <v>2.0648300000000002</v>
      </c>
      <c r="V70">
        <v>1632</v>
      </c>
      <c r="W70" t="str">
        <v>36937-RAMADERIA LA BARRACA SCP</v>
      </c>
    </row>
    <row r="71" spans="1:23" x14ac:dyDescent="0.25">
      <c r="A71" t="str">
        <v>2025-11-17</v>
      </c>
      <c r="B71" t="str">
        <v>36017-BOCHACA BERTRAN SCP-L:030-N:2-A:A15-POLLO AMARILLO MIXTO</v>
      </c>
      <c r="C71" t="str">
        <v>POLLO AMARILLO MIXTO</v>
      </c>
      <c r="D71">
        <v>60126</v>
      </c>
      <c r="E71" t="str">
        <v>Broiler Amarillo</v>
      </c>
      <c r="F71">
        <v>42</v>
      </c>
      <c r="G71">
        <v>0</v>
      </c>
      <c r="H71" t="str">
        <v>Abierto</v>
      </c>
      <c r="I71">
        <v>2.4649999999999999</v>
      </c>
      <c r="J71">
        <v>2.4307699999999999</v>
      </c>
      <c r="K71">
        <v>2.4870000000000001</v>
      </c>
      <c r="L71">
        <v>60800</v>
      </c>
      <c r="M71">
        <v>0</v>
      </c>
      <c r="N71">
        <v>669</v>
      </c>
      <c r="O71">
        <v>1074</v>
      </c>
      <c r="P71">
        <v>60126</v>
      </c>
      <c r="Q71">
        <v>148210.59</v>
      </c>
      <c r="R71">
        <v>2.0565037452543011</v>
      </c>
      <c r="S71">
        <v>95.006788461538463</v>
      </c>
      <c r="T71">
        <v>95.006788461538463</v>
      </c>
      <c r="U71">
        <v>2.0565000000000002</v>
      </c>
      <c r="V71">
        <v>1560</v>
      </c>
      <c r="W71" t="str">
        <v>36017-BOCHACA BERTRAN SCP</v>
      </c>
    </row>
    <row r="72" spans="1:23" x14ac:dyDescent="0.25">
      <c r="A72" t="str">
        <v>2025-11-17</v>
      </c>
      <c r="B72" t="str">
        <v>36868-ESPINET SOLE ANTONIO-L:070-N:3-A:A13-POLLO AMARILLO MACHO</v>
      </c>
      <c r="C72" t="str">
        <v>POLLO AMARILLO MACHO</v>
      </c>
      <c r="D72">
        <v>61082</v>
      </c>
      <c r="E72" t="str">
        <v>Broiler Amarillo</v>
      </c>
      <c r="F72">
        <v>39</v>
      </c>
      <c r="G72">
        <v>0</v>
      </c>
      <c r="H72" t="str">
        <v>Abierto</v>
      </c>
      <c r="I72">
        <v>2.4089999999999998</v>
      </c>
      <c r="J72">
        <v>2.4089999999999998</v>
      </c>
      <c r="K72">
        <v>2.4089999999999998</v>
      </c>
      <c r="L72">
        <v>61800</v>
      </c>
      <c r="M72">
        <v>0</v>
      </c>
      <c r="N72">
        <v>718</v>
      </c>
      <c r="O72">
        <v>718</v>
      </c>
      <c r="P72">
        <v>122164</v>
      </c>
      <c r="Q72">
        <v>274563.59000000003</v>
      </c>
      <c r="R72">
        <v>3.0257337461300309</v>
      </c>
      <c r="S72">
        <v>124.57513157894736</v>
      </c>
      <c r="T72">
        <v>124.57513157894736</v>
      </c>
      <c r="U72">
        <v>3.0257299999999998</v>
      </c>
      <c r="V72">
        <v>2204</v>
      </c>
      <c r="W72" t="str">
        <v>36868-ESPINET SOLE ANTONIO</v>
      </c>
    </row>
    <row r="73" spans="1:23" x14ac:dyDescent="0.25">
      <c r="A73" t="str">
        <v>2025-11-17</v>
      </c>
      <c r="B73" t="str">
        <v>36868-ESPINET SOLE ANTONIO-L:070-N:7-A:A15-POLLO AMARILLO MIXTO</v>
      </c>
      <c r="C73" t="str">
        <v>POLLO AMARILLO MIXTO</v>
      </c>
      <c r="D73">
        <v>119242</v>
      </c>
      <c r="E73" t="str">
        <v>Broiler Amarillo</v>
      </c>
      <c r="F73">
        <v>41</v>
      </c>
      <c r="G73">
        <v>0</v>
      </c>
      <c r="H73" t="str">
        <v>Abierto</v>
      </c>
      <c r="I73">
        <v>2.4079999999999999</v>
      </c>
      <c r="J73">
        <v>2.4079999999999999</v>
      </c>
      <c r="K73">
        <v>2.4079999999999999</v>
      </c>
      <c r="L73">
        <v>119576</v>
      </c>
      <c r="M73">
        <v>0</v>
      </c>
      <c r="N73">
        <v>334</v>
      </c>
      <c r="O73">
        <v>334</v>
      </c>
      <c r="P73">
        <v>119242</v>
      </c>
      <c r="Q73">
        <v>287134.73599999998</v>
      </c>
      <c r="R73">
        <v>5.425022747952684</v>
      </c>
      <c r="S73">
        <v>239.27894666666666</v>
      </c>
      <c r="T73">
        <v>239.27894666666666</v>
      </c>
      <c r="U73">
        <v>5.42502</v>
      </c>
      <c r="V73">
        <v>1200</v>
      </c>
      <c r="W73" t="str">
        <v>36868-ESPINET SOLE ANTONIO</v>
      </c>
    </row>
    <row r="74" spans="1:23" x14ac:dyDescent="0.25">
      <c r="A74" t="str">
        <v>2025-11-17</v>
      </c>
      <c r="B74" t="str">
        <v>36868-ESPINET SOLE ANTONIO-L:070-N:5-A:A15-POLLO AMARILLO MIXTO</v>
      </c>
      <c r="C74" t="str">
        <v>POLLO AMARILLO MIXTO</v>
      </c>
      <c r="D74">
        <v>35688</v>
      </c>
      <c r="E74" t="str">
        <v>Broiler Amarillo</v>
      </c>
      <c r="F74">
        <v>41</v>
      </c>
      <c r="G74">
        <v>0</v>
      </c>
      <c r="H74" t="str">
        <v>Abierto</v>
      </c>
      <c r="I74">
        <v>2.4079999999999999</v>
      </c>
      <c r="J74">
        <v>2.4079999999999999</v>
      </c>
      <c r="K74">
        <v>2.4079999999999999</v>
      </c>
      <c r="L74">
        <v>36000</v>
      </c>
      <c r="M74">
        <v>0</v>
      </c>
      <c r="N74">
        <v>312</v>
      </c>
      <c r="O74">
        <v>312</v>
      </c>
      <c r="P74">
        <v>35688</v>
      </c>
      <c r="Q74">
        <v>85936.703999999998</v>
      </c>
      <c r="R74">
        <v>1.6236578707916287</v>
      </c>
      <c r="S74">
        <v>71.613919999999993</v>
      </c>
      <c r="T74">
        <v>71.613919999999993</v>
      </c>
      <c r="U74">
        <v>1.6236600000000001</v>
      </c>
      <c r="V74">
        <v>1200</v>
      </c>
      <c r="W74" t="str">
        <v>36868-ESPINET SOLE ANTONIO</v>
      </c>
    </row>
    <row r="75" spans="1:23" x14ac:dyDescent="0.25">
      <c r="A75" t="str">
        <v>2025-11-17</v>
      </c>
      <c r="B75" t="str">
        <v>36011-RAMADERIA FERPRATS- J FDZ - 1-L:030-N:6-A:A14-POLLO AMARILLO HEMBRAS</v>
      </c>
      <c r="C75" t="str">
        <v>POLLO AMARILLO HEMBRAS</v>
      </c>
      <c r="D75">
        <v>15718</v>
      </c>
      <c r="E75" t="str">
        <v>Broiler Amarillo</v>
      </c>
      <c r="F75">
        <v>42</v>
      </c>
      <c r="G75">
        <v>0</v>
      </c>
      <c r="H75" t="str">
        <v>Abierto</v>
      </c>
      <c r="I75">
        <v>2.2970000000000002</v>
      </c>
      <c r="J75">
        <v>2.2970000000000002</v>
      </c>
      <c r="K75">
        <v>2.2970000000000002</v>
      </c>
      <c r="L75">
        <v>16000</v>
      </c>
      <c r="M75">
        <v>0</v>
      </c>
      <c r="N75">
        <v>282</v>
      </c>
      <c r="O75">
        <v>282</v>
      </c>
      <c r="P75">
        <v>31436</v>
      </c>
      <c r="Q75">
        <v>78165.614000000001</v>
      </c>
      <c r="R75">
        <v>1.7805720758991788</v>
      </c>
      <c r="S75">
        <v>68.566328070175445</v>
      </c>
      <c r="T75">
        <v>68.566328070175445</v>
      </c>
      <c r="U75">
        <v>1.78057</v>
      </c>
      <c r="V75">
        <v>1140</v>
      </c>
      <c r="W75" t="str">
        <v>36011-RAMADERIA FERPRATS- J FDZ - 1</v>
      </c>
    </row>
    <row r="76" spans="1:23" x14ac:dyDescent="0.25">
      <c r="A76" t="str">
        <v>2025-11-17</v>
      </c>
      <c r="B76" t="str">
        <v>36011-RAMADERIA FERPRATS- J FDZ - 1-L:030-N:5-A:A14-POLLO AMARILLO HEMBRAS</v>
      </c>
      <c r="C76" t="str">
        <v>POLLO AMARILLO HEMBRAS</v>
      </c>
      <c r="D76">
        <v>18675</v>
      </c>
      <c r="E76" t="str">
        <v>Broiler Amarillo</v>
      </c>
      <c r="F76">
        <v>42</v>
      </c>
      <c r="G76">
        <v>0</v>
      </c>
      <c r="H76" t="str">
        <v>Abierto</v>
      </c>
      <c r="I76">
        <v>2.2970000000000002</v>
      </c>
      <c r="J76">
        <v>2.2970000000000002</v>
      </c>
      <c r="K76">
        <v>2.2970000000000002</v>
      </c>
      <c r="L76">
        <v>19000</v>
      </c>
      <c r="M76">
        <v>0</v>
      </c>
      <c r="N76">
        <v>325</v>
      </c>
      <c r="O76">
        <v>325</v>
      </c>
      <c r="P76">
        <v>37350</v>
      </c>
      <c r="Q76">
        <v>92870.774999999994</v>
      </c>
      <c r="R76">
        <v>2.1155480033984708</v>
      </c>
      <c r="S76">
        <v>81.465592105263156</v>
      </c>
      <c r="T76">
        <v>81.465592105263156</v>
      </c>
      <c r="U76">
        <v>2.1155499999999998</v>
      </c>
      <c r="V76">
        <v>1140</v>
      </c>
      <c r="W76" t="str">
        <v>36011-RAMADERIA FERPRATS- J FDZ - 1</v>
      </c>
    </row>
    <row r="77" spans="1:23" x14ac:dyDescent="0.25">
      <c r="A77" t="str">
        <v>2025-11-17</v>
      </c>
      <c r="B77" t="str">
        <v>36011-RAMADERIA FERPRATS- J FDZ - 1-L:030-N:3-A:A14-POLLO AMARILLO HEMBRAS</v>
      </c>
      <c r="C77" t="str">
        <v>POLLO AMARILLO HEMBRAS</v>
      </c>
      <c r="D77">
        <v>23981</v>
      </c>
      <c r="E77" t="str">
        <v>Broiler Amarillo</v>
      </c>
      <c r="F77">
        <v>42</v>
      </c>
      <c r="G77">
        <v>0</v>
      </c>
      <c r="H77" t="str">
        <v>Abierto</v>
      </c>
      <c r="I77">
        <v>2.2970000000000002</v>
      </c>
      <c r="J77">
        <v>2.2970000000000002</v>
      </c>
      <c r="K77">
        <v>2.2970000000000002</v>
      </c>
      <c r="L77">
        <v>24400</v>
      </c>
      <c r="M77">
        <v>0</v>
      </c>
      <c r="N77">
        <v>419</v>
      </c>
      <c r="O77">
        <v>419</v>
      </c>
      <c r="P77">
        <v>48159</v>
      </c>
      <c r="Q77">
        <v>119784.685</v>
      </c>
      <c r="R77">
        <v>2.0731381833835556</v>
      </c>
      <c r="S77">
        <v>79.856456666666674</v>
      </c>
      <c r="T77">
        <v>79.856456666666674</v>
      </c>
      <c r="U77">
        <v>2.07314</v>
      </c>
      <c r="V77">
        <v>1500</v>
      </c>
      <c r="W77" t="str">
        <v>36011-RAMADERIA FERPRATS- J FDZ - 1</v>
      </c>
    </row>
    <row r="78" spans="1:23" x14ac:dyDescent="0.25">
      <c r="A78" t="str">
        <v>2025-11-17</v>
      </c>
      <c r="B78" t="str">
        <v>36926-AVICOLA GUIM SCP-L:045-N:1-A:A14-POLLO AMARILLO HEMBRAS</v>
      </c>
      <c r="C78" t="str">
        <v>POLLO AMARILLO HEMBRAS</v>
      </c>
      <c r="D78">
        <v>28100</v>
      </c>
      <c r="E78" t="str">
        <v>Broiler Amarillo</v>
      </c>
      <c r="F78">
        <v>42</v>
      </c>
      <c r="G78">
        <v>0</v>
      </c>
      <c r="H78" t="str">
        <v>Abierto</v>
      </c>
      <c r="I78">
        <v>2.2970000000000002</v>
      </c>
      <c r="J78">
        <v>2.2970000000000002</v>
      </c>
      <c r="K78">
        <v>2.2970000000000002</v>
      </c>
      <c r="L78">
        <v>28600</v>
      </c>
      <c r="M78">
        <v>0</v>
      </c>
      <c r="N78">
        <v>500</v>
      </c>
      <c r="O78">
        <v>500</v>
      </c>
      <c r="P78">
        <v>56000</v>
      </c>
      <c r="Q78">
        <v>139206.1</v>
      </c>
      <c r="R78">
        <v>1.6</v>
      </c>
      <c r="S78">
        <v>81.885941176470581</v>
      </c>
      <c r="T78">
        <v>81.885941176470581</v>
      </c>
      <c r="U78">
        <v>1.6</v>
      </c>
      <c r="V78">
        <v>1700</v>
      </c>
      <c r="W78" t="str">
        <v>36926-AVICOLA GUIM SCP</v>
      </c>
    </row>
    <row r="79" spans="1:23" x14ac:dyDescent="0.25">
      <c r="A79" t="str">
        <v>2025-11-17</v>
      </c>
      <c r="B79" t="str">
        <v>36993-SENDRA-FIGUERAS, SCP-1,2,3-L:013-N:3-A:A13-POLLO AMARILLO MACHO</v>
      </c>
      <c r="C79" t="str">
        <v>POLLO AMARILLO MACHO</v>
      </c>
      <c r="D79">
        <v>38965</v>
      </c>
      <c r="E79" t="str">
        <v>Broiler Amarillo</v>
      </c>
      <c r="F79">
        <v>35</v>
      </c>
      <c r="G79">
        <v>0</v>
      </c>
      <c r="H79" t="str">
        <v>Abierto</v>
      </c>
      <c r="I79">
        <v>2.0950000000000002</v>
      </c>
      <c r="J79">
        <v>2.4540000000000002</v>
      </c>
      <c r="K79">
        <v>2.0449999999999999</v>
      </c>
      <c r="L79">
        <v>39200</v>
      </c>
      <c r="M79">
        <v>0</v>
      </c>
      <c r="N79">
        <v>232</v>
      </c>
      <c r="O79">
        <v>319</v>
      </c>
      <c r="P79">
        <v>77846</v>
      </c>
      <c r="Q79">
        <v>151500.83199999999</v>
      </c>
      <c r="R79">
        <v>4.0971578947368421</v>
      </c>
      <c r="S79">
        <v>152.41532394366197</v>
      </c>
      <c r="T79">
        <v>152.41532394366197</v>
      </c>
      <c r="U79">
        <v>4.0971599999999997</v>
      </c>
      <c r="V79">
        <v>994</v>
      </c>
      <c r="W79" t="str">
        <v>36993-SENDRA-FIGUERAS, SCP-1,2,3</v>
      </c>
    </row>
    <row r="80" spans="1:23" x14ac:dyDescent="0.25">
      <c r="A80" t="str">
        <v>2025-11-17</v>
      </c>
      <c r="B80" t="str">
        <v>36950-CARBONELL BERGADA GERARD-2-L:041-N:3-A:A13-POLLO AMARILLO MACHO</v>
      </c>
      <c r="C80" t="str">
        <v>POLLO AMARILLO MACHO</v>
      </c>
      <c r="D80">
        <v>69006</v>
      </c>
      <c r="E80" t="str">
        <v>Broiler Amarillo</v>
      </c>
      <c r="F80">
        <v>35</v>
      </c>
      <c r="G80">
        <v>0</v>
      </c>
      <c r="H80" t="str">
        <v>Abierto</v>
      </c>
      <c r="I80">
        <v>2.0950000000000002</v>
      </c>
      <c r="J80">
        <v>2.4540000000000002</v>
      </c>
      <c r="K80">
        <v>2.0449999999999999</v>
      </c>
      <c r="L80">
        <v>70000</v>
      </c>
      <c r="M80">
        <v>0</v>
      </c>
      <c r="N80">
        <v>991</v>
      </c>
      <c r="O80">
        <v>588</v>
      </c>
      <c r="P80">
        <v>138418</v>
      </c>
      <c r="Q80">
        <v>269300.93400000001</v>
      </c>
      <c r="R80">
        <v>4.6139333333333337</v>
      </c>
      <c r="S80">
        <v>149.61162999999999</v>
      </c>
      <c r="T80">
        <v>149.61162999999999</v>
      </c>
      <c r="U80">
        <v>4.6139299999999999</v>
      </c>
      <c r="V80">
        <v>1800</v>
      </c>
      <c r="W80" t="str">
        <v>36950-CARBONELL BERGADA GERARD-2</v>
      </c>
    </row>
    <row r="81" spans="1:23" x14ac:dyDescent="0.25">
      <c r="A81" t="str">
        <v>2025-11-17</v>
      </c>
      <c r="B81" t="str">
        <v>36868-ESPINET SOLE ANTONIO-L:070-N:3-A:A14-POLLO AMARILLO HEMBRAS</v>
      </c>
      <c r="C81" t="str">
        <v>POLLO AMARILLO HEMBRAS</v>
      </c>
      <c r="D81">
        <v>61082</v>
      </c>
      <c r="E81" t="str">
        <v>Broiler Amarillo</v>
      </c>
      <c r="F81">
        <v>39</v>
      </c>
      <c r="G81">
        <v>0</v>
      </c>
      <c r="H81" t="str">
        <v>Abierto</v>
      </c>
      <c r="I81">
        <v>2.0859999999999999</v>
      </c>
      <c r="J81">
        <v>2.0859999999999999</v>
      </c>
      <c r="K81">
        <v>2.0859999999999999</v>
      </c>
      <c r="L81">
        <v>61800</v>
      </c>
      <c r="M81">
        <v>0</v>
      </c>
      <c r="N81">
        <v>718</v>
      </c>
      <c r="O81">
        <v>718</v>
      </c>
      <c r="P81">
        <v>122164</v>
      </c>
      <c r="Q81">
        <v>274563.59000000003</v>
      </c>
      <c r="R81">
        <v>3.0257337461300309</v>
      </c>
      <c r="S81">
        <v>124.57513157894736</v>
      </c>
      <c r="T81">
        <v>124.57513157894736</v>
      </c>
      <c r="U81">
        <v>3.0257299999999998</v>
      </c>
      <c r="V81">
        <v>2204</v>
      </c>
      <c r="W81" t="str">
        <v>36868-ESPINET SOLE ANTONIO</v>
      </c>
    </row>
    <row r="82" spans="1:23" x14ac:dyDescent="0.25">
      <c r="A82" t="str">
        <v>2025-11-17</v>
      </c>
      <c r="B82" t="str">
        <v>36023-AGRÀRIA SANBER SCP-L:030-N:1-A:A13-POLLO AMARILLO MACHO</v>
      </c>
      <c r="C82" t="str">
        <v>POLLO AMARILLO MACHO</v>
      </c>
      <c r="D82">
        <v>48928</v>
      </c>
      <c r="E82" t="str">
        <v>Broiler Amarillo</v>
      </c>
      <c r="F82">
        <v>35</v>
      </c>
      <c r="G82">
        <v>0</v>
      </c>
      <c r="H82" t="str">
        <v>Abierto</v>
      </c>
      <c r="I82">
        <v>2.0750000000000002</v>
      </c>
      <c r="J82">
        <v>2.2904</v>
      </c>
      <c r="K82">
        <v>2.0449999999999999</v>
      </c>
      <c r="L82">
        <v>49200</v>
      </c>
      <c r="M82">
        <v>0</v>
      </c>
      <c r="N82">
        <v>262</v>
      </c>
      <c r="O82">
        <v>406</v>
      </c>
      <c r="P82">
        <v>98324</v>
      </c>
      <c r="Q82">
        <v>191426.32</v>
      </c>
      <c r="R82">
        <v>3.2774666666666668</v>
      </c>
      <c r="S82">
        <v>136.73308571428572</v>
      </c>
      <c r="T82">
        <v>136.73308571428572</v>
      </c>
      <c r="U82">
        <v>3.2774700000000001</v>
      </c>
      <c r="V82">
        <v>1400</v>
      </c>
      <c r="W82" t="str">
        <v>36023-AGRÀRIA SANBER SCP</v>
      </c>
    </row>
    <row r="83" spans="1:23" x14ac:dyDescent="0.25">
      <c r="A83" t="str">
        <v>2025-11-17</v>
      </c>
      <c r="B83" t="str">
        <v>36994-SENDRA-FIGUERAS, SCP-4,5,6-L:013-N:6-A:A13-POLLO AMARILLO MACHO</v>
      </c>
      <c r="C83" t="str">
        <v>POLLO AMARILLO MACHO</v>
      </c>
      <c r="D83">
        <v>62598</v>
      </c>
      <c r="E83" t="str">
        <v>Broiler Amarillo</v>
      </c>
      <c r="F83">
        <v>34</v>
      </c>
      <c r="G83">
        <v>0</v>
      </c>
      <c r="H83" t="str">
        <v>Abierto</v>
      </c>
      <c r="I83">
        <v>2.004</v>
      </c>
      <c r="J83">
        <v>2.3448000000000002</v>
      </c>
      <c r="K83">
        <v>1.954</v>
      </c>
      <c r="L83">
        <v>63000</v>
      </c>
      <c r="M83">
        <v>0</v>
      </c>
      <c r="N83">
        <v>399</v>
      </c>
      <c r="O83">
        <v>18</v>
      </c>
      <c r="P83">
        <v>126694</v>
      </c>
      <c r="Q83">
        <v>235947.89600000001</v>
      </c>
      <c r="R83">
        <v>6.8706073752711498</v>
      </c>
      <c r="S83">
        <v>244.50559170984457</v>
      </c>
      <c r="T83">
        <v>244.50559170984457</v>
      </c>
      <c r="U83">
        <v>6.8706100000000001</v>
      </c>
      <c r="V83">
        <v>965</v>
      </c>
      <c r="W83" t="str">
        <v>36994-SENDRA-FIGUERAS, SCP-4,5,6</v>
      </c>
    </row>
    <row r="84" spans="1:23" x14ac:dyDescent="0.25">
      <c r="A84" t="str">
        <v>2025-11-17</v>
      </c>
      <c r="B84" t="str">
        <v>36994-SENDRA-FIGUERAS, SCP-4,5,6-L:013-N:5-A:A13-POLLO AMARILLO MACHO</v>
      </c>
      <c r="C84" t="str">
        <v>POLLO AMARILLO MACHO</v>
      </c>
      <c r="D84">
        <v>111591</v>
      </c>
      <c r="E84" t="str">
        <v>Broiler Amarillo</v>
      </c>
      <c r="F84">
        <v>34</v>
      </c>
      <c r="G84">
        <v>0</v>
      </c>
      <c r="H84" t="str">
        <v>Abierto</v>
      </c>
      <c r="I84">
        <v>2.004</v>
      </c>
      <c r="J84">
        <v>2.3448000000000002</v>
      </c>
      <c r="K84">
        <v>1.954</v>
      </c>
      <c r="L84">
        <v>112000</v>
      </c>
      <c r="M84">
        <v>0</v>
      </c>
      <c r="N84">
        <v>406</v>
      </c>
      <c r="O84">
        <v>539</v>
      </c>
      <c r="P84">
        <v>225904</v>
      </c>
      <c r="Q84">
        <v>420703.97600000002</v>
      </c>
      <c r="R84">
        <v>7.153841281905124</v>
      </c>
      <c r="S84">
        <v>254.50936237144586</v>
      </c>
      <c r="T84">
        <v>254.50936237144586</v>
      </c>
      <c r="U84">
        <v>7.1538399999999998</v>
      </c>
      <c r="V84">
        <v>1653</v>
      </c>
      <c r="W84" t="str">
        <v>36994-SENDRA-FIGUERAS, SCP-4,5,6</v>
      </c>
    </row>
    <row r="85" spans="1:23" x14ac:dyDescent="0.25">
      <c r="A85" t="str">
        <v>2025-11-17</v>
      </c>
      <c r="B85" t="str">
        <v>36994-SENDRA-FIGUERAS, SCP-4,5,6-L:013-N:4-A:A13-POLLO AMARILLO MACHO</v>
      </c>
      <c r="C85" t="str">
        <v>POLLO AMARILLO MACHO</v>
      </c>
      <c r="D85">
        <v>76747</v>
      </c>
      <c r="E85" t="str">
        <v>Broiler Amarillo</v>
      </c>
      <c r="F85">
        <v>34</v>
      </c>
      <c r="G85">
        <v>0</v>
      </c>
      <c r="H85" t="str">
        <v>Abierto</v>
      </c>
      <c r="I85">
        <v>2.004</v>
      </c>
      <c r="J85">
        <v>2.3448000000000002</v>
      </c>
      <c r="K85">
        <v>1.954</v>
      </c>
      <c r="L85">
        <v>77000</v>
      </c>
      <c r="M85">
        <v>0</v>
      </c>
      <c r="N85">
        <v>250</v>
      </c>
      <c r="O85">
        <v>368</v>
      </c>
      <c r="P85">
        <v>155467</v>
      </c>
      <c r="Q85">
        <v>289514.26799999998</v>
      </c>
      <c r="R85">
        <v>7.0436299383834724</v>
      </c>
      <c r="S85">
        <v>250.66170389610389</v>
      </c>
      <c r="T85">
        <v>250.66170389610389</v>
      </c>
      <c r="U85">
        <v>7.0436300000000003</v>
      </c>
      <c r="V85">
        <v>1155</v>
      </c>
      <c r="W85" t="str">
        <v>36994-SENDRA-FIGUERAS, SCP-4,5,6</v>
      </c>
    </row>
    <row r="86" spans="1:23" x14ac:dyDescent="0.25">
      <c r="A86" t="str">
        <v>2025-11-17</v>
      </c>
      <c r="B86" t="str">
        <v>36778-CARBONELL BERGADA GERARD-1-L:100-N:1-A:A15-POLLO AMARILLO MIXTO</v>
      </c>
      <c r="C86" t="str">
        <v>POLLO AMARILLO MIXTO</v>
      </c>
      <c r="D86">
        <v>49541</v>
      </c>
      <c r="E86" t="str">
        <v>Broiler Amarillo</v>
      </c>
      <c r="F86">
        <v>35</v>
      </c>
      <c r="G86">
        <v>0</v>
      </c>
      <c r="H86" t="str">
        <v>Abierto</v>
      </c>
      <c r="I86">
        <v>1.9730000000000001</v>
      </c>
      <c r="J86">
        <v>2.3238699999999999</v>
      </c>
      <c r="K86">
        <v>1.921</v>
      </c>
      <c r="L86">
        <v>49680</v>
      </c>
      <c r="M86">
        <v>0</v>
      </c>
      <c r="N86">
        <v>136</v>
      </c>
      <c r="O86">
        <v>409</v>
      </c>
      <c r="P86">
        <v>49541</v>
      </c>
      <c r="Q86">
        <v>97744.392999999996</v>
      </c>
      <c r="R86">
        <v>4.1044739022369514</v>
      </c>
      <c r="S86">
        <v>116.36237261904762</v>
      </c>
      <c r="T86">
        <v>116.36237261904762</v>
      </c>
      <c r="U86">
        <v>4.1044700000000001</v>
      </c>
      <c r="V86">
        <v>840</v>
      </c>
      <c r="W86" t="str">
        <v>36778-CARBONELL BERGADA GERARD-1</v>
      </c>
    </row>
    <row r="87" spans="1:23" x14ac:dyDescent="0.25">
      <c r="A87" t="str">
        <v>2025-11-17</v>
      </c>
      <c r="B87" t="str">
        <v>36993-SENDRA-FIGUERAS, SCP-1,2,3-L:013-N:2-A:A15-POLLO AMARILLO MIXTO</v>
      </c>
      <c r="C87" t="str">
        <v>POLLO AMARILLO MIXTO</v>
      </c>
      <c r="D87">
        <v>18350</v>
      </c>
      <c r="E87" t="str">
        <v>Broiler Amarillo</v>
      </c>
      <c r="F87">
        <v>35</v>
      </c>
      <c r="G87">
        <v>0</v>
      </c>
      <c r="H87" t="str">
        <v>Abierto</v>
      </c>
      <c r="I87">
        <v>1.9730000000000001</v>
      </c>
      <c r="J87">
        <v>2.3238699999999999</v>
      </c>
      <c r="K87">
        <v>1.921</v>
      </c>
      <c r="L87">
        <v>18400</v>
      </c>
      <c r="M87">
        <v>0</v>
      </c>
      <c r="N87">
        <v>47</v>
      </c>
      <c r="O87">
        <v>161</v>
      </c>
      <c r="P87">
        <v>18350</v>
      </c>
      <c r="Q87">
        <v>36204.550000000003</v>
      </c>
      <c r="R87">
        <v>3.7757201646090537</v>
      </c>
      <c r="S87">
        <v>142.53759842519685</v>
      </c>
      <c r="T87">
        <v>142.53759842519685</v>
      </c>
      <c r="U87">
        <v>3.7757200000000002</v>
      </c>
      <c r="V87">
        <v>254</v>
      </c>
      <c r="W87" t="str">
        <v>36993-SENDRA-FIGUERAS, SCP-1,2,3</v>
      </c>
    </row>
    <row r="88" spans="1:23" x14ac:dyDescent="0.25">
      <c r="A88" t="str">
        <v>2025-11-17</v>
      </c>
      <c r="B88" t="str">
        <v>36993-SENDRA-FIGUERAS, SCP-1,2,3-L:013-N:1-A:A15-POLLO AMARILLO MIXTO</v>
      </c>
      <c r="C88" t="str">
        <v>POLLO AMARILLO MIXTO</v>
      </c>
      <c r="D88">
        <v>18351</v>
      </c>
      <c r="E88" t="str">
        <v>Broiler Amarillo</v>
      </c>
      <c r="F88">
        <v>35</v>
      </c>
      <c r="G88">
        <v>0</v>
      </c>
      <c r="H88" t="str">
        <v>Abierto</v>
      </c>
      <c r="I88">
        <v>1.9730000000000001</v>
      </c>
      <c r="J88">
        <v>2.3238699999999999</v>
      </c>
      <c r="K88">
        <v>1.921</v>
      </c>
      <c r="L88">
        <v>18400</v>
      </c>
      <c r="M88">
        <v>0</v>
      </c>
      <c r="N88">
        <v>46</v>
      </c>
      <c r="O88">
        <v>161</v>
      </c>
      <c r="P88">
        <v>18351</v>
      </c>
      <c r="Q88">
        <v>36206.523000000001</v>
      </c>
      <c r="R88">
        <v>3.7759259259259257</v>
      </c>
      <c r="S88">
        <v>142.54536614173227</v>
      </c>
      <c r="T88">
        <v>142.54536614173227</v>
      </c>
      <c r="U88">
        <v>3.7759299999999998</v>
      </c>
      <c r="V88">
        <v>254</v>
      </c>
      <c r="W88" t="str">
        <v>36993-SENDRA-FIGUERAS, SCP-1,2,3</v>
      </c>
    </row>
    <row r="89" spans="1:23" x14ac:dyDescent="0.25">
      <c r="A89" t="str">
        <v>2025-11-17</v>
      </c>
      <c r="B89" t="str">
        <v>36778-CARBONELL BERGADA GERARD-1-L:100-N:2-A:A15-POLLO AMARILLO MIXTO</v>
      </c>
      <c r="C89" t="str">
        <v>POLLO AMARILLO MIXTO</v>
      </c>
      <c r="D89">
        <v>49532</v>
      </c>
      <c r="E89" t="str">
        <v>Broiler Amarillo</v>
      </c>
      <c r="F89">
        <v>35</v>
      </c>
      <c r="G89">
        <v>0</v>
      </c>
      <c r="H89" t="str">
        <v>Abierto</v>
      </c>
      <c r="I89">
        <v>1.9730000000000001</v>
      </c>
      <c r="J89">
        <v>2.3238699999999999</v>
      </c>
      <c r="K89">
        <v>1.921</v>
      </c>
      <c r="L89">
        <v>49680</v>
      </c>
      <c r="M89">
        <v>0</v>
      </c>
      <c r="N89">
        <v>145</v>
      </c>
      <c r="O89">
        <v>158</v>
      </c>
      <c r="P89">
        <v>49532</v>
      </c>
      <c r="Q89">
        <v>97726.635999999999</v>
      </c>
      <c r="R89">
        <v>3.8307811291569993</v>
      </c>
      <c r="S89">
        <v>108.58515111111112</v>
      </c>
      <c r="T89">
        <v>108.58515111111112</v>
      </c>
      <c r="U89">
        <v>3.8307799999999999</v>
      </c>
      <c r="V89">
        <v>900</v>
      </c>
      <c r="W89" t="str">
        <v>36778-CARBONELL BERGADA GERARD-1</v>
      </c>
    </row>
    <row r="90" spans="1:23" x14ac:dyDescent="0.25">
      <c r="A90" t="str">
        <v>2025-11-17</v>
      </c>
      <c r="B90" t="str">
        <v>36023-AGRÀRIA SANBER SCP-L:030-N:1-A:A14-POLLO AMARILLO HEMBRAS</v>
      </c>
      <c r="C90" t="str">
        <v>POLLO AMARILLO HEMBRAS</v>
      </c>
      <c r="D90">
        <v>49396</v>
      </c>
      <c r="E90" t="str">
        <v>Broiler Amarillo</v>
      </c>
      <c r="F90">
        <v>35</v>
      </c>
      <c r="G90">
        <v>0</v>
      </c>
      <c r="H90" t="str">
        <v>Abierto</v>
      </c>
      <c r="I90">
        <v>1.82</v>
      </c>
      <c r="J90">
        <v>1.9642999999999999</v>
      </c>
      <c r="K90">
        <v>1.7969999999999999</v>
      </c>
      <c r="L90">
        <v>49600</v>
      </c>
      <c r="M90">
        <v>0</v>
      </c>
      <c r="N90">
        <v>200</v>
      </c>
      <c r="O90">
        <v>409</v>
      </c>
      <c r="P90">
        <v>98324</v>
      </c>
      <c r="Q90">
        <v>191426.32</v>
      </c>
      <c r="R90">
        <v>3.2774666666666668</v>
      </c>
      <c r="S90">
        <v>136.73308571428572</v>
      </c>
      <c r="T90">
        <v>136.73308571428572</v>
      </c>
      <c r="U90">
        <v>3.2774700000000001</v>
      </c>
      <c r="V90">
        <v>1400</v>
      </c>
      <c r="W90" t="str">
        <v>36023-AGRÀRIA SANBER SCP</v>
      </c>
    </row>
    <row r="91" spans="1:23" x14ac:dyDescent="0.25">
      <c r="A91" t="str">
        <v>2025-11-17</v>
      </c>
      <c r="B91" t="str">
        <v>36950-CARBONELL BERGADA GERARD-2-L:041-N:3-A:A14-POLLO AMARILLO HEMBRAS</v>
      </c>
      <c r="C91" t="str">
        <v>POLLO AMARILLO HEMBRAS</v>
      </c>
      <c r="D91">
        <v>69412</v>
      </c>
      <c r="E91" t="str">
        <v>Broiler Amarillo</v>
      </c>
      <c r="F91">
        <v>35</v>
      </c>
      <c r="G91">
        <v>0</v>
      </c>
      <c r="H91" t="str">
        <v>Abierto</v>
      </c>
      <c r="I91">
        <v>1.7969999999999999</v>
      </c>
      <c r="J91">
        <v>1.7969999999999999</v>
      </c>
      <c r="K91">
        <v>1.7969999999999999</v>
      </c>
      <c r="L91">
        <v>70000</v>
      </c>
      <c r="M91">
        <v>0</v>
      </c>
      <c r="N91">
        <v>588</v>
      </c>
      <c r="O91">
        <v>588</v>
      </c>
      <c r="P91">
        <v>138418</v>
      </c>
      <c r="Q91">
        <v>269300.93400000001</v>
      </c>
      <c r="R91">
        <v>4.6139333333333337</v>
      </c>
      <c r="S91">
        <v>149.61162999999999</v>
      </c>
      <c r="T91">
        <v>149.61162999999999</v>
      </c>
      <c r="U91">
        <v>4.6139299999999999</v>
      </c>
      <c r="V91">
        <v>1800</v>
      </c>
      <c r="W91" t="str">
        <v>36950-CARBONELL BERGADA GERARD-2</v>
      </c>
    </row>
    <row r="92" spans="1:23" x14ac:dyDescent="0.25">
      <c r="A92" t="str">
        <v>2025-11-17</v>
      </c>
      <c r="B92" t="str">
        <v>36993-SENDRA-FIGUERAS, SCP-1,2,3-L:013-N:3-A:A14-POLLO AMARILLO HEMBRAS</v>
      </c>
      <c r="C92" t="str">
        <v>POLLO AMARILLO HEMBRAS</v>
      </c>
      <c r="D92">
        <v>38881</v>
      </c>
      <c r="E92" t="str">
        <v>Broiler Amarillo</v>
      </c>
      <c r="F92">
        <v>35</v>
      </c>
      <c r="G92">
        <v>0</v>
      </c>
      <c r="H92" t="str">
        <v>Abierto</v>
      </c>
      <c r="I92">
        <v>1.7969999999999999</v>
      </c>
      <c r="J92">
        <v>1.7969999999999999</v>
      </c>
      <c r="K92">
        <v>1.7969999999999999</v>
      </c>
      <c r="L92">
        <v>39200</v>
      </c>
      <c r="M92">
        <v>0</v>
      </c>
      <c r="N92">
        <v>319</v>
      </c>
      <c r="O92">
        <v>319</v>
      </c>
      <c r="P92">
        <v>77846</v>
      </c>
      <c r="Q92">
        <v>151500.83199999999</v>
      </c>
      <c r="R92">
        <v>4.0971578947368421</v>
      </c>
      <c r="S92">
        <v>152.41532394366197</v>
      </c>
      <c r="T92">
        <v>152.41532394366197</v>
      </c>
      <c r="U92">
        <v>4.0971599999999997</v>
      </c>
      <c r="V92">
        <v>994</v>
      </c>
      <c r="W92" t="str">
        <v>36993-SENDRA-FIGUERAS, SCP-1,2,3</v>
      </c>
    </row>
    <row r="93" spans="1:23" x14ac:dyDescent="0.25">
      <c r="A93" t="str">
        <v>2025-11-17</v>
      </c>
      <c r="B93" t="str">
        <v>36781-SANZ BORRAS CARLES-L:071-N:1-A:A15-POLLO AMARILLO MIXTO</v>
      </c>
      <c r="C93" t="str">
        <v>POLLO AMARILLO MIXTO</v>
      </c>
      <c r="D93">
        <v>60489</v>
      </c>
      <c r="E93" t="str">
        <v>Broiler Amarillo</v>
      </c>
      <c r="F93">
        <v>32</v>
      </c>
      <c r="G93">
        <v>0</v>
      </c>
      <c r="H93" t="str">
        <v>Abierto</v>
      </c>
      <c r="I93">
        <v>1.7809999999999999</v>
      </c>
      <c r="J93">
        <v>1.95475</v>
      </c>
      <c r="K93">
        <v>1.6739999999999999</v>
      </c>
      <c r="L93">
        <v>60600</v>
      </c>
      <c r="M93">
        <v>0</v>
      </c>
      <c r="N93">
        <v>108</v>
      </c>
      <c r="O93">
        <v>338</v>
      </c>
      <c r="P93">
        <v>60489</v>
      </c>
      <c r="Q93">
        <v>107730.909</v>
      </c>
      <c r="R93">
        <v>5.8875802997858671</v>
      </c>
      <c r="S93">
        <v>179.55151499999999</v>
      </c>
      <c r="T93">
        <v>179.55151499999999</v>
      </c>
      <c r="U93">
        <v>5.8875799999999998</v>
      </c>
      <c r="V93">
        <v>600</v>
      </c>
      <c r="W93" t="str">
        <v>36781-SANZ BORRAS CARLES</v>
      </c>
    </row>
    <row r="94" spans="1:23" x14ac:dyDescent="0.25">
      <c r="A94" t="str">
        <v>2025-11-17</v>
      </c>
      <c r="B94" t="str">
        <v>36781-SANZ BORRAS CARLES-L:071-N:2-A:A15-POLLO AMARILLO MIXTO</v>
      </c>
      <c r="C94" t="str">
        <v>POLLO AMARILLO MIXTO</v>
      </c>
      <c r="D94">
        <v>61943</v>
      </c>
      <c r="E94" t="str">
        <v>Broiler Amarillo</v>
      </c>
      <c r="F94">
        <v>32</v>
      </c>
      <c r="G94">
        <v>0</v>
      </c>
      <c r="H94" t="str">
        <v>Abierto</v>
      </c>
      <c r="I94">
        <v>1.766</v>
      </c>
      <c r="J94">
        <v>1.9154</v>
      </c>
      <c r="K94">
        <v>1.6739999999999999</v>
      </c>
      <c r="L94">
        <v>62100</v>
      </c>
      <c r="M94">
        <v>0</v>
      </c>
      <c r="N94">
        <v>153</v>
      </c>
      <c r="O94">
        <v>341</v>
      </c>
      <c r="P94">
        <v>61943</v>
      </c>
      <c r="Q94">
        <v>109391.338</v>
      </c>
      <c r="R94">
        <v>6.0291025890597627</v>
      </c>
      <c r="S94">
        <v>182.31889666666666</v>
      </c>
      <c r="T94">
        <v>182.31889666666666</v>
      </c>
      <c r="U94">
        <v>6.0290999999999997</v>
      </c>
      <c r="V94">
        <v>600</v>
      </c>
      <c r="W94" t="str">
        <v>36781-SANZ BORRAS CARLES</v>
      </c>
    </row>
    <row r="95" spans="1:23" x14ac:dyDescent="0.25">
      <c r="A95" t="str">
        <v>2025-11-17</v>
      </c>
      <c r="B95" t="str">
        <v>36781-SANZ BORRAS CARLES-L:071-N:3-A:A15-POLLO AMARILLO MIXTO</v>
      </c>
      <c r="C95" t="str">
        <v>POLLO AMARILLO MIXTO</v>
      </c>
      <c r="D95">
        <v>155539</v>
      </c>
      <c r="E95" t="str">
        <v>Broiler Amarillo</v>
      </c>
      <c r="F95">
        <v>32</v>
      </c>
      <c r="G95">
        <v>0</v>
      </c>
      <c r="H95" t="str">
        <v>Abierto</v>
      </c>
      <c r="I95">
        <v>1.7609999999999999</v>
      </c>
      <c r="J95">
        <v>1.9023099999999999</v>
      </c>
      <c r="K95">
        <v>1.6739999999999999</v>
      </c>
      <c r="L95">
        <v>156060</v>
      </c>
      <c r="M95">
        <v>0</v>
      </c>
      <c r="N95">
        <v>506</v>
      </c>
      <c r="O95">
        <v>844</v>
      </c>
      <c r="P95">
        <v>155539</v>
      </c>
      <c r="Q95">
        <v>273904.179</v>
      </c>
      <c r="R95">
        <v>6.3609929658105679</v>
      </c>
      <c r="S95">
        <v>191.80964915966388</v>
      </c>
      <c r="T95">
        <v>191.80964915966388</v>
      </c>
      <c r="U95">
        <v>6.3609900000000001</v>
      </c>
      <c r="V95">
        <v>1428</v>
      </c>
      <c r="W95" t="str">
        <v>36781-SANZ BORRAS CARLES</v>
      </c>
    </row>
    <row r="96" spans="1:23" x14ac:dyDescent="0.25">
      <c r="A96" t="str">
        <v>2025-11-17</v>
      </c>
      <c r="B96" t="str">
        <v>36785-SANZ SEBASTIA, IONE-L:054-N:1-A:A13-POLLO AMARILLO MACHO</v>
      </c>
      <c r="C96" t="str">
        <v>POLLO AMARILLO MACHO</v>
      </c>
      <c r="D96">
        <v>83420</v>
      </c>
      <c r="E96" t="str">
        <v>Broiler Amarillo</v>
      </c>
      <c r="F96">
        <v>31</v>
      </c>
      <c r="G96">
        <v>0</v>
      </c>
      <c r="H96" t="str">
        <v>Abierto</v>
      </c>
      <c r="I96">
        <v>1.7450000000000001</v>
      </c>
      <c r="J96">
        <v>1.8609800000000001</v>
      </c>
      <c r="K96">
        <v>1.6819999999999999</v>
      </c>
      <c r="L96">
        <v>84000</v>
      </c>
      <c r="M96">
        <v>0</v>
      </c>
      <c r="N96">
        <v>567</v>
      </c>
      <c r="O96">
        <v>545</v>
      </c>
      <c r="P96">
        <v>166380</v>
      </c>
      <c r="Q96">
        <v>274238.86</v>
      </c>
      <c r="R96">
        <v>5.1993749999999999</v>
      </c>
      <c r="S96">
        <v>157.60854022988505</v>
      </c>
      <c r="T96">
        <v>157.60854022988505</v>
      </c>
      <c r="U96">
        <v>5.1993799999999997</v>
      </c>
      <c r="V96">
        <v>1740</v>
      </c>
      <c r="W96" t="str">
        <v>36785-SANZ SEBASTIA, IONE</v>
      </c>
    </row>
    <row r="97" spans="1:23" x14ac:dyDescent="0.25">
      <c r="A97" t="str">
        <v>2025-11-17</v>
      </c>
      <c r="B97" t="str">
        <v>36994-SENDRA-FIGUERAS, SCP-4,5,6-L:013-N:5-A:A14-POLLO AMARILLO HEMBRAS</v>
      </c>
      <c r="C97" t="str">
        <v>POLLO AMARILLO HEMBRAS</v>
      </c>
      <c r="D97">
        <v>114313</v>
      </c>
      <c r="E97" t="str">
        <v>Broiler Amarillo</v>
      </c>
      <c r="F97">
        <v>34</v>
      </c>
      <c r="G97">
        <v>0</v>
      </c>
      <c r="H97" t="str">
        <v>Abierto</v>
      </c>
      <c r="I97">
        <v>1.724</v>
      </c>
      <c r="J97">
        <v>1.724</v>
      </c>
      <c r="K97">
        <v>1.724</v>
      </c>
      <c r="L97">
        <v>114800</v>
      </c>
      <c r="M97">
        <v>0</v>
      </c>
      <c r="N97">
        <v>487</v>
      </c>
      <c r="O97">
        <v>487</v>
      </c>
      <c r="P97">
        <v>225904</v>
      </c>
      <c r="Q97">
        <v>420703.97600000002</v>
      </c>
      <c r="R97">
        <v>7.153841281905124</v>
      </c>
      <c r="S97">
        <v>254.50936237144586</v>
      </c>
      <c r="T97">
        <v>254.50936237144586</v>
      </c>
      <c r="U97">
        <v>7.1538399999999998</v>
      </c>
      <c r="V97">
        <v>1653</v>
      </c>
      <c r="W97" t="str">
        <v>36994-SENDRA-FIGUERAS, SCP-4,5,6</v>
      </c>
    </row>
    <row r="98" spans="1:23" x14ac:dyDescent="0.25">
      <c r="A98" t="str">
        <v>2025-11-17</v>
      </c>
      <c r="B98" t="str">
        <v>36994-SENDRA-FIGUERAS, SCP-4,5,6-L:013-N:6-A:A14-POLLO AMARILLO HEMBRAS</v>
      </c>
      <c r="C98" t="str">
        <v>POLLO AMARILLO HEMBRAS</v>
      </c>
      <c r="D98">
        <v>64096</v>
      </c>
      <c r="E98" t="str">
        <v>Broiler Amarillo</v>
      </c>
      <c r="F98">
        <v>34</v>
      </c>
      <c r="G98">
        <v>0</v>
      </c>
      <c r="H98" t="str">
        <v>Abierto</v>
      </c>
      <c r="I98">
        <v>1.724</v>
      </c>
      <c r="J98">
        <v>1.724</v>
      </c>
      <c r="K98">
        <v>1.724</v>
      </c>
      <c r="L98">
        <v>64400</v>
      </c>
      <c r="M98">
        <v>0</v>
      </c>
      <c r="N98">
        <v>304</v>
      </c>
      <c r="O98">
        <v>304</v>
      </c>
      <c r="P98">
        <v>126694</v>
      </c>
      <c r="Q98">
        <v>235947.89600000001</v>
      </c>
      <c r="R98">
        <v>6.8706073752711498</v>
      </c>
      <c r="S98">
        <v>244.50559170984457</v>
      </c>
      <c r="T98">
        <v>244.50559170984457</v>
      </c>
      <c r="U98">
        <v>6.8706100000000001</v>
      </c>
      <c r="V98">
        <v>965</v>
      </c>
      <c r="W98" t="str">
        <v>36994-SENDRA-FIGUERAS, SCP-4,5,6</v>
      </c>
    </row>
    <row r="99" spans="1:23" x14ac:dyDescent="0.25">
      <c r="A99" t="str">
        <v>2025-11-17</v>
      </c>
      <c r="B99" t="str">
        <v>36994-SENDRA-FIGUERAS, SCP-4,5,6-L:013-N:4-A:A14-POLLO AMARILLO HEMBRAS</v>
      </c>
      <c r="C99" t="str">
        <v>POLLO AMARILLO HEMBRAS</v>
      </c>
      <c r="D99">
        <v>78720</v>
      </c>
      <c r="E99" t="str">
        <v>Broiler Amarillo</v>
      </c>
      <c r="F99">
        <v>34</v>
      </c>
      <c r="G99">
        <v>0</v>
      </c>
      <c r="H99" t="str">
        <v>Abierto</v>
      </c>
      <c r="I99">
        <v>1.724</v>
      </c>
      <c r="J99">
        <v>1.724</v>
      </c>
      <c r="K99">
        <v>1.724</v>
      </c>
      <c r="L99">
        <v>79100</v>
      </c>
      <c r="M99">
        <v>0</v>
      </c>
      <c r="N99">
        <v>380</v>
      </c>
      <c r="O99">
        <v>380</v>
      </c>
      <c r="P99">
        <v>155467</v>
      </c>
      <c r="Q99">
        <v>289514.26799999998</v>
      </c>
      <c r="R99">
        <v>7.0436299383834724</v>
      </c>
      <c r="S99">
        <v>250.66170389610389</v>
      </c>
      <c r="T99">
        <v>250.66170389610389</v>
      </c>
      <c r="U99">
        <v>7.0436300000000003</v>
      </c>
      <c r="V99">
        <v>1155</v>
      </c>
      <c r="W99" t="str">
        <v>36994-SENDRA-FIGUERAS, SCP-4,5,6</v>
      </c>
    </row>
    <row r="100" spans="1:23" x14ac:dyDescent="0.25">
      <c r="A100" t="str">
        <v>2025-11-17</v>
      </c>
      <c r="B100" t="str">
        <v>36977-Mº TERESA SANTACANA-L:036-N:1-A:A15-POLLO AMARILLO MIXTO</v>
      </c>
      <c r="C100" t="str">
        <v>POLLO AMARILLO MIXTO</v>
      </c>
      <c r="D100">
        <v>76316</v>
      </c>
      <c r="E100" t="str">
        <v>Broiler Amarillo</v>
      </c>
      <c r="F100">
        <v>31</v>
      </c>
      <c r="G100">
        <v>0</v>
      </c>
      <c r="H100" t="str">
        <v>Abierto</v>
      </c>
      <c r="I100">
        <v>1.6</v>
      </c>
      <c r="J100">
        <v>1.6964699999999999</v>
      </c>
      <c r="K100">
        <v>1.5920000000000001</v>
      </c>
      <c r="L100">
        <v>76500</v>
      </c>
      <c r="M100">
        <v>0</v>
      </c>
      <c r="N100">
        <v>184</v>
      </c>
      <c r="O100">
        <v>203</v>
      </c>
      <c r="P100">
        <v>76316</v>
      </c>
      <c r="Q100">
        <v>122105.60000000001</v>
      </c>
      <c r="R100">
        <v>5.0877333333333334</v>
      </c>
      <c r="S100">
        <v>134.18197802197801</v>
      </c>
      <c r="T100">
        <v>134.18197802197801</v>
      </c>
      <c r="U100">
        <v>5.0877299999999996</v>
      </c>
      <c r="V100">
        <v>910</v>
      </c>
      <c r="W100" t="str">
        <v>36977-Mº TERESA SANTACANA</v>
      </c>
    </row>
    <row r="101" spans="1:23" x14ac:dyDescent="0.25">
      <c r="A101" t="str">
        <v>2025-11-17</v>
      </c>
      <c r="B101" t="str">
        <v>36785-SANZ SEBASTIA, IONE-L:054-N:1-A:A14-POLLO AMARILLO HEMBRAS</v>
      </c>
      <c r="C101" t="str">
        <v>POLLO AMARILLO HEMBRAS</v>
      </c>
      <c r="D101">
        <v>82960</v>
      </c>
      <c r="E101" t="str">
        <v>Broiler Amarillo</v>
      </c>
      <c r="F101">
        <v>31</v>
      </c>
      <c r="G101">
        <v>0</v>
      </c>
      <c r="H101" t="str">
        <v>Abierto</v>
      </c>
      <c r="I101">
        <v>1.5509999999999999</v>
      </c>
      <c r="J101">
        <v>1.63208</v>
      </c>
      <c r="K101">
        <v>1.502</v>
      </c>
      <c r="L101">
        <v>83500</v>
      </c>
      <c r="M101">
        <v>0</v>
      </c>
      <c r="N101">
        <v>540</v>
      </c>
      <c r="O101">
        <v>540</v>
      </c>
      <c r="P101">
        <v>166380</v>
      </c>
      <c r="Q101">
        <v>274238.86</v>
      </c>
      <c r="R101">
        <v>5.1993749999999999</v>
      </c>
      <c r="S101">
        <v>157.60854022988505</v>
      </c>
      <c r="T101">
        <v>157.60854022988505</v>
      </c>
      <c r="U101">
        <v>5.1993799999999997</v>
      </c>
      <c r="V101">
        <v>1740</v>
      </c>
      <c r="W101" t="str">
        <v>36785-SANZ SEBASTIA, IONE</v>
      </c>
    </row>
    <row r="102" spans="1:23" x14ac:dyDescent="0.25">
      <c r="A102" t="str">
        <v>2025-11-17</v>
      </c>
      <c r="B102" t="str">
        <v>36870-GRANJA MONICA (Joan Sanz)-L:052-N:2-A:A13-POLLO AMARILLO MACHO</v>
      </c>
      <c r="C102" t="str">
        <v>POLLO AMARILLO MACHO</v>
      </c>
      <c r="D102">
        <v>100048</v>
      </c>
      <c r="E102" t="str">
        <v>Broiler Amarillo</v>
      </c>
      <c r="F102">
        <v>28</v>
      </c>
      <c r="G102">
        <v>0</v>
      </c>
      <c r="H102" t="str">
        <v>Abierto</v>
      </c>
      <c r="I102">
        <v>1.472</v>
      </c>
      <c r="J102">
        <v>1.59595</v>
      </c>
      <c r="K102">
        <v>1.419</v>
      </c>
      <c r="L102">
        <v>100800</v>
      </c>
      <c r="M102">
        <v>0</v>
      </c>
      <c r="N102">
        <v>740</v>
      </c>
      <c r="O102">
        <v>171</v>
      </c>
      <c r="P102">
        <v>200658</v>
      </c>
      <c r="Q102">
        <v>276453.89600000001</v>
      </c>
      <c r="R102">
        <v>6.6886000000000001</v>
      </c>
      <c r="S102">
        <v>180.68882091503269</v>
      </c>
      <c r="T102">
        <v>180.68882091503269</v>
      </c>
      <c r="U102">
        <v>6.6886000000000001</v>
      </c>
      <c r="V102">
        <v>1530</v>
      </c>
      <c r="W102" t="str">
        <v>36870-GRANJA MONICA (Joan Sanz)</v>
      </c>
    </row>
    <row r="103" spans="1:23" x14ac:dyDescent="0.25">
      <c r="A103" t="str">
        <v>2025-11-17</v>
      </c>
      <c r="B103" t="str">
        <v>36870-GRANJA MONICA (Joan Sanz)-L:052-N:1-A:A13-POLLO AMARILLO MACHO</v>
      </c>
      <c r="C103" t="str">
        <v>POLLO AMARILLO MACHO</v>
      </c>
      <c r="D103">
        <v>99608</v>
      </c>
      <c r="E103" t="str">
        <v>Broiler Amarillo</v>
      </c>
      <c r="F103">
        <v>28</v>
      </c>
      <c r="G103">
        <v>0</v>
      </c>
      <c r="H103" t="str">
        <v>Abierto</v>
      </c>
      <c r="I103">
        <v>1.4590000000000001</v>
      </c>
      <c r="J103">
        <v>1.55254</v>
      </c>
      <c r="K103">
        <v>1.419</v>
      </c>
      <c r="L103">
        <v>100800</v>
      </c>
      <c r="M103">
        <v>0</v>
      </c>
      <c r="N103">
        <v>1172</v>
      </c>
      <c r="O103">
        <v>445</v>
      </c>
      <c r="P103">
        <v>199963</v>
      </c>
      <c r="Q103">
        <v>274183.89199999999</v>
      </c>
      <c r="R103">
        <v>6.6654333333333335</v>
      </c>
      <c r="S103">
        <v>179.20515816993463</v>
      </c>
      <c r="T103">
        <v>179.20515816993463</v>
      </c>
      <c r="U103">
        <v>6.6654299999999997</v>
      </c>
      <c r="V103">
        <v>1530</v>
      </c>
      <c r="W103" t="str">
        <v>36870-GRANJA MONICA (Joan Sanz)</v>
      </c>
    </row>
    <row r="104" spans="1:23" x14ac:dyDescent="0.25">
      <c r="A104" t="str">
        <v>2025-11-17</v>
      </c>
      <c r="B104" t="str">
        <v>36047-XIFRE XIFRE JORDI-L:019-N:1-A:A13-POLLO AMARILLO MACHO</v>
      </c>
      <c r="C104" t="str">
        <v>POLLO AMARILLO MACHO</v>
      </c>
      <c r="D104">
        <v>87113</v>
      </c>
      <c r="E104" t="str">
        <v>Broiler Amarillo</v>
      </c>
      <c r="F104">
        <v>28</v>
      </c>
      <c r="G104">
        <v>0</v>
      </c>
      <c r="H104" t="str">
        <v>Abierto</v>
      </c>
      <c r="I104">
        <v>1.419</v>
      </c>
      <c r="J104">
        <v>1.419</v>
      </c>
      <c r="K104">
        <v>1.419</v>
      </c>
      <c r="L104">
        <v>87500</v>
      </c>
      <c r="M104">
        <v>0</v>
      </c>
      <c r="N104">
        <v>387</v>
      </c>
      <c r="O104">
        <v>387</v>
      </c>
      <c r="P104">
        <v>175098</v>
      </c>
      <c r="Q104">
        <v>241249.29199999999</v>
      </c>
      <c r="R104">
        <v>7.2769512093757793</v>
      </c>
      <c r="S104">
        <v>172.32092285714285</v>
      </c>
      <c r="T104">
        <v>172.32092285714285</v>
      </c>
      <c r="U104">
        <v>7.2769500000000003</v>
      </c>
      <c r="V104">
        <v>1400</v>
      </c>
      <c r="W104" t="str">
        <v>36047-XIFRE XIFRE JORDI</v>
      </c>
    </row>
    <row r="105" spans="1:23" x14ac:dyDescent="0.25">
      <c r="A105" t="str">
        <v>2025-11-17</v>
      </c>
      <c r="B105" t="str">
        <v>36047-XIFRE XIFRE JORDI-L:019-N:2-A:A15-POLLO AMARILLO MIXTO</v>
      </c>
      <c r="C105" t="str">
        <v>POLLO AMARILLO MIXTO</v>
      </c>
      <c r="D105">
        <v>225083</v>
      </c>
      <c r="E105" t="str">
        <v>Broiler Amarillo</v>
      </c>
      <c r="F105">
        <v>28</v>
      </c>
      <c r="G105">
        <v>0</v>
      </c>
      <c r="H105" t="str">
        <v>Abierto</v>
      </c>
      <c r="I105">
        <v>1.403</v>
      </c>
      <c r="J105">
        <v>1.6343099999999999</v>
      </c>
      <c r="K105">
        <v>1.351</v>
      </c>
      <c r="L105">
        <v>225435</v>
      </c>
      <c r="M105">
        <v>0</v>
      </c>
      <c r="N105">
        <v>349</v>
      </c>
      <c r="O105">
        <v>890</v>
      </c>
      <c r="P105">
        <v>225083</v>
      </c>
      <c r="Q105">
        <v>315791.44900000002</v>
      </c>
      <c r="R105">
        <v>7.2752925205249204</v>
      </c>
      <c r="S105">
        <v>175.43969388888888</v>
      </c>
      <c r="T105">
        <v>175.43969388888888</v>
      </c>
      <c r="U105">
        <v>7.27529</v>
      </c>
      <c r="V105">
        <v>1800</v>
      </c>
      <c r="W105" t="str">
        <v>36047-XIFRE XIFRE JORDI</v>
      </c>
    </row>
    <row r="106" spans="1:23" x14ac:dyDescent="0.25">
      <c r="A106" t="str">
        <v>2025-11-17</v>
      </c>
      <c r="B106" t="str">
        <v>36047-XIFRE XIFRE JORDI-L:019-N:1-A:A14-POLLO AMARILLO HEMBRAS</v>
      </c>
      <c r="C106" t="str">
        <v>POLLO AMARILLO HEMBRAS</v>
      </c>
      <c r="D106">
        <v>87985</v>
      </c>
      <c r="E106" t="str">
        <v>Broiler Amarillo</v>
      </c>
      <c r="F106">
        <v>28</v>
      </c>
      <c r="G106">
        <v>0</v>
      </c>
      <c r="H106" t="str">
        <v>Abierto</v>
      </c>
      <c r="I106">
        <v>1.337</v>
      </c>
      <c r="J106">
        <v>1.5595399999999999</v>
      </c>
      <c r="K106">
        <v>1.284</v>
      </c>
      <c r="L106">
        <v>88200</v>
      </c>
      <c r="M106">
        <v>0</v>
      </c>
      <c r="N106">
        <v>212</v>
      </c>
      <c r="O106">
        <v>387</v>
      </c>
      <c r="P106">
        <v>175098</v>
      </c>
      <c r="Q106">
        <v>241249.29199999999</v>
      </c>
      <c r="R106">
        <v>7.2769512093757793</v>
      </c>
      <c r="S106">
        <v>172.32092285714285</v>
      </c>
      <c r="T106">
        <v>172.32092285714285</v>
      </c>
      <c r="U106">
        <v>7.2769500000000003</v>
      </c>
      <c r="V106">
        <v>1400</v>
      </c>
      <c r="W106" t="str">
        <v>36047-XIFRE XIFRE JORDI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6478f47-69e8-4291-a44a-cc65aad15a8f}" enabled="1" method="Standard" siteId="{96c20d9e-b612-4c42-b402-9b9bc895edd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README</vt:lpstr>
      <vt:lpstr>USAGE</vt:lpstr>
      <vt:lpstr>USAGE_2D</vt:lpstr>
      <vt:lpstr>USAGE_2D_2</vt:lpstr>
      <vt:lpstr>USAGE_2D_3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Jardí</dc:creator>
  <cp:lastModifiedBy>Ramon Jardí</cp:lastModifiedBy>
  <dcterms:created xsi:type="dcterms:W3CDTF">2025-10-09T09:12:54Z</dcterms:created>
  <dcterms:modified xsi:type="dcterms:W3CDTF">2025-11-17T11:40:39Z</dcterms:modified>
</cp:coreProperties>
</file>