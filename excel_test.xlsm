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ostgresql-xls-integration\"/>
    </mc:Choice>
  </mc:AlternateContent>
  <xr:revisionPtr revIDLastSave="0" documentId="13_ncr:1_{673B2996-3B4D-4D01-BD7B-435F7C4401EF}" xr6:coauthVersionLast="47" xr6:coauthVersionMax="47" xr10:uidLastSave="{00000000-0000-0000-0000-000000000000}"/>
  <bookViews>
    <workbookView xWindow="28680" yWindow="-120" windowWidth="29040" windowHeight="15720" xr2:uid="{05E6C5A0-7147-4ACB-A5C3-F7A1309D5382}"/>
  </bookViews>
  <sheets>
    <sheet name="README" sheetId="2" r:id="rId1"/>
    <sheet name="USAGE" sheetId="1" r:id="rId2"/>
    <sheet name="USAGE_JSON" sheetId="3" r:id="rId3"/>
    <sheet name="USAGE_JSON_2" sheetId="5" r:id="rId4"/>
    <sheet name="USAGE_JSON_3" sheetId="6" r:id="rId5"/>
  </sheets>
  <functionGroups builtInGroupCount="19"/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3" l="1" a="1"/>
  <c r="A5" i="3"/>
  <c r="A5" i="6" a="1"/>
  <c r="A5" i="6"/>
  <c r="A5" i="5" a="1"/>
  <c r="A5" i="5"/>
  <c r="R2" i="1" a="1"/>
  <c r="R2" i="1"/>
  <c r="R4" i="1" a="1"/>
  <c r="R4" i="1"/>
  <c r="R3" i="1" a="1"/>
  <c r="R3" i="1"/>
  <c r="D3" i="1" a="1"/>
  <c r="D3" i="1"/>
  <c r="D4" i="1" a="1"/>
  <c r="D4" i="1"/>
  <c r="D5" i="1" a="1"/>
  <c r="D5" i="1"/>
  <c r="D2" i="1" a="1"/>
  <c r="D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<sst xmlns="http://schemas.openxmlformats.org/spreadsheetml/2006/main" count="785" uniqueCount="112">
  <si>
    <t>PDX</t>
  </si>
  <si>
    <t>BRAM</t>
  </si>
  <si>
    <t>p_empavi</t>
  </si>
  <si>
    <t>p_erpcodave</t>
  </si>
  <si>
    <t>p_fch</t>
  </si>
  <si>
    <t>Function</t>
  </si>
  <si>
    <t>BRMCD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</si>
  <si>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</si>
  <si>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</si>
  <si>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</si>
  <si>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</si>
  <si>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</si>
  <si>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</si>
  <si>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</si>
  <si>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Ejemplos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</si>
  <si>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</si>
  <si>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</si>
  <si>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</si>
  <si>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</si>
  <si>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</si>
  <si>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</si>
  <si>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</si>
  <si>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</si>
  <si>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</si>
  <si>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</si>
  <si>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</si>
  <si>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GetSalidasAvi -&gt; Datos Salida Granja</t>
  </si>
  <si>
    <t>GetEntradaAvi -&gt; Datos Entrada Granja</t>
  </si>
  <si>
    <t>GetStockAvi  -&gt; Datos Stock</t>
  </si>
  <si>
    <t>FUNCIONES EXCEL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</si>
  <si>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</si>
  <si>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</si>
  <si>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</si>
  <si>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</si>
  <si>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</si>
  <si>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</si>
  <si>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</si>
  <si>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</si>
  <si>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</si>
  <si>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</si>
  <si>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</si>
  <si>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</si>
  <si>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</si>
  <si>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</si>
  <si>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</si>
  <si>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</si>
  <si>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</si>
  <si>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</si>
  <si>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</si>
  <si>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SORTIDAS</t>
  </si>
  <si>
    <t>ENTRADAS</t>
  </si>
  <si>
    <t>STOCK</t>
  </si>
  <si>
    <t>api_xls.f_pla_get_data_stock</t>
  </si>
  <si>
    <t>FUNCION POSTGRES</t>
  </si>
  <si>
    <t>GetStockAvi("PDX";"STOCK_QTY";"BRAM";"10/10/2025;0;999;0;9999)</t>
  </si>
  <si>
    <t>GetEntradaAvi("PDX";ENTRADAS_QTY";"BRAM";"01/10/2025";"09/10/2025")</t>
  </si>
  <si>
    <t>GetSalidasAvi("PDX";"SALIDAS_QTY";"BRAM";"01/10/2025;"09/10/2025";0;999;0;9999)</t>
  </si>
  <si>
    <t>STOCK_QTY</t>
  </si>
  <si>
    <t>ENTRADAS_QTY</t>
  </si>
  <si>
    <t>SALIDAS_QTY</t>
  </si>
  <si>
    <t>Result</t>
  </si>
  <si>
    <t>GetStockData</t>
  </si>
  <si>
    <t>.</t>
  </si>
  <si>
    <t>Empresa</t>
  </si>
  <si>
    <t>Dato</t>
  </si>
  <si>
    <t>Producto Venta</t>
  </si>
  <si>
    <t>Fecha Stock</t>
  </si>
  <si>
    <t>Desde Fecha</t>
  </si>
  <si>
    <t>Hasta Fecha</t>
  </si>
  <si>
    <t>Desde días de Vida</t>
  </si>
  <si>
    <t>Hasta Días de Vida</t>
  </si>
  <si>
    <t>Peso Inicial</t>
  </si>
  <si>
    <t>Peso Final</t>
  </si>
  <si>
    <t>TOR</t>
  </si>
  <si>
    <t>GRJ_STOCK_QTY</t>
  </si>
  <si>
    <t>GetSetStockAvi</t>
  </si>
  <si>
    <t>FUNCIONES EXCEL  -&gt;JSON</t>
  </si>
  <si>
    <t>GetSetStockAvi  -&gt; Datos Stock</t>
  </si>
  <si>
    <t>GetSetEntradaAvi -&gt; Datos Entrada Granja</t>
  </si>
  <si>
    <t>GetSetSalidasAvi -&gt; Datos Salida Granja</t>
  </si>
  <si>
    <t>Ejemplos:</t>
  </si>
  <si>
    <t>select api_xls.f_pla_get_set_data_stock('TOR','GRJ_STOCK_QTY','BRAM', CURRENT_DATE::DATE,</t>
  </si>
  <si>
    <t>Presentación de los datos devueltos:</t>
  </si>
  <si>
    <t>Iniciar la presentación tres filas por debajo de la casilla del grup "data"</t>
  </si>
  <si>
    <t>Primera linea -&gt; Pintar el nombre de las claves del json</t>
  </si>
  <si>
    <t>Líneas Restantes -&gt; Pintar los valores de la clave</t>
  </si>
  <si>
    <t>Borrar 5 lineas por debajo de la última fila presentada,</t>
  </si>
  <si>
    <t>Ejemplo json:</t>
  </si>
  <si>
    <t xml:space="preserve">{"status" : 0, "message" : "OK", "parameters" : {"unidad_operacional" : "TOR", "peticion" : "GRJ_STOCK_QTY", "fecha_dato" : "2025-10-16", "coduop_interno" : 20, "codave_interno" : 5}, "data" : [{"fecha_stock":"2025-10-16","granja_lote_nave_art":"20399T-GRANJA TONIC-L:39-N:1-A:3001-POLLO AMARILLO MACHO","articulo":"POLLO AMARILLO MACHO","gst_codave":5,"producto_venta":"Broiler Amarillo","dias_vida":51,"fecha_entrada":"2025-08-26","cantidad_entrada":0,"estado":"Pre-Finalizado","peso_real":4.12103,"peso_real_rev":4.19291,"peso_matadero":null,"peso_granja":null,"peso_teorico":3.83400,"peso_avicontrol":null,"cantidad_entrada":14600.000,"stock_inicial":-5806.000,"ventas_acumuladas":-19940.000,"bajas_acumuladas":466.000,"bajas_teoricas":466.000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</si>
  <si>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{"fecha_stock":"2025-10-16","granja_lote_nave_art":"20388T-GRANJA CAMAR-L:38-N:2-A:3001-POLLO AMARILLO MACHO","articulo":"POLLO AMARILLO MACHO","gst_codave":5,"producto_venta":"Broiler Amarillo","dias_vida":52,"fecha_entrada":"2025-08-25","cantidad_entrada":0,"estado":"Pre-Finalizado","peso_real":4.07691,"peso_real_rev":4.11921,"peso_matadero":null,"peso_granja":null,"peso_teorico":3.92600,"peso_avicontrol":null,"cantidad_entrada":16000.000,"stock_inicial":-13156.000,"ventas_acumuladas":-28632.000,"bajas_acumuladas":524.000,"bajas_teoricas":524.000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</si>
  <si>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{"fecha_stock":"2025-10-16","granja_lote_nave_art":"20260T-DUARRI-MANONELLES SCP naus 1,2,3,4-L:38-N:1-A:3001-POLLO AMARILLO MACHO","articulo":"POLLO AMARILLO MACHO","gst_codave":5,"producto_venta":"Broiler Amarillo","dias_vida":48,"fecha_entrada":"2025-08-29","cantidad_entrada":0,"estado":"Pre-Finalizado","peso_real":4.04626,"peso_real_rev":4.09019,"peso_matadero":null,"peso_granja":null,"peso_teorico":3.55200,"peso_avicontrol":null,"cantidad_entrada":9000.000,"stock_inicial":120.000,"ventas_acumuladas":-8593.000,"bajas_acumuladas":287.000,"bajas_teoricas":287.000,"stock_nave":363.000,"kilos_nave":1246.646,"capacidad_nave":0.02268750000000000000,"densidad_nave":1.0493653198653199,"kgm2_nave":1.0493653198653199,"capacidad_nave":0.02269,"m2_nave":1188.00000,"granja":"20260T-DUARRI-MANONELLES SCP naus 1,2,3,4"}, </t>
  </si>
  <si>
    <t xml:space="preserve"> {"fecha_stock":"2025-10-16","granja_lote_nave_art":"20358T-CA L.IGNASI-L:38-N:2-A:3001-POLLO AMARILLO MACHO","articulo":"POLLO AMARILLO MACHO","gst_codave":5,"producto_venta":"Broiler Amarillo","dias_vida":51,"fecha_entrada":"2025-08-26","cantidad_entrada":0,"estado":"Pre-Finalizado","peso_real":3.92142,"peso_real_rev":3.94701,"peso_matadero":null,"peso_granja":null,"peso_teorico":3.83400,"peso_avicontrol":null,"cantidad_entrada":17200.000,"stock_inicial":-4621.000,"ventas_acumuladas":-21269.000,"bajas_acumuladas":552.000,"bajas_teoricas":552.000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</si>
  <si>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{"fecha_stock":"2025-10-16","granja_lote_nave_art":"20416T-PUJANTELL-AVICOLA-L:31-N:1-A:3001-POLLO AMARILLO MACHO","articulo":"POLLO AMARILLO MACHO","gst_codave":5,"producto_venta":"Broiler Amarillo","dias_vida":49,"fecha_entrada":"2025-08-28","cantidad_entrada":0,"estado":"Pre-Finalizado","peso_real":3.89229,"peso_real_rev":3.90586,"peso_matadero":null,"peso_granja":null,"peso_teorico":3.64700,"peso_avicontrol":null,"cantidad_entrada":22000.000,"stock_inicial":385.000,"ventas_acumuladas":-20728.000,"bajas_acumuladas":719.000,"bajas_teoricas":719.000,"stock_nave":275.000,"kilos_nave":1164.761,"capacidad_nave":0.00639534883720930233,"densidad_nave":0.49146033755274261603,"kgm2_nave":0.49146033755274261603,"capacidad_nave":0.00640,"m2_nave":2370.00000,"granja":"20416T-PUJANTELL-AVICOLA"}, </t>
  </si>
  <si>
    <t xml:space="preserve"> {"fecha_stock":"2025-10-16","granja_lote_nave_art":"20260T-DUARRI-MANONELLES SCP naus 1,2,3,4-L:38-N:4-A:3001-POLLO AMARILLO MACHO","articulo":"POLLO AMARILLO MACHO","gst_codave":5,"producto_venta":"Broiler Amarillo","dias_vida":48,"fecha_entrada":"2025-08-29","cantidad_entrada":0,"estado":"Pre-Finalizado","peso_real":3.88245,"peso_real_rev":3.90133,"peso_matadero":null,"peso_granja":null,"peso_teorico":3.55200,"peso_avicontrol":null,"cantidad_entrada":4700.000,"stock_inicial":0.000,"ventas_acumuladas":-4471.000,"bajas_acumuladas":109.000,"bajas_teoricas":109.000,"stock_nave":0.000,"kilos_nave":0.000,"capacidad_nave":0.00000000000000000000,"densidad_nave":0.00000000000000000000,"kgm2_nave":0.00000000000000000000,"capacidad_nave":0.00000,"m2_nave":407.00000,"granja":"20260T-DUARRI-MANONELLES SCP naus 1,2,3,4"}, </t>
  </si>
  <si>
    <t xml:space="preserve"> {"fecha_stock":"2025-10-16","granja_lote_nave_art":"20260T-DUARRI-MANONELLES SCP naus 1,2,3,4-L:38-N:2-A:3001-POLLO AMARILLO MACHO","articulo":"POLLO AMARILLO MACHO","gst_codave":5,"producto_venta":"Broiler Amarillo","dias_vida":48,"fecha_entrada":"2025-08-29","cantidad_entrada":0,"estado":"Pre-Finalizado","peso_real":3.85944,"peso_real_rev":3.86798,"peso_matadero":null,"peso_granja":null,"peso_teorico":3.55200,"peso_avicontrol":null,"cantidad_entrada":16500.000,"stock_inicial":1530.000,"ventas_acumuladas":-14427.000,"bajas_acumuladas":535.000,"bajas_teoricas":535.000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</si>
  <si>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{"fecha_stock":"2025-10-16","granja_lote_nave_art":"20358T-CA L.IGNASI-L:38-N:1-A:3001-POLLO AMARILLO MACHO","articulo":"POLLO AMARILLO MACHO","gst_codave":5,"producto_venta":"Broiler Amarillo","dias_vida":51,"fecha_entrada":"2025-08-26","cantidad_entrada":0,"estado":"Abierto","peso_real":3.66413,"peso_real_rev":3.48776,"peso_matadero":null,"peso_granja":null,"peso_teorico":3.83400,"peso_avicontrol":null,"cantidad_entrada":16800.000,"stock_inicial":-1157.000,"ventas_acumuladas":-17762.000,"bajas_acumuladas":195.000,"bajas_teoricas":195.000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</si>
  <si>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{"fecha_stock":"2025-10-16","granja_lote_nave_art":"20388T-GRANJA CAMAR-L:38-N:1-A:3001-POLLO AMARILLO MACHO","articulo":"POLLO AMARILLO MACHO","gst_codave":5,"producto_venta":"Broiler Amarillo","dias_vida":52,"fecha_entrada":"2025-08-25","cantidad_entrada":0,"estado":"Pre-Finalizado","peso_real":3.63802,"peso_real_rev":3.58951,"peso_matadero":null,"peso_granja":null,"peso_teorico":3.92600,"peso_avicontrol":null,"cantidad_entrada":15500.000,"stock_inicial":-11813.000,"ventas_acumuladas":-26825.000,"bajas_acumuladas":488.000,"bajas_teoricas":488.000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</si>
  <si>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{"fecha_stock":"2025-10-16","granja_lote_nave_art":"20268T-CIRERA-L:37-N:3-A:3001-POLLO AMARILLO MACHO","articulo":"POLLO AMARILLO MACHO","gst_codave":5,"producto_venta":"Broiler Amarillo","dias_vida":49,"fecha_entrada":"2025-08-28","cantidad_entrada":0,"estado":"Pre-Finalizado","peso_real":3.61606,"peso_real_rev":3.61343,"peso_matadero":null,"peso_granja":null,"peso_teorico":3.64700,"peso_avicontrol":null,"cantidad_entrada":15000.000,"stock_inicial":-258.000,"ventas_acumuladas":-14450.000,"bajas_acumuladas":808.000,"bajas_teoricas":477.000,"stock_nave":-825.000,"kilos_nave":-2650.692,"capacidad_nave":-0.02844827586206896552,"densidad_nave":-1.6241985294117647,"kgm2_nave":-1.6241985294117647,"capacidad_nave":-0.02845,"m2_nave":1632.00000,"granja":"20268T-CIRERA"}, </t>
  </si>
  <si>
    <t xml:space="preserve"> {"fecha_stock":"2025-10-16","granja_lote_nave_art":"20260T-DUARRI-MANONELLES SCP naus 1,2,3,4-L:38-N:3-A:3001-POLLO AMARILLO MACHO","articulo":"POLLO AMARILLO MACHO","gst_codave":5,"producto_venta":"Broiler Amarillo","dias_vida":48,"fecha_entrada":"2025-08-29","cantidad_entrada":0,"estado":"Pre-Finalizado","peso_real":3.51988,"peso_real_rev":3.51804,"peso_matadero":null,"peso_granja":null,"peso_teorico":3.55200,"peso_avicontrol":null,"cantidad_entrada":9800.000,"stock_inicial":0.000,"ventas_acumuladas":-9421.000,"bajas_acumuladas":304.000,"bajas_teoricas":304.000,"stock_nave":431.000,"kilos_nave":1378.709,"capacidad_nave":0.02155000000000000000,"densidad_nave":1.1723715986394558,"kgm2_nave":1.1723715986394558,"capacidad_nave":0.02155,"m2_nave":1176.00000,"granja":"20260T-DUARRI-MANONELLES SCP naus 1,2,3,4"}, </t>
  </si>
  <si>
    <t xml:space="preserve"> {"fecha_stock":"2025-10-16","granja_lote_nave_art":"20268T-CIRERA-L:37-N:1-A:3003-POLLO AMARILLO MIXTO","articulo":"POLLO AMARILLO MIXTO","gst_codave":5,"producto_venta":"Broiler Amarillo","dias_vida":49,"fecha_entrada":"2025-08-28","cantidad_entrada":0,"estado":"Pre-Finalizado","peso_real":3.51455,"peso_real_rev":3.53188,"peso_matadero":null,"peso_granja":null,"peso_teorico":3.36100,"peso_avicontrol":null,"cantidad_entrada":27000.000,"stock_inicial":294.000,"ventas_acumuladas":-25848.000,"bajas_acumuladas":858.000,"bajas_teoricas":858.000,"stock_nave":294.000,"kilos_nave":1033.278,"capacidad_nave":0.01013793103448275862,"densidad_nave":0.63313602941176470588,"kgm2_nave":0.63313602941176470588,"capacidad_nave":0.01014,"m2_nave":1632.00000,"granja":"20268T-CIRERA"}, </t>
  </si>
  <si>
    <t xml:space="preserve"> {"fecha_stock":"2025-10-16","granja_lote_nave_art":"20260T-DUARRI-MANONELLES SCP naus 1,2,3,4-L:38-N:2-A:3002-POLLO AMARILLO HEMBRAS","articulo":"POLLO AMARILLO HEMBRAS","gst_codave":5,"producto_venta":"Broiler Amarillo","dias_vida":48,"fecha_entrada":"2025-08-29","cantidad_entrada":0,"estado":"Pre-Finalizado","peso_real":3.50523,"peso_real_rev":3.54979,"peso_matadero":null,"peso_granja":null,"peso_teorico":2.95200,"peso_avicontrol":null,"cantidad_entrada":16200.000,"stock_inicial":-803.000,"ventas_acumuladas":-16467.000,"bajas_acumuladas":536.000,"bajas_teoricas":536.000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</si>
  <si>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{"fecha_stock":"2025-10-16","granja_lote_nave_art":"20427T-MARIA PRAT NOGUERA-L:23-N:3-A:3002-POLLO AMARILLO HEMBRAS","articulo":"POLLO AMARILLO HEMBRAS","gst_codave":5,"producto_venta":"Broiler Amarillo","dias_vida":55,"fecha_entrada":"2025-08-22","cantidad_entrada":0,"estado":"Pre-Finalizado","peso_real":3.48322,"peso_real_rev":3.45074,"peso_matadero":null,"peso_granja":null,"peso_teorico":3.43500,"peso_avicontrol":null,"cantidad_entrada":13500.000,"stock_inicial":190.000,"ventas_acumuladas":-13109.000,"bajas_acumuladas":448.000,"bajas_teoricas":448.000,"stock_nave":190.000,"kilos_nave":661.812,"capacidad_nave":0.00703703703703703704,"densidad_nave":0.41966518706404565631,"kgm2_nave":0.41966518706404565631,"capacidad_nave":-0.01126,"m2_nave":1577.00000,"granja":"20427T-MARIA PRAT NOGUERA"}, </t>
  </si>
  <si>
    <t xml:space="preserve"> {"fecha_stock":"2025-10-16","granja_lote_nave_art":"20388T-GRANJA CAMAR-L:38-N:1-A:3002-POLLO AMARILLO HEMBRAS","articulo":"POLLO AMARILLO HEMBRAS","gst_codave":5,"producto_venta":"Broiler Amarillo","dias_vida":52,"fecha_entrada":"2025-08-25","cantidad_entrada":0,"estado":"Pre-Finalizado","peso_real":3.47425,"peso_real_rev":3.51088,"peso_matadero":null,"peso_granja":null,"peso_teorico":3.23400,"peso_avicontrol":null,"cantidad_entrada":15500.000,"stock_inicial":-11426.000,"ventas_acumuladas":-26433.000,"bajas_acumuladas":493.000,"bajas_teoricas":493.000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</si>
  <si>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{"fecha_stock":"2025-10-16","granja_lote_nave_art":"20388T-GRANJA CAMAR-L:38-N:2-A:3002-POLLO AMARILLO HEMBRAS","articulo":"POLLO AMARILLO HEMBRAS","gst_codave":5,"producto_venta":"Broiler Amarillo","dias_vida":52,"fecha_entrada":"2025-08-25","cantidad_entrada":0,"estado":"Pre-Finalizado","peso_real":3.39827,"peso_real_rev":3.42331,"peso_matadero":null,"peso_granja":null,"peso_teorico":3.23400,"peso_avicontrol":null,"cantidad_entrada":16000.000,"stock_inicial":3217.000,"ventas_acumuladas":-12253.000,"bajas_acumuladas":530.000,"bajas_teoricas":530.000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</si>
  <si>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{"fecha_stock":"2025-10-16","granja_lote_nave_art":"20358T-CA L.IGNASI-L:38-N:4-A:3002-POLLO AMARILLO HEMBRAS","articulo":"POLLO AMARILLO HEMBRAS","gst_codave":5,"producto_venta":"Broiler Amarillo","dias_vida":55,"fecha_entrada":"2025-08-22","cantidad_entrada":0,"estado":"Pre-Finalizado","peso_real":3.39611,"peso_real_rev":3.28483,"peso_matadero":null,"peso_granja":null,"peso_teorico":3.43500,"peso_avicontrol":null,"cantidad_entrada":18500.000,"stock_inicial":-242.000,"ventas_acumuladas":-18154.000,"bajas_acumuladas":588.000,"bajas_teoricas":588.000,"stock_nave":-242.000,"kilos_nave":-821.859,"capacidad_nave":-0.00636842105263157895,"densidad_nave":-0.41092950000000000000,"kgm2_nave":-0.41092950000000000000,"capacidad_nave":-0.00637,"m2_nave":2000.00000,"granja":"20358T-CA L.IGNASI"}, </t>
  </si>
  <si>
    <t xml:space="preserve"> {"fecha_stock":"2025-10-16","granja_lote_nave_art":"20358T-CA L.IGNASI-L:38-N:1-A:3002-POLLO AMARILLO HEMBRAS","articulo":"POLLO AMARILLO HEMBRAS","gst_codave":5,"producto_venta":"Broiler Amarillo","dias_vida":51,"fecha_entrada":"2025-08-26","cantidad_entrada":0,"estado":"Abierto","peso_real":3.38031,"peso_real_rev":3.40164,"peso_matadero":null,"peso_granja":null,"peso_teorico":3.16500,"peso_avicontrol":null,"cantidad_entrada":16800.000,"stock_inicial":5501.000,"ventas_acumuladas":-11016.000,"bajas_acumuladas":206.000,"bajas_teoricas":206.000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</si>
  <si>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{"fecha_stock":"2025-10-16","granja_lote_nave_art":"20432T-CASANOVA DEL PUIG (Cal Tiet)-L:21-N:1-A:3001-POLLO AMARILLO MACHO","articulo":"POLLO AMARILLO MACHO","gst_codave":5,"producto_venta":"Broiler Amarillo","dias_vida":44,"fecha_entrada":"2025-09-02","cantidad_entrada":0,"estado":"Abierto","peso_real":3.34800,"peso_real_rev":3.35388,"peso_matadero":null,"peso_granja":null,"peso_teorico":3.16400,"peso_avicontrol":null,"cantidad_entrada":15500.000,"stock_inicial":2704.000,"ventas_acumuladas":-12308.000,"bajas_acumuladas":488.000,"bajas_teoricas":488.000,"stock_nave":18663.000,"kilos_nave":53658.397,"capacidad_nave":0.58873817034700315457,"densidad_nave":30.4877255681818182,"kgm2_nave":30.4877255681818182,"capacidad_nave":0.58874,"m2_nave":1760.00000,"granja":"20432T-CASANOVA DEL PUIG (Cal Tiet)"}, </t>
  </si>
  <si>
    <t xml:space="preserve"> {"fecha_stock":"2025-10-16","granja_lote_nave_art":"20399T-GRANJA TONIC-L:39-N:1-A:3002-POLLO AMARILLO HEMBRAS","articulo":"POLLO AMARILLO HEMBRAS","gst_codave":5,"producto_venta":"Broiler Amarillo","dias_vida":51,"fecha_entrada":"2025-08-26","cantidad_entrada":0,"estado":"Pre-Finalizado","peso_real":3.32454,"peso_real_rev":3.37474,"peso_matadero":null,"peso_granja":null,"peso_teorico":3.16500,"peso_avicontrol":null,"cantidad_entrada":14700.000,"stock_inicial":1174.000,"ventas_acumuladas":-13390.000,"bajas_acumuladas":476.000,"bajas_teoricas":476.000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</si>
  <si>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{"fecha_stock":"2025-10-16","granja_lote_nave_art":"20228T-DE FEBRER ROSAS JOSEP M.-L:39-N:2-A:3001-POLLO AMARILLO MACHO","articulo":"POLLO AMARILLO MACHO","gst_codave":5,"producto_venta":"Broiler Amarillo","dias_vida":45,"fecha_entrada":"2025-09-01","cantidad_entrada":0,"estado":"Pre-Finalizado","peso_real":3.27849,"peso_real_rev":3.28381,"peso_matadero":null,"peso_granja":null,"peso_teorico":3.26200,"peso_avicontrol":null,"cantidad_entrada":16500.000,"stock_inicial":-252.000,"ventas_acumuladas":-16182.000,"bajas_acumuladas":570.000,"bajas_teoricas":535.000,"stock_nave":-433.000,"kilos_nave":-1021.116,"capacidad_nave":-0.01237142857142857143,"densidad_nave":-0.56728666666666666667,"kgm2_nave":-0.56728666666666666667,"capacidad_nave":-0.01237,"m2_nave":1800.00000,"granja":"20228T-DE FEBRER ROSAS JOSEP M."}, </t>
  </si>
  <si>
    <t xml:space="preserve"> {"fecha_stock":"2025-10-16","granja_lote_nave_art":"20396T-CAL FITÓ-L:40-N:2-A:3001-POLLO AMARILLO MACHO","articulo":"POLLO AMARILLO MACHO","gst_codave":5,"producto_venta":"Broiler Amarillo","dias_vida":42,"fecha_entrada":"2025-09-04","cantidad_entrada":0,"estado":"Pre-Finalizado","peso_real":3.27000,"peso_real_rev":3.28039,"peso_matadero":null,"peso_granja":null,"peso_teorico":2.96600,"peso_avicontrol":null,"cantidad_entrada":17200.000,"stock_inicial":16648.000,"ventas_acumuladas":0.000,"bajas_acumuladas":552.000,"bajas_teoricas":552.000,"stock_nave":-1273.000,"kilos_nave":10753.476,"capacidad_nave":-0.03822822822822822823,"densidad_nave":6.3442336283185841,"kgm2_nave":6.3442336283185841,"capacidad_nave":-0.03823,"m2_nave":1695.00000,"granja":"20396T-CAL FITÓ"}, </t>
  </si>
  <si>
    <t xml:space="preserve"> {"fecha_stock":"2025-10-16","granja_lote_nave_art":"20358T-CA L.IGNASI-L:38-N:2-A:3002-POLLO AMARILLO HEMBRAS","articulo":"POLLO AMARILLO HEMBRAS","gst_codave":5,"producto_venta":"Broiler Amarillo","dias_vida":51,"fecha_entrada":"2025-08-26","cantidad_entrada":0,"estado":"Pre-Finalizado","peso_real":3.24662,"peso_real_rev":3.26227,"peso_matadero":null,"peso_granja":null,"peso_teorico":3.16500,"peso_avicontrol":null,"cantidad_entrada":17200.000,"stock_inicial":-2354.000,"ventas_acumuladas":-18996.000,"bajas_acumuladas":558.000,"bajas_teoricas":558.000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</si>
  <si>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{"fecha_stock":"2025-10-16","granja_lote_nave_art":"20358T-CA L.IGNASI-L:38-N:3-A:3002-POLLO AMARILLO HEMBRAS","articulo":"POLLO AMARILLO HEMBRAS","gst_codave":5,"producto_venta":"Broiler Amarillo","dias_vida":55,"fecha_entrada":"2025-08-22","cantidad_entrada":0,"estado":"Pre-Finalizado","peso_real":3.23728,"peso_real_rev":3.19915,"peso_matadero":null,"peso_granja":null,"peso_teorico":3.43500,"peso_avicontrol":null,"cantidad_entrada":18500.000,"stock_inicial":-101.000,"ventas_acumuladas":-18133.000,"bajas_acumuladas":468.000,"bajas_teoricas":468.000,"stock_nave":-101.000,"kilos_nave":-326.965,"capacidad_nave":-0.00265789473684210526,"densidad_nave":-0.16381012024048096192,"kgm2_nave":-0.16381012024048096192,"capacidad_nave":-0.00266,"m2_nave":1996.00000,"granja":"20358T-CA L.IGNASI"}]}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</si>
</sst>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rgb="FF739ECA"/>
      <name val="Consolas"/>
      <family val="3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43" fontId="8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quotePrefix="1" applyNumberFormat="1"/>
    <xf numFmtId="0" fontId="2" fillId="0" borderId="0" xfId="1"/>
    <xf numFmtId="0" fontId="3" fillId="0" borderId="0" xfId="1" applyFont="1"/>
    <xf numFmtId="0" fontId="4" fillId="2" borderId="1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1" xfId="1" applyBorder="1" applyAlignment="1">
      <alignment horizontal="center"/>
    </xf>
    <xf numFmtId="0" fontId="2" fillId="0" borderId="1" xfId="1" applyBorder="1"/>
    <xf numFmtId="0" fontId="2" fillId="0" borderId="3" xfId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/>
    <xf numFmtId="0" fontId="5" fillId="0" borderId="0" xfId="1" applyFont="1"/>
    <xf numFmtId="0" fontId="6" fillId="0" borderId="0" xfId="0" applyFont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9" fillId="3" borderId="4" xfId="0" applyFont="1" applyFill="1" applyBorder="1" applyAlignment="1">
      <alignment horizontal="left" vertical="top" wrapText="1"/>
    </xf>
    <xf numFmtId="0" fontId="9" fillId="3" borderId="5" xfId="0" applyFont="1" applyFill="1" applyBorder="1" applyAlignment="1">
      <alignment horizontal="left" vertical="top" wrapText="1"/>
    </xf>
    <xf numFmtId="0" fontId="0" fillId="4" borderId="6" xfId="0" applyFill="1" applyBorder="1"/>
    <xf numFmtId="0" fontId="0" fillId="4" borderId="7" xfId="0" applyFill="1" applyBorder="1"/>
    <xf numFmtId="14" fontId="0" fillId="4" borderId="7" xfId="0" applyNumberFormat="1" applyFill="1" applyBorder="1"/>
    <xf numFmtId="0" fontId="4" fillId="0" borderId="0" xfId="1" applyFont="1"/>
    <xf numFmtId="0" fontId="2" fillId="2" borderId="1" xfId="1" applyFill="1" applyBorder="1" applyAlignment="1">
      <alignment horizontal="center"/>
    </xf>
    <xf numFmtId="0" fontId="0" fillId="0" borderId="0" xfId="0" applyFill="1"/>
  </cellXfs>
  <cellStyles count="3">
    <cellStyle name="Millares 2" xfId="2" xr:uid="{6C296D83-D875-45F9-8AE8-9220B61BAC5D}"/>
    <cellStyle name="Normal" xfId="0" builtinId="0"/>
    <cellStyle name="Normal 2" xfId="1" xr:uid="{4F265D0F-F0F8-41E6-8241-506690B81C08}"/>
  </cellStyles>
  <dxfs count="4">
    <dxf>
      <numFmt numFmtId="164" formatCode="#,##0_ ;\-#,##0\ "/>
    </dxf>
    <dxf>
      <numFmt numFmtId="19" formatCode="dd/mm/yyyy"/>
    </dxf>
    <dxf>
      <numFmt numFmtId="19" formatCode="dd/mm/yyyy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D0CDB-1B09-4054-ACB4-CCE2938B6586}" name="Tabla1" displayName="Tabla1" ref="F1:R4" totalsRowShown="0" headerRowDxfId="3">
  <autoFilter ref="F1:R4" xr:uid="{7A5D0CDB-1B09-4054-ACB4-CCE2938B6586}"/>
  <tableColumns count="13">
    <tableColumn id="1" xr3:uid="{BD7C8B58-B743-484C-AFF3-7831C4837138}" name="Empresa"/>
    <tableColumn id="2" xr3:uid="{A09A0A58-0C69-4F05-A2E9-CA6EA8C4413F}" name="Dato"/>
    <tableColumn id="3" xr3:uid="{C5B5DC5A-F4D6-4A89-98D1-F53D034FA8A2}" name="Producto Venta"/>
    <tableColumn id="4" xr3:uid="{F516E9ED-D821-4435-9F1A-1EE07EB99D23}" name="Fecha Stock"/>
    <tableColumn id="5" xr3:uid="{ADB3D741-47C8-44B7-8DD4-B8F5E313D993}" name="Desde Fecha" dataDxfId="2"/>
    <tableColumn id="6" xr3:uid="{75C8AA13-6E74-4926-910C-68A49E53F009}" name="Hasta Fecha" dataDxfId="1"/>
    <tableColumn id="7" xr3:uid="{D1B315E7-823F-41F2-8196-97A9DCF7677A}" name="Desde días de Vida"/>
    <tableColumn id="8" xr3:uid="{CD5FEF3A-196D-4D67-B9D1-B3374DDE9AD0}" name="Hasta Días de Vida"/>
    <tableColumn id="9" xr3:uid="{71B6A375-684F-42FD-A348-AEB73ACC0500}" name="Peso Inicial"/>
    <tableColumn id="10" xr3:uid="{30CF6BD8-AF17-42AB-99FA-73F144ABB3E3}" name="Peso Final"/>
    <tableColumn id="11" xr3:uid="{67F9F385-B101-498E-8CF8-5589193BE617}" name="."/>
    <tableColumn id="12" xr3:uid="{DB7FA186-F982-4A2C-8276-17473E4622D3}" name="Function"/>
    <tableColumn id="13" xr3:uid="{1BF1C2DA-74D7-4549-8FC4-08DFAF7C6F6F}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B3:G127"/>
  <sheetViews>
    <sheetView tabSelected="1" workbookViewId="0">
      <selection activeCell="B19" sqref="B19"/>
    </sheetView>
  </sheetViews>
  <sheetFormatPr baseColWidth="10" defaultRowHeight="15.75" x14ac:dyDescent="0.25"/>
  <cols>
    <col min="1" max="1" width="11.42578125" style="2"/>
    <col min="2" max="2" width="88" style="2" bestFit="1" customWidth="1"/>
    <col min="3" max="3" width="17.5703125" style="2" customWidth="1"/>
    <col min="4" max="4" width="16.28515625" style="2" customWidth="1"/>
    <col min="5" max="5" width="19" style="2" customWidth="1"/>
    <col min="6" max="6" width="12.28515625" style="2" customWidth="1"/>
    <col min="7" max="16384" width="11.42578125" style="2"/>
  </cols>
  <sheetData>
    <row r="3" spans="2:6" ht="24" x14ac:dyDescent="0.4">
      <c r="B3" s="3" t="s">
        <v>53</v>
      </c>
    </row>
    <row r="5" spans="2:6" ht="26.25" x14ac:dyDescent="0.4">
      <c r="B5" s="13" t="s">
        <v>52</v>
      </c>
    </row>
    <row r="8" spans="2:6" x14ac:dyDescent="0.25">
      <c r="C8" s="2" t="s">
        <v>51</v>
      </c>
      <c r="D8" s="2" t="s">
        <v>50</v>
      </c>
      <c r="E8" s="2" t="s">
        <v>49</v>
      </c>
    </row>
    <row r="10" spans="2:6" x14ac:dyDescent="0.25">
      <c r="C10" s="27" t="s">
        <v>48</v>
      </c>
      <c r="D10" s="27"/>
      <c r="E10" s="27"/>
    </row>
    <row r="11" spans="2:6" x14ac:dyDescent="0.25">
      <c r="B11" s="12" t="s">
        <v>47</v>
      </c>
      <c r="C11" s="4" t="s">
        <v>46</v>
      </c>
      <c r="D11" s="4" t="s">
        <v>45</v>
      </c>
      <c r="E11" s="4" t="s">
        <v>44</v>
      </c>
      <c r="F11" s="11" t="s">
        <v>43</v>
      </c>
    </row>
    <row r="12" spans="2:6" x14ac:dyDescent="0.25">
      <c r="B12" s="9" t="s">
        <v>42</v>
      </c>
      <c r="C12" s="8" t="s">
        <v>31</v>
      </c>
      <c r="D12" s="8" t="s">
        <v>31</v>
      </c>
      <c r="E12" s="8" t="s">
        <v>31</v>
      </c>
      <c r="F12" s="7"/>
    </row>
    <row r="13" spans="2:6" x14ac:dyDescent="0.25">
      <c r="B13" s="9" t="s">
        <v>41</v>
      </c>
      <c r="C13" s="8" t="s">
        <v>31</v>
      </c>
      <c r="D13" s="8" t="s">
        <v>31</v>
      </c>
      <c r="E13" s="8" t="s">
        <v>31</v>
      </c>
      <c r="F13" s="7"/>
    </row>
    <row r="14" spans="2:6" x14ac:dyDescent="0.25">
      <c r="B14" s="9" t="s">
        <v>40</v>
      </c>
      <c r="C14" s="8" t="s">
        <v>31</v>
      </c>
      <c r="D14" s="8" t="s">
        <v>31</v>
      </c>
      <c r="E14" s="8" t="s">
        <v>31</v>
      </c>
      <c r="F14" s="7"/>
    </row>
    <row r="15" spans="2:6" x14ac:dyDescent="0.25">
      <c r="B15" s="9" t="s">
        <v>39</v>
      </c>
      <c r="C15" s="8" t="s">
        <v>31</v>
      </c>
      <c r="D15" s="8"/>
      <c r="E15" s="8"/>
      <c r="F15" s="7" t="s">
        <v>36</v>
      </c>
    </row>
    <row r="16" spans="2:6" x14ac:dyDescent="0.25">
      <c r="B16" s="9" t="s">
        <v>38</v>
      </c>
      <c r="C16" s="8"/>
      <c r="D16" s="8" t="s">
        <v>31</v>
      </c>
      <c r="E16" s="8" t="s">
        <v>31</v>
      </c>
      <c r="F16" s="10" t="s">
        <v>36</v>
      </c>
    </row>
    <row r="17" spans="2:7" x14ac:dyDescent="0.25">
      <c r="B17" s="9" t="s">
        <v>37</v>
      </c>
      <c r="C17" s="8"/>
      <c r="D17" s="8" t="s">
        <v>31</v>
      </c>
      <c r="E17" s="8" t="s">
        <v>31</v>
      </c>
      <c r="F17" s="10" t="s">
        <v>36</v>
      </c>
    </row>
    <row r="18" spans="2:7" x14ac:dyDescent="0.25">
      <c r="B18" s="9" t="s">
        <v>35</v>
      </c>
      <c r="C18" s="8" t="s">
        <v>31</v>
      </c>
      <c r="D18" s="8"/>
      <c r="E18" s="8" t="s">
        <v>31</v>
      </c>
      <c r="F18" s="7">
        <v>0</v>
      </c>
    </row>
    <row r="19" spans="2:7" x14ac:dyDescent="0.25">
      <c r="B19" s="9" t="s">
        <v>34</v>
      </c>
      <c r="C19" s="8" t="s">
        <v>31</v>
      </c>
      <c r="D19" s="8"/>
      <c r="E19" s="8" t="s">
        <v>31</v>
      </c>
      <c r="F19" s="7">
        <v>9999</v>
      </c>
    </row>
    <row r="20" spans="2:7" x14ac:dyDescent="0.25">
      <c r="B20" s="9" t="s">
        <v>33</v>
      </c>
      <c r="C20" s="8" t="s">
        <v>31</v>
      </c>
      <c r="D20" s="8"/>
      <c r="E20" s="8" t="s">
        <v>31</v>
      </c>
      <c r="F20" s="7">
        <v>0</v>
      </c>
    </row>
    <row r="21" spans="2:7" x14ac:dyDescent="0.25">
      <c r="B21" s="9" t="s">
        <v>32</v>
      </c>
      <c r="C21" s="8" t="s">
        <v>31</v>
      </c>
      <c r="D21" s="8"/>
      <c r="E21" s="8" t="s">
        <v>31</v>
      </c>
      <c r="F21" s="7">
        <v>99.998999999999995</v>
      </c>
      <c r="G21" s="6" t="s">
        <v>30</v>
      </c>
    </row>
    <row r="24" spans="2:7" ht="24" x14ac:dyDescent="0.4">
      <c r="B24" s="3" t="s">
        <v>29</v>
      </c>
    </row>
    <row r="26" spans="2:7" x14ac:dyDescent="0.25">
      <c r="B26" s="5" t="s">
        <v>28</v>
      </c>
    </row>
    <row r="27" spans="2:7" x14ac:dyDescent="0.25">
      <c r="B27" s="5" t="s">
        <v>27</v>
      </c>
    </row>
    <row r="28" spans="2:7" x14ac:dyDescent="0.25">
      <c r="B28" s="5" t="s">
        <v>26</v>
      </c>
    </row>
    <row r="32" spans="2:7" ht="24" x14ac:dyDescent="0.4">
      <c r="B32" s="3" t="s">
        <v>25</v>
      </c>
    </row>
    <row r="35" spans="2:2" x14ac:dyDescent="0.25">
      <c r="B35" s="2" t="s">
        <v>24</v>
      </c>
    </row>
    <row r="36" spans="2:2" x14ac:dyDescent="0.25">
      <c r="B36" s="2" t="s">
        <v>23</v>
      </c>
    </row>
    <row r="37" spans="2:2" x14ac:dyDescent="0.25">
      <c r="B37" s="2" t="s">
        <v>22</v>
      </c>
    </row>
    <row r="38" spans="2:2" x14ac:dyDescent="0.25">
      <c r="B38" s="2" t="s">
        <v>21</v>
      </c>
    </row>
    <row r="40" spans="2:2" x14ac:dyDescent="0.25">
      <c r="B40" s="2" t="s">
        <v>20</v>
      </c>
    </row>
    <row r="41" spans="2:2" x14ac:dyDescent="0.25">
      <c r="B41" s="2" t="s">
        <v>19</v>
      </c>
    </row>
    <row r="43" spans="2:2" x14ac:dyDescent="0.25">
      <c r="B43" s="2" t="s">
        <v>18</v>
      </c>
    </row>
    <row r="44" spans="2:2" x14ac:dyDescent="0.25">
      <c r="B44" s="2" t="s">
        <v>17</v>
      </c>
    </row>
    <row r="45" spans="2:2" x14ac:dyDescent="0.25">
      <c r="B45" s="2" t="s">
        <v>16</v>
      </c>
    </row>
    <row r="46" spans="2:2" x14ac:dyDescent="0.25">
      <c r="B46" s="2" t="s">
        <v>15</v>
      </c>
    </row>
    <row r="50" spans="2:3" ht="24" x14ac:dyDescent="0.4">
      <c r="B50" s="3" t="s">
        <v>14</v>
      </c>
    </row>
    <row r="53" spans="2:3" x14ac:dyDescent="0.25">
      <c r="B53" s="4" t="s">
        <v>54</v>
      </c>
    </row>
    <row r="55" spans="2:3" x14ac:dyDescent="0.25">
      <c r="B55" s="4" t="s">
        <v>55</v>
      </c>
    </row>
    <row r="58" spans="2:3" x14ac:dyDescent="0.25">
      <c r="B58" s="4" t="s">
        <v>56</v>
      </c>
    </row>
    <row r="62" spans="2:3" ht="24" x14ac:dyDescent="0.4">
      <c r="B62" s="3" t="s">
        <v>13</v>
      </c>
    </row>
    <row r="64" spans="2:3" x14ac:dyDescent="0.25">
      <c r="B64" s="2" t="s">
        <v>12</v>
      </c>
      <c r="C64" s="2" t="s">
        <v>8</v>
      </c>
    </row>
    <row r="65" spans="2:3" x14ac:dyDescent="0.25">
      <c r="B65" s="2" t="s">
        <v>11</v>
      </c>
    </row>
    <row r="67" spans="2:3" x14ac:dyDescent="0.25">
      <c r="B67" s="2" t="s">
        <v>10</v>
      </c>
      <c r="C67" s="2" t="s">
        <v>8</v>
      </c>
    </row>
    <row r="68" spans="2:3" x14ac:dyDescent="0.25">
      <c r="B68" s="2" t="s">
        <v>7</v>
      </c>
    </row>
    <row r="70" spans="2:3" x14ac:dyDescent="0.25">
      <c r="B70" s="2" t="s">
        <v>9</v>
      </c>
      <c r="C70" s="2" t="s">
        <v>8</v>
      </c>
    </row>
    <row r="71" spans="2:3" x14ac:dyDescent="0.25">
      <c r="B71" s="2" t="s">
        <v>7</v>
      </c>
    </row>
    <row r="75" spans="2:3" ht="24" x14ac:dyDescent="0.4">
      <c r="B75" s="3" t="s">
        <v>76</v>
      </c>
    </row>
    <row r="77" spans="2:3" x14ac:dyDescent="0.25">
      <c r="B77" s="5" t="s">
        <v>77</v>
      </c>
    </row>
    <row r="78" spans="2:3" x14ac:dyDescent="0.25">
      <c r="B78" s="5" t="s">
        <v>78</v>
      </c>
    </row>
    <row r="79" spans="2:3" x14ac:dyDescent="0.25">
      <c r="B79" s="5" t="s">
        <v>79</v>
      </c>
    </row>
    <row r="83" spans="2:2" x14ac:dyDescent="0.25">
      <c r="B83" s="26" t="s">
        <v>80</v>
      </c>
    </row>
    <row r="86" spans="2:2" x14ac:dyDescent="0.25">
      <c r="B86" s="2" t="s">
        <v>81</v>
      </c>
    </row>
    <row r="87" spans="2:2" x14ac:dyDescent="0.25">
      <c r="B87" s="2" t="s">
        <v>7</v>
      </c>
    </row>
    <row r="90" spans="2:2" x14ac:dyDescent="0.25">
      <c r="B90" s="26" t="s">
        <v>82</v>
      </c>
    </row>
    <row r="92" spans="2:2" x14ac:dyDescent="0.25">
      <c r="B92" s="2" t="s">
        <v>83</v>
      </c>
    </row>
    <row r="94" spans="2:2" x14ac:dyDescent="0.25">
      <c r="B94" s="2" t="s">
        <v>84</v>
      </c>
    </row>
    <row r="95" spans="2:2" x14ac:dyDescent="0.25">
      <c r="B95" s="2" t="s">
        <v>85</v>
      </c>
    </row>
    <row r="97" spans="2:2" x14ac:dyDescent="0.25">
      <c r="B97" s="2" t="s">
        <v>86</v>
      </c>
    </row>
    <row r="100" spans="2:2" x14ac:dyDescent="0.25">
      <c r="B100" s="26" t="s">
        <v>87</v>
      </c>
    </row>
    <row r="104" spans="2:2" x14ac:dyDescent="0.25">
      <c r="B104" s="2" t="s">
        <v>88</v>
      </c>
    </row>
    <row r="105" spans="2:2" x14ac:dyDescent="0.25">
      <c r="B105" s="2" t="s">
        <v>89</v>
      </c>
    </row>
    <row r="106" spans="2:2" x14ac:dyDescent="0.25">
      <c r="B106" s="2" t="s">
        <v>90</v>
      </c>
    </row>
    <row r="107" spans="2:2" x14ac:dyDescent="0.25">
      <c r="B107" s="2" t="s">
        <v>91</v>
      </c>
    </row>
    <row r="108" spans="2:2" x14ac:dyDescent="0.25">
      <c r="B108" s="2" t="s">
        <v>92</v>
      </c>
    </row>
    <row r="109" spans="2:2" x14ac:dyDescent="0.25">
      <c r="B109" s="2" t="s">
        <v>93</v>
      </c>
    </row>
    <row r="110" spans="2:2" x14ac:dyDescent="0.25">
      <c r="B110" s="2" t="s">
        <v>94</v>
      </c>
    </row>
    <row r="111" spans="2:2" x14ac:dyDescent="0.25">
      <c r="B111" s="2" t="s">
        <v>95</v>
      </c>
    </row>
    <row r="112" spans="2:2" x14ac:dyDescent="0.25">
      <c r="B112" s="2" t="s">
        <v>96</v>
      </c>
    </row>
    <row r="113" spans="2:2" x14ac:dyDescent="0.25">
      <c r="B113" s="2" t="s">
        <v>97</v>
      </c>
    </row>
    <row r="114" spans="2:2" x14ac:dyDescent="0.25">
      <c r="B114" s="2" t="s">
        <v>98</v>
      </c>
    </row>
    <row r="115" spans="2:2" x14ac:dyDescent="0.25">
      <c r="B115" s="2" t="s">
        <v>99</v>
      </c>
    </row>
    <row r="116" spans="2:2" x14ac:dyDescent="0.25">
      <c r="B116" s="2" t="s">
        <v>100</v>
      </c>
    </row>
    <row r="117" spans="2:2" x14ac:dyDescent="0.25">
      <c r="B117" s="2" t="s">
        <v>101</v>
      </c>
    </row>
    <row r="118" spans="2:2" x14ac:dyDescent="0.25">
      <c r="B118" s="2" t="s">
        <v>102</v>
      </c>
    </row>
    <row r="119" spans="2:2" x14ac:dyDescent="0.25">
      <c r="B119" s="2" t="s">
        <v>103</v>
      </c>
    </row>
    <row r="120" spans="2:2" x14ac:dyDescent="0.25">
      <c r="B120" s="2" t="s">
        <v>104</v>
      </c>
    </row>
    <row r="121" spans="2:2" x14ac:dyDescent="0.25">
      <c r="B121" s="2" t="s">
        <v>105</v>
      </c>
    </row>
    <row r="122" spans="2:2" x14ac:dyDescent="0.25">
      <c r="B122" s="2" t="s">
        <v>106</v>
      </c>
    </row>
    <row r="123" spans="2:2" x14ac:dyDescent="0.25">
      <c r="B123" s="2" t="s">
        <v>107</v>
      </c>
    </row>
    <row r="124" spans="2:2" x14ac:dyDescent="0.25">
      <c r="B124" s="2" t="s">
        <v>108</v>
      </c>
    </row>
    <row r="125" spans="2:2" x14ac:dyDescent="0.25">
      <c r="B125" s="2" t="s">
        <v>109</v>
      </c>
    </row>
    <row r="126" spans="2:2" x14ac:dyDescent="0.25">
      <c r="B126" s="2" t="s">
        <v>110</v>
      </c>
    </row>
    <row r="127" spans="2:2" x14ac:dyDescent="0.25">
      <c r="B127" s="2" t="s">
        <v>111</v>
      </c>
    </row>
  </sheetData>
  <mergeCells count="1">
    <mergeCell ref="C10:E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workbookViewId="0">
      <selection activeCell="J2" sqref="J2"/>
    </sheetView>
  </sheetViews>
  <sheetFormatPr baseColWidth="10" defaultRowHeight="15" x14ac:dyDescent="0.25"/>
  <cols>
    <col min="2" max="2" width="13" customWidth="1"/>
    <col min="3" max="3" width="13.5703125" customWidth="1"/>
    <col min="4" max="4" width="13.28515625" customWidth="1"/>
    <col min="5" max="5" width="7.7109375" customWidth="1"/>
    <col min="6" max="6" width="10.140625" bestFit="1" customWidth="1"/>
    <col min="7" max="7" width="14.42578125" bestFit="1" customWidth="1"/>
    <col min="8" max="8" width="10.28515625" bestFit="1" customWidth="1"/>
    <col min="9" max="9" width="10.28515625" customWidth="1"/>
    <col min="12" max="12" width="9.7109375" bestFit="1" customWidth="1"/>
    <col min="13" max="13" width="9.85546875" bestFit="1" customWidth="1"/>
    <col min="14" max="14" width="8.7109375" bestFit="1" customWidth="1"/>
    <col min="15" max="15" width="7.7109375" bestFit="1" customWidth="1"/>
    <col min="16" max="16" width="7.28515625" customWidth="1"/>
    <col min="17" max="17" width="15.5703125" customWidth="1"/>
    <col min="18" max="18" width="13.85546875" style="17" customWidth="1"/>
    <col min="19" max="19" width="5.85546875" customWidth="1"/>
  </cols>
  <sheetData>
    <row r="1" spans="1:22" s="19" customFormat="1" ht="45" customHeight="1" x14ac:dyDescent="0.25">
      <c r="A1" s="18" t="s">
        <v>2</v>
      </c>
      <c r="B1" s="18" t="s">
        <v>3</v>
      </c>
      <c r="C1" s="18" t="s">
        <v>4</v>
      </c>
      <c r="D1" s="18" t="s">
        <v>61</v>
      </c>
      <c r="F1" s="19" t="s">
        <v>63</v>
      </c>
      <c r="G1" s="19" t="s">
        <v>64</v>
      </c>
      <c r="H1" s="19" t="s">
        <v>65</v>
      </c>
      <c r="I1" s="19" t="s">
        <v>66</v>
      </c>
      <c r="J1" s="19" t="s">
        <v>67</v>
      </c>
      <c r="K1" s="19" t="s">
        <v>68</v>
      </c>
      <c r="L1" s="19" t="s">
        <v>69</v>
      </c>
      <c r="M1" s="19" t="s">
        <v>70</v>
      </c>
      <c r="N1" s="19" t="s">
        <v>71</v>
      </c>
      <c r="O1" s="19" t="s">
        <v>72</v>
      </c>
      <c r="P1" s="19" t="s">
        <v>62</v>
      </c>
      <c r="Q1" s="19" t="s">
        <v>5</v>
      </c>
      <c r="R1" s="20" t="s">
        <v>60</v>
      </c>
    </row>
    <row r="2" spans="1:22" x14ac:dyDescent="0.25">
      <c r="A2" t="s">
        <v>0</v>
      </c>
      <c r="B2" t="s">
        <v>6</v>
      </c>
      <c r="C2" s="1">
        <v>45839</v>
      </c>
      <c r="D2" cm="1">
        <f t="array" ref="D2">GetStockData(A2,B2,C2)</f>
        <v>2492152</v>
      </c>
      <c r="F2" t="s">
        <v>0</v>
      </c>
      <c r="G2" t="s">
        <v>57</v>
      </c>
      <c r="H2" t="s">
        <v>1</v>
      </c>
      <c r="I2" s="16">
        <v>45941</v>
      </c>
      <c r="J2" s="16"/>
      <c r="K2" s="16"/>
      <c r="L2">
        <v>0</v>
      </c>
      <c r="M2">
        <v>999</v>
      </c>
      <c r="N2">
        <v>0</v>
      </c>
      <c r="O2">
        <v>9.9990000000000006</v>
      </c>
      <c r="Q2" t="s">
        <v>46</v>
      </c>
      <c r="R2" s="17" cm="1">
        <f t="array" ref="R2">GetStockAvi(F2,G2,H2,I2,L2,M2,N2,O2)</f>
        <v>1392055</v>
      </c>
      <c r="S2" s="15"/>
      <c r="T2" s="14"/>
      <c r="V2" s="14"/>
    </row>
    <row r="3" spans="1:22" x14ac:dyDescent="0.25">
      <c r="A3" t="s">
        <v>0</v>
      </c>
      <c r="B3" t="s">
        <v>1</v>
      </c>
      <c r="C3" s="1">
        <v>45840</v>
      </c>
      <c r="D3" cm="1">
        <f t="array" ref="D3">GetStockData(A3,B3,C3)</f>
        <v>1567467</v>
      </c>
      <c r="F3" t="s">
        <v>73</v>
      </c>
      <c r="G3" t="s">
        <v>58</v>
      </c>
      <c r="H3" t="s">
        <v>1</v>
      </c>
      <c r="J3" s="16">
        <v>45931</v>
      </c>
      <c r="K3" s="16">
        <v>45941</v>
      </c>
      <c r="Q3" t="s">
        <v>45</v>
      </c>
      <c r="R3" s="17" cm="1">
        <f t="array" ref="R3">GetEntradaAvi(F3,G3,H3,J3,K3)</f>
        <v>519500</v>
      </c>
      <c r="S3" s="15"/>
      <c r="T3" s="14"/>
      <c r="V3" s="14"/>
    </row>
    <row r="4" spans="1:22" x14ac:dyDescent="0.25">
      <c r="A4" t="s">
        <v>0</v>
      </c>
      <c r="B4" t="s">
        <v>1</v>
      </c>
      <c r="C4" s="1">
        <v>45841</v>
      </c>
      <c r="D4" cm="1">
        <f t="array" ref="D4">GetStockData(A4,B4,C4)</f>
        <v>1637953</v>
      </c>
      <c r="F4" t="s">
        <v>0</v>
      </c>
      <c r="G4" t="s">
        <v>59</v>
      </c>
      <c r="H4" t="s">
        <v>1</v>
      </c>
      <c r="J4" s="16">
        <v>45931</v>
      </c>
      <c r="K4" s="16">
        <v>45940</v>
      </c>
      <c r="L4">
        <v>0</v>
      </c>
      <c r="M4">
        <v>999</v>
      </c>
      <c r="N4">
        <v>0</v>
      </c>
      <c r="O4">
        <v>9.9990000000000006</v>
      </c>
      <c r="Q4" t="s">
        <v>44</v>
      </c>
      <c r="R4" s="17" cm="1">
        <f t="array" ref="R4">GetSalidasAvi(F4,G4,H4,J4,K4,L4,M4,N4,O4)</f>
        <v>-376035</v>
      </c>
      <c r="S4" s="15"/>
      <c r="T4" s="14"/>
      <c r="V4" s="14"/>
    </row>
    <row r="5" spans="1:22" x14ac:dyDescent="0.25">
      <c r="A5" t="s">
        <v>0</v>
      </c>
      <c r="B5" t="s">
        <v>1</v>
      </c>
      <c r="C5" s="1">
        <v>45842</v>
      </c>
      <c r="D5" cm="1">
        <f t="array" ref="D5">GetStockData(A5,B5,C5)</f>
        <v>1665499</v>
      </c>
    </row>
    <row r="6" spans="1:22" x14ac:dyDescent="0.25">
      <c r="A6" t="s">
        <v>0</v>
      </c>
      <c r="B6" t="s">
        <v>1</v>
      </c>
      <c r="C6" s="1">
        <v>45843</v>
      </c>
    </row>
    <row r="7" spans="1:22" x14ac:dyDescent="0.25">
      <c r="A7" t="s">
        <v>0</v>
      </c>
      <c r="B7" t="s">
        <v>1</v>
      </c>
      <c r="C7" s="1">
        <v>45844</v>
      </c>
    </row>
    <row r="8" spans="1:22" x14ac:dyDescent="0.25">
      <c r="A8" t="s">
        <v>0</v>
      </c>
      <c r="B8" t="s">
        <v>1</v>
      </c>
      <c r="C8" s="1">
        <v>45845</v>
      </c>
    </row>
    <row r="9" spans="1:22" x14ac:dyDescent="0.25">
      <c r="A9" t="s">
        <v>0</v>
      </c>
      <c r="B9" t="s">
        <v>1</v>
      </c>
      <c r="C9" s="1">
        <v>45846</v>
      </c>
    </row>
    <row r="10" spans="1:22" x14ac:dyDescent="0.25">
      <c r="A10" t="s">
        <v>0</v>
      </c>
      <c r="B10" t="s">
        <v>1</v>
      </c>
      <c r="C10" s="1">
        <v>45847</v>
      </c>
    </row>
    <row r="11" spans="1:22" x14ac:dyDescent="0.25">
      <c r="A11" t="s">
        <v>0</v>
      </c>
      <c r="B11" t="s">
        <v>1</v>
      </c>
      <c r="C11" s="1">
        <v>45848</v>
      </c>
    </row>
    <row r="12" spans="1:22" x14ac:dyDescent="0.25">
      <c r="A12" t="s">
        <v>0</v>
      </c>
      <c r="B12" t="s">
        <v>1</v>
      </c>
      <c r="C12" s="1">
        <v>45849</v>
      </c>
    </row>
    <row r="13" spans="1:22" x14ac:dyDescent="0.25">
      <c r="A13" t="s">
        <v>0</v>
      </c>
      <c r="B13" t="s">
        <v>1</v>
      </c>
      <c r="C13" s="1">
        <v>45850</v>
      </c>
    </row>
    <row r="14" spans="1:22" x14ac:dyDescent="0.25">
      <c r="A14" t="s">
        <v>0</v>
      </c>
      <c r="B14" t="s">
        <v>1</v>
      </c>
      <c r="C14" s="1">
        <v>45851</v>
      </c>
    </row>
    <row r="15" spans="1:22" x14ac:dyDescent="0.25">
      <c r="A15" t="s">
        <v>0</v>
      </c>
      <c r="B15" t="s">
        <v>1</v>
      </c>
      <c r="C15" s="1">
        <v>45852</v>
      </c>
    </row>
    <row r="16" spans="1:22" x14ac:dyDescent="0.25">
      <c r="A16" t="s">
        <v>0</v>
      </c>
      <c r="B16" t="s">
        <v>1</v>
      </c>
      <c r="C16" s="1">
        <v>45853</v>
      </c>
    </row>
    <row r="17" spans="1:3" x14ac:dyDescent="0.25">
      <c r="A17" t="s">
        <v>0</v>
      </c>
      <c r="B17" t="s">
        <v>1</v>
      </c>
      <c r="C17" s="1">
        <v>45854</v>
      </c>
    </row>
    <row r="18" spans="1:3" x14ac:dyDescent="0.25">
      <c r="A18" t="s">
        <v>0</v>
      </c>
      <c r="B18" t="s">
        <v>1</v>
      </c>
      <c r="C18" s="1">
        <v>45855</v>
      </c>
    </row>
    <row r="19" spans="1:3" x14ac:dyDescent="0.25">
      <c r="A19" t="s">
        <v>0</v>
      </c>
      <c r="B19" t="s">
        <v>1</v>
      </c>
      <c r="C19" s="1">
        <v>45856</v>
      </c>
    </row>
    <row r="20" spans="1:3" x14ac:dyDescent="0.25">
      <c r="A20" t="s">
        <v>0</v>
      </c>
      <c r="B20" t="s">
        <v>1</v>
      </c>
      <c r="C20" s="1">
        <v>45857</v>
      </c>
    </row>
    <row r="21" spans="1:3" x14ac:dyDescent="0.25">
      <c r="A21" t="s">
        <v>0</v>
      </c>
      <c r="B21" t="s">
        <v>1</v>
      </c>
      <c r="C21" s="1">
        <v>45858</v>
      </c>
    </row>
    <row r="22" spans="1:3" x14ac:dyDescent="0.25">
      <c r="A22" t="s">
        <v>0</v>
      </c>
      <c r="B22" t="s">
        <v>1</v>
      </c>
      <c r="C22" s="1">
        <v>45859</v>
      </c>
    </row>
    <row r="23" spans="1:3" x14ac:dyDescent="0.25">
      <c r="A23" t="s">
        <v>0</v>
      </c>
      <c r="B23" t="s">
        <v>1</v>
      </c>
      <c r="C23" s="1">
        <v>45860</v>
      </c>
    </row>
    <row r="24" spans="1:3" x14ac:dyDescent="0.25">
      <c r="A24" t="s">
        <v>0</v>
      </c>
      <c r="B24" t="s">
        <v>1</v>
      </c>
      <c r="C24" s="1">
        <v>45861</v>
      </c>
    </row>
    <row r="25" spans="1:3" x14ac:dyDescent="0.25">
      <c r="A25" t="s">
        <v>0</v>
      </c>
      <c r="B25" t="s">
        <v>1</v>
      </c>
      <c r="C25" s="1">
        <v>45862</v>
      </c>
    </row>
    <row r="26" spans="1:3" x14ac:dyDescent="0.25">
      <c r="A26" t="s">
        <v>0</v>
      </c>
      <c r="B26" t="s">
        <v>1</v>
      </c>
      <c r="C26" s="1">
        <v>45863</v>
      </c>
    </row>
    <row r="27" spans="1:3" x14ac:dyDescent="0.25">
      <c r="A27" t="s">
        <v>0</v>
      </c>
      <c r="B27" t="s">
        <v>1</v>
      </c>
      <c r="C27" s="1">
        <v>45864</v>
      </c>
    </row>
    <row r="28" spans="1:3" x14ac:dyDescent="0.25">
      <c r="A28" t="s">
        <v>0</v>
      </c>
      <c r="B28" t="s">
        <v>1</v>
      </c>
      <c r="C28" s="1">
        <v>45865</v>
      </c>
    </row>
    <row r="29" spans="1:3" x14ac:dyDescent="0.25">
      <c r="A29" t="s">
        <v>0</v>
      </c>
      <c r="B29" t="s">
        <v>1</v>
      </c>
      <c r="C29" s="1">
        <v>45866</v>
      </c>
    </row>
    <row r="30" spans="1:3" x14ac:dyDescent="0.25">
      <c r="A30" t="s">
        <v>0</v>
      </c>
      <c r="B30" t="s">
        <v>1</v>
      </c>
      <c r="C30" s="1">
        <v>45867</v>
      </c>
    </row>
    <row r="31" spans="1:3" x14ac:dyDescent="0.25">
      <c r="A31" t="s">
        <v>0</v>
      </c>
      <c r="B31" t="s">
        <v>1</v>
      </c>
      <c r="C31" s="1">
        <v>45868</v>
      </c>
    </row>
    <row r="32" spans="1:3" x14ac:dyDescent="0.25">
      <c r="A32" t="s">
        <v>0</v>
      </c>
      <c r="B32" t="s">
        <v>1</v>
      </c>
      <c r="C32" s="1">
        <v>45869</v>
      </c>
    </row>
    <row r="33" spans="1:3" x14ac:dyDescent="0.25">
      <c r="A33" t="s">
        <v>0</v>
      </c>
      <c r="B33" t="s">
        <v>1</v>
      </c>
      <c r="C33" s="1">
        <v>45870</v>
      </c>
    </row>
    <row r="34" spans="1:3" x14ac:dyDescent="0.25">
      <c r="A34" t="s">
        <v>0</v>
      </c>
      <c r="B34" t="s">
        <v>1</v>
      </c>
      <c r="C34" s="1">
        <v>45871</v>
      </c>
    </row>
    <row r="35" spans="1:3" x14ac:dyDescent="0.25">
      <c r="A35" t="s">
        <v>0</v>
      </c>
      <c r="B35" t="s">
        <v>1</v>
      </c>
      <c r="C35" s="1">
        <v>45872</v>
      </c>
    </row>
    <row r="36" spans="1:3" x14ac:dyDescent="0.25">
      <c r="A36" t="s">
        <v>0</v>
      </c>
      <c r="B36" t="s">
        <v>1</v>
      </c>
      <c r="C36" s="1">
        <v>45873</v>
      </c>
    </row>
    <row r="37" spans="1:3" x14ac:dyDescent="0.25">
      <c r="A37" t="s">
        <v>0</v>
      </c>
      <c r="B37" t="s">
        <v>1</v>
      </c>
      <c r="C37" s="1">
        <v>45874</v>
      </c>
    </row>
    <row r="38" spans="1:3" x14ac:dyDescent="0.25">
      <c r="A38" t="s">
        <v>0</v>
      </c>
      <c r="B38" t="s">
        <v>1</v>
      </c>
      <c r="C38" s="1">
        <v>45875</v>
      </c>
    </row>
    <row r="39" spans="1:3" x14ac:dyDescent="0.25">
      <c r="A39" t="s">
        <v>0</v>
      </c>
      <c r="B39" t="s">
        <v>1</v>
      </c>
      <c r="C39" s="1">
        <v>45876</v>
      </c>
    </row>
    <row r="40" spans="1:3" x14ac:dyDescent="0.25">
      <c r="A40" t="s">
        <v>0</v>
      </c>
      <c r="B40" t="s">
        <v>1</v>
      </c>
      <c r="C40" s="1">
        <v>45877</v>
      </c>
    </row>
    <row r="41" spans="1:3" x14ac:dyDescent="0.25">
      <c r="A41" t="s">
        <v>0</v>
      </c>
      <c r="B41" t="s">
        <v>1</v>
      </c>
      <c r="C41" s="1">
        <v>45878</v>
      </c>
    </row>
    <row r="42" spans="1:3" x14ac:dyDescent="0.25">
      <c r="A42" t="s">
        <v>0</v>
      </c>
      <c r="B42" t="s">
        <v>1</v>
      </c>
      <c r="C42" s="1">
        <v>45879</v>
      </c>
    </row>
    <row r="43" spans="1:3" x14ac:dyDescent="0.25">
      <c r="A43" t="s">
        <v>0</v>
      </c>
      <c r="B43" t="s">
        <v>1</v>
      </c>
      <c r="C43" s="1">
        <v>45880</v>
      </c>
    </row>
    <row r="44" spans="1:3" x14ac:dyDescent="0.25">
      <c r="A44" t="s">
        <v>0</v>
      </c>
      <c r="B44" t="s">
        <v>1</v>
      </c>
      <c r="C44" s="1">
        <v>45881</v>
      </c>
    </row>
    <row r="45" spans="1:3" x14ac:dyDescent="0.25">
      <c r="A45" t="s">
        <v>0</v>
      </c>
      <c r="B45" t="s">
        <v>1</v>
      </c>
      <c r="C45" s="1">
        <v>45882</v>
      </c>
    </row>
    <row r="46" spans="1:3" x14ac:dyDescent="0.25">
      <c r="A46" t="s">
        <v>0</v>
      </c>
      <c r="B46" t="s">
        <v>1</v>
      </c>
      <c r="C46" s="1">
        <v>45883</v>
      </c>
    </row>
    <row r="47" spans="1:3" x14ac:dyDescent="0.25">
      <c r="A47" t="s">
        <v>0</v>
      </c>
      <c r="B47" t="s">
        <v>1</v>
      </c>
      <c r="C47" s="1">
        <v>45884</v>
      </c>
    </row>
    <row r="48" spans="1:3" x14ac:dyDescent="0.25">
      <c r="A48" t="s">
        <v>0</v>
      </c>
      <c r="B48" t="s">
        <v>1</v>
      </c>
      <c r="C48" s="1">
        <v>45885</v>
      </c>
    </row>
    <row r="49" spans="1:3" x14ac:dyDescent="0.25">
      <c r="A49" t="s">
        <v>0</v>
      </c>
      <c r="B49" t="s">
        <v>1</v>
      </c>
      <c r="C49" s="1">
        <v>45886</v>
      </c>
    </row>
    <row r="50" spans="1:3" x14ac:dyDescent="0.25">
      <c r="A50" t="s">
        <v>0</v>
      </c>
      <c r="B50" t="s">
        <v>1</v>
      </c>
      <c r="C50" s="1">
        <v>45887</v>
      </c>
    </row>
    <row r="51" spans="1:3" x14ac:dyDescent="0.25">
      <c r="A51" t="s">
        <v>0</v>
      </c>
      <c r="B51" t="s">
        <v>1</v>
      </c>
      <c r="C51" s="1">
        <v>45888</v>
      </c>
    </row>
    <row r="52" spans="1:3" x14ac:dyDescent="0.25">
      <c r="A52" t="s">
        <v>0</v>
      </c>
      <c r="B52" t="s">
        <v>1</v>
      </c>
      <c r="C52" s="1">
        <v>45889</v>
      </c>
    </row>
    <row r="53" spans="1:3" x14ac:dyDescent="0.25">
      <c r="A53" t="s">
        <v>0</v>
      </c>
      <c r="B53" t="s">
        <v>1</v>
      </c>
      <c r="C53" s="1">
        <v>45890</v>
      </c>
    </row>
    <row r="54" spans="1:3" x14ac:dyDescent="0.25">
      <c r="A54" t="s">
        <v>0</v>
      </c>
      <c r="B54" t="s">
        <v>1</v>
      </c>
      <c r="C54" s="1">
        <v>45891</v>
      </c>
    </row>
    <row r="55" spans="1:3" x14ac:dyDescent="0.25">
      <c r="A55" t="s">
        <v>0</v>
      </c>
      <c r="B55" t="s">
        <v>1</v>
      </c>
      <c r="C55" s="1">
        <v>45892</v>
      </c>
    </row>
    <row r="56" spans="1:3" x14ac:dyDescent="0.25">
      <c r="A56" t="s">
        <v>0</v>
      </c>
      <c r="B56" t="s">
        <v>1</v>
      </c>
      <c r="C56" s="1">
        <v>45893</v>
      </c>
    </row>
    <row r="57" spans="1:3" x14ac:dyDescent="0.25">
      <c r="A57" t="s">
        <v>0</v>
      </c>
      <c r="B57" t="s">
        <v>1</v>
      </c>
      <c r="C57" s="1">
        <v>45894</v>
      </c>
    </row>
    <row r="58" spans="1:3" x14ac:dyDescent="0.25">
      <c r="A58" t="s">
        <v>0</v>
      </c>
      <c r="B58" t="s">
        <v>1</v>
      </c>
      <c r="C58" s="1">
        <v>45895</v>
      </c>
    </row>
    <row r="59" spans="1:3" x14ac:dyDescent="0.25">
      <c r="A59" t="s">
        <v>0</v>
      </c>
      <c r="B59" t="s">
        <v>1</v>
      </c>
      <c r="C59" s="1">
        <v>45896</v>
      </c>
    </row>
    <row r="60" spans="1:3" x14ac:dyDescent="0.25">
      <c r="A60" t="s">
        <v>0</v>
      </c>
      <c r="B60" t="s">
        <v>1</v>
      </c>
      <c r="C60" s="1">
        <v>45897</v>
      </c>
    </row>
    <row r="61" spans="1:3" x14ac:dyDescent="0.25">
      <c r="A61" t="s">
        <v>0</v>
      </c>
      <c r="B61" t="s">
        <v>1</v>
      </c>
      <c r="C61" s="1">
        <v>45898</v>
      </c>
    </row>
    <row r="62" spans="1:3" x14ac:dyDescent="0.25">
      <c r="A62" t="s">
        <v>0</v>
      </c>
      <c r="B62" t="s">
        <v>1</v>
      </c>
      <c r="C62" s="1">
        <v>45899</v>
      </c>
    </row>
    <row r="63" spans="1:3" x14ac:dyDescent="0.25">
      <c r="A63" t="s">
        <v>0</v>
      </c>
      <c r="B63" t="s">
        <v>1</v>
      </c>
      <c r="C63" s="1">
        <v>45900</v>
      </c>
    </row>
    <row r="64" spans="1:3" x14ac:dyDescent="0.25">
      <c r="A64" t="s">
        <v>0</v>
      </c>
      <c r="B64" t="s">
        <v>1</v>
      </c>
      <c r="C64" s="1">
        <v>45901</v>
      </c>
    </row>
    <row r="65" spans="1:3" x14ac:dyDescent="0.25">
      <c r="A65" t="s">
        <v>0</v>
      </c>
      <c r="B65" t="s">
        <v>1</v>
      </c>
      <c r="C65" s="1">
        <v>45902</v>
      </c>
    </row>
    <row r="66" spans="1:3" x14ac:dyDescent="0.25">
      <c r="A66" t="s">
        <v>0</v>
      </c>
      <c r="B66" t="s">
        <v>1</v>
      </c>
      <c r="C66" s="1">
        <v>45903</v>
      </c>
    </row>
    <row r="67" spans="1:3" x14ac:dyDescent="0.25">
      <c r="A67" t="s">
        <v>0</v>
      </c>
      <c r="B67" t="s">
        <v>1</v>
      </c>
      <c r="C67" s="1">
        <v>45904</v>
      </c>
    </row>
    <row r="68" spans="1:3" x14ac:dyDescent="0.25">
      <c r="A68" t="s">
        <v>0</v>
      </c>
      <c r="B68" t="s">
        <v>1</v>
      </c>
      <c r="C68" s="1">
        <v>45905</v>
      </c>
    </row>
    <row r="69" spans="1:3" x14ac:dyDescent="0.25">
      <c r="A69" t="s">
        <v>0</v>
      </c>
      <c r="B69" t="s">
        <v>1</v>
      </c>
      <c r="C69" s="1">
        <v>45906</v>
      </c>
    </row>
    <row r="70" spans="1:3" x14ac:dyDescent="0.25">
      <c r="A70" t="s">
        <v>0</v>
      </c>
      <c r="B70" t="s">
        <v>1</v>
      </c>
      <c r="C70" s="1">
        <v>45907</v>
      </c>
    </row>
    <row r="71" spans="1:3" x14ac:dyDescent="0.25">
      <c r="A71" t="s">
        <v>0</v>
      </c>
      <c r="B71" t="s">
        <v>1</v>
      </c>
      <c r="C71" s="1">
        <v>45908</v>
      </c>
    </row>
    <row r="72" spans="1:3" x14ac:dyDescent="0.25">
      <c r="A72" t="s">
        <v>0</v>
      </c>
      <c r="B72" t="s">
        <v>1</v>
      </c>
      <c r="C72" s="1">
        <v>45909</v>
      </c>
    </row>
    <row r="73" spans="1:3" x14ac:dyDescent="0.25">
      <c r="A73" t="s">
        <v>0</v>
      </c>
      <c r="B73" t="s">
        <v>1</v>
      </c>
      <c r="C73" s="1">
        <v>45910</v>
      </c>
    </row>
    <row r="74" spans="1:3" x14ac:dyDescent="0.25">
      <c r="A74" t="s">
        <v>0</v>
      </c>
      <c r="B74" t="s">
        <v>1</v>
      </c>
      <c r="C74" s="1">
        <v>45911</v>
      </c>
    </row>
    <row r="75" spans="1:3" x14ac:dyDescent="0.25">
      <c r="A75" t="s">
        <v>0</v>
      </c>
      <c r="B75" t="s">
        <v>1</v>
      </c>
      <c r="C75" s="1">
        <v>45912</v>
      </c>
    </row>
    <row r="76" spans="1:3" x14ac:dyDescent="0.25">
      <c r="A76" t="s">
        <v>0</v>
      </c>
      <c r="B76" t="s">
        <v>1</v>
      </c>
      <c r="C76" s="1">
        <v>45913</v>
      </c>
    </row>
    <row r="77" spans="1:3" x14ac:dyDescent="0.25">
      <c r="A77" t="s">
        <v>0</v>
      </c>
      <c r="B77" t="s">
        <v>1</v>
      </c>
      <c r="C77" s="1">
        <v>45914</v>
      </c>
    </row>
    <row r="78" spans="1:3" x14ac:dyDescent="0.25">
      <c r="A78" t="s">
        <v>0</v>
      </c>
      <c r="B78" t="s">
        <v>1</v>
      </c>
      <c r="C78" s="1">
        <v>45915</v>
      </c>
    </row>
    <row r="79" spans="1:3" x14ac:dyDescent="0.25">
      <c r="A79" t="s">
        <v>0</v>
      </c>
      <c r="B79" t="s">
        <v>1</v>
      </c>
      <c r="C79" s="1">
        <v>45916</v>
      </c>
    </row>
    <row r="80" spans="1:3" x14ac:dyDescent="0.25">
      <c r="A80" t="s">
        <v>0</v>
      </c>
      <c r="B80" t="s">
        <v>1</v>
      </c>
      <c r="C80" s="1">
        <v>45917</v>
      </c>
    </row>
    <row r="81" spans="1:3" x14ac:dyDescent="0.25">
      <c r="A81" t="s">
        <v>0</v>
      </c>
      <c r="B81" t="s">
        <v>1</v>
      </c>
      <c r="C81" s="1">
        <v>45918</v>
      </c>
    </row>
    <row r="82" spans="1:3" x14ac:dyDescent="0.25">
      <c r="A82" t="s">
        <v>0</v>
      </c>
      <c r="B82" t="s">
        <v>1</v>
      </c>
      <c r="C82" s="1">
        <v>45919</v>
      </c>
    </row>
    <row r="83" spans="1:3" x14ac:dyDescent="0.25">
      <c r="A83" t="s">
        <v>0</v>
      </c>
      <c r="B83" t="s">
        <v>1</v>
      </c>
      <c r="C83" s="1">
        <v>45920</v>
      </c>
    </row>
    <row r="84" spans="1:3" x14ac:dyDescent="0.25">
      <c r="A84" t="s">
        <v>0</v>
      </c>
      <c r="B84" t="s">
        <v>1</v>
      </c>
      <c r="C84" s="1">
        <v>45921</v>
      </c>
    </row>
    <row r="85" spans="1:3" x14ac:dyDescent="0.25">
      <c r="A85" t="s">
        <v>0</v>
      </c>
      <c r="B85" t="s">
        <v>1</v>
      </c>
      <c r="C85" s="1">
        <v>45922</v>
      </c>
    </row>
    <row r="86" spans="1:3" x14ac:dyDescent="0.25">
      <c r="A86" t="s">
        <v>0</v>
      </c>
      <c r="B86" t="s">
        <v>1</v>
      </c>
      <c r="C86" s="1">
        <v>45923</v>
      </c>
    </row>
    <row r="87" spans="1:3" x14ac:dyDescent="0.25">
      <c r="A87" t="s">
        <v>0</v>
      </c>
      <c r="B87" t="s">
        <v>1</v>
      </c>
      <c r="C87" s="1">
        <v>45924</v>
      </c>
    </row>
    <row r="88" spans="1:3" x14ac:dyDescent="0.25">
      <c r="A88" t="s">
        <v>0</v>
      </c>
      <c r="B88" t="s">
        <v>1</v>
      </c>
      <c r="C88" s="1">
        <v>45925</v>
      </c>
    </row>
    <row r="89" spans="1:3" x14ac:dyDescent="0.25">
      <c r="A89" t="s">
        <v>0</v>
      </c>
      <c r="B89" t="s">
        <v>1</v>
      </c>
      <c r="C89" s="1">
        <v>45926</v>
      </c>
    </row>
    <row r="90" spans="1:3" x14ac:dyDescent="0.25">
      <c r="A90" t="s">
        <v>0</v>
      </c>
      <c r="B90" t="s">
        <v>1</v>
      </c>
      <c r="C90" s="1">
        <v>45927</v>
      </c>
    </row>
    <row r="91" spans="1:3" x14ac:dyDescent="0.25">
      <c r="A91" t="s">
        <v>0</v>
      </c>
      <c r="B91" t="s">
        <v>1</v>
      </c>
      <c r="C91" s="1">
        <v>45928</v>
      </c>
    </row>
    <row r="92" spans="1:3" x14ac:dyDescent="0.25">
      <c r="A92" t="s">
        <v>0</v>
      </c>
      <c r="B92" t="s">
        <v>1</v>
      </c>
      <c r="C92" s="1">
        <v>45929</v>
      </c>
    </row>
    <row r="93" spans="1:3" x14ac:dyDescent="0.25">
      <c r="A93" t="s">
        <v>0</v>
      </c>
      <c r="B93" t="s">
        <v>1</v>
      </c>
      <c r="C93" s="1">
        <v>45930</v>
      </c>
    </row>
    <row r="94" spans="1:3" x14ac:dyDescent="0.25">
      <c r="A94" t="s">
        <v>0</v>
      </c>
      <c r="B94" t="s">
        <v>1</v>
      </c>
      <c r="C94" s="1">
        <v>45931</v>
      </c>
    </row>
    <row r="95" spans="1:3" x14ac:dyDescent="0.25">
      <c r="A95" t="s">
        <v>0</v>
      </c>
      <c r="B95" t="s">
        <v>1</v>
      </c>
      <c r="C95" s="1">
        <v>45932</v>
      </c>
    </row>
    <row r="96" spans="1:3" x14ac:dyDescent="0.25">
      <c r="A96" t="s">
        <v>0</v>
      </c>
      <c r="B96" t="s">
        <v>1</v>
      </c>
      <c r="C96" s="1">
        <v>45933</v>
      </c>
    </row>
    <row r="97" spans="1:3" x14ac:dyDescent="0.25">
      <c r="A97" t="s">
        <v>0</v>
      </c>
      <c r="B97" t="s">
        <v>1</v>
      </c>
      <c r="C97" s="1">
        <v>45934</v>
      </c>
    </row>
    <row r="98" spans="1:3" x14ac:dyDescent="0.25">
      <c r="A98" t="s">
        <v>0</v>
      </c>
      <c r="B98" t="s">
        <v>1</v>
      </c>
      <c r="C98" s="1">
        <v>45935</v>
      </c>
    </row>
    <row r="99" spans="1:3" x14ac:dyDescent="0.25">
      <c r="A99" t="s">
        <v>0</v>
      </c>
      <c r="B99" t="s">
        <v>1</v>
      </c>
      <c r="C99" s="1">
        <v>45936</v>
      </c>
    </row>
    <row r="100" spans="1:3" x14ac:dyDescent="0.25">
      <c r="A100" t="s">
        <v>0</v>
      </c>
      <c r="B100" t="s">
        <v>1</v>
      </c>
      <c r="C100" s="1">
        <v>45937</v>
      </c>
    </row>
    <row r="101" spans="1:3" x14ac:dyDescent="0.25">
      <c r="A101" t="s">
        <v>0</v>
      </c>
      <c r="B101" t="s">
        <v>1</v>
      </c>
      <c r="C101" s="1">
        <v>45938</v>
      </c>
    </row>
    <row r="102" spans="1:3" x14ac:dyDescent="0.25">
      <c r="A102" t="s">
        <v>0</v>
      </c>
      <c r="B102" t="s">
        <v>1</v>
      </c>
      <c r="C102" s="1">
        <v>45939</v>
      </c>
    </row>
    <row r="103" spans="1:3" x14ac:dyDescent="0.25">
      <c r="A103" t="s">
        <v>0</v>
      </c>
      <c r="B103" t="s">
        <v>1</v>
      </c>
      <c r="C103" s="1">
        <v>45940</v>
      </c>
    </row>
    <row r="104" spans="1:3" x14ac:dyDescent="0.25">
      <c r="A104" t="s">
        <v>0</v>
      </c>
      <c r="B104" t="s">
        <v>1</v>
      </c>
      <c r="C104" s="1">
        <v>45941</v>
      </c>
    </row>
    <row r="105" spans="1:3" x14ac:dyDescent="0.25">
      <c r="A105" t="s">
        <v>0</v>
      </c>
      <c r="B105" t="s">
        <v>1</v>
      </c>
      <c r="C105" s="1">
        <v>45942</v>
      </c>
    </row>
    <row r="106" spans="1:3" x14ac:dyDescent="0.25">
      <c r="A106" t="s">
        <v>0</v>
      </c>
      <c r="B106" t="s">
        <v>1</v>
      </c>
      <c r="C106" s="1">
        <v>45943</v>
      </c>
    </row>
    <row r="107" spans="1:3" x14ac:dyDescent="0.25">
      <c r="A107" t="s">
        <v>0</v>
      </c>
      <c r="B107" t="s">
        <v>1</v>
      </c>
      <c r="C107" s="1">
        <v>45944</v>
      </c>
    </row>
    <row r="108" spans="1:3" x14ac:dyDescent="0.25">
      <c r="A108" t="s">
        <v>0</v>
      </c>
      <c r="B108" t="s">
        <v>1</v>
      </c>
      <c r="C108" s="1">
        <v>45945</v>
      </c>
    </row>
    <row r="109" spans="1:3" x14ac:dyDescent="0.25">
      <c r="A109" t="s">
        <v>0</v>
      </c>
      <c r="B109" t="s">
        <v>1</v>
      </c>
      <c r="C109" s="1">
        <v>45946</v>
      </c>
    </row>
    <row r="110" spans="1:3" x14ac:dyDescent="0.25">
      <c r="A110" t="s">
        <v>0</v>
      </c>
      <c r="B110" t="s">
        <v>1</v>
      </c>
      <c r="C110" s="1">
        <v>45947</v>
      </c>
    </row>
    <row r="111" spans="1:3" x14ac:dyDescent="0.25">
      <c r="A111" t="s">
        <v>0</v>
      </c>
      <c r="B111" t="s">
        <v>1</v>
      </c>
      <c r="C111" s="1">
        <v>45948</v>
      </c>
    </row>
    <row r="112" spans="1:3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147C-F845-466F-87E0-065C05608D38}">
  <sheetPr codeName="Hoja3"/>
  <dimension ref="A1:AB106"/>
  <sheetViews>
    <sheetView zoomScaleNormal="100" workbookViewId="0">
      <selection activeCell="H14" sqref="H14"/>
    </sheetView>
  </sheetViews>
  <sheetFormatPr baseColWidth="10" defaultRowHeight="15" x14ac:dyDescent="0.25"/>
  <cols>
    <col min="2" max="2" width="14.7109375" customWidth="1"/>
    <col min="4" max="4" width="11.7109375" customWidth="1"/>
    <col min="9" max="9" width="11.7109375" bestFit="1" customWidth="1"/>
    <col min="12" max="12" width="15.42578125" customWidth="1"/>
    <col min="13" max="13" width="33.5703125" bestFit="1" customWidth="1"/>
  </cols>
  <sheetData>
    <row r="1" spans="1:28" ht="30.75" thickBot="1" x14ac:dyDescent="0.3">
      <c r="A1" s="21"/>
      <c r="B1" s="22" t="s">
        <v>64</v>
      </c>
      <c r="C1" s="22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22" t="s">
        <v>71</v>
      </c>
      <c r="J1" s="22" t="s">
        <v>72</v>
      </c>
      <c r="K1" s="22" t="s">
        <v>62</v>
      </c>
      <c r="L1" s="22" t="s">
        <v>5</v>
      </c>
    </row>
    <row r="2" spans="1:28" ht="15.75" thickTop="1" x14ac:dyDescent="0.25">
      <c r="A2" s="23" t="s">
        <v>0</v>
      </c>
      <c r="B2" s="24" t="s">
        <v>74</v>
      </c>
      <c r="C2" s="24" t="s">
        <v>1</v>
      </c>
      <c r="D2" s="25">
        <v>45941</v>
      </c>
      <c r="E2" s="25"/>
      <c r="F2" s="25"/>
      <c r="G2" s="24">
        <v>0</v>
      </c>
      <c r="H2" s="24">
        <v>999</v>
      </c>
      <c r="I2" s="24">
        <v>0</v>
      </c>
      <c r="J2" s="24">
        <v>9.9990000000000006</v>
      </c>
      <c r="K2" s="24"/>
      <c r="L2" s="24" t="s">
        <v>75</v>
      </c>
    </row>
    <row r="5" spans="1:28" x14ac:dyDescent="0.25">
      <c r="A5" t="str" cm="1">
        <f t="array" ref="A5:AB106">GetSetStockAvi(A2,B2,C2,D2,G2,H2,I2,J2)</f>
        <v>fecha_stock</v>
      </c>
      <c r="B5" t="str">
        <v>granja_lote_nave_art</v>
      </c>
      <c r="C5" t="str">
        <v>articulo</v>
      </c>
      <c r="D5" t="str">
        <v>gst_codave</v>
      </c>
      <c r="E5" t="str">
        <v>producto_venta</v>
      </c>
      <c r="F5" t="str">
        <v>dias_vida</v>
      </c>
      <c r="G5" t="str">
        <v>fecha_entrada</v>
      </c>
      <c r="H5" t="str">
        <v>cantidad_entrada</v>
      </c>
      <c r="I5" t="str">
        <v>estado</v>
      </c>
      <c r="J5" t="str">
        <v>peso_real</v>
      </c>
      <c r="K5" t="str">
        <v>peso_real_rev</v>
      </c>
      <c r="L5" t="str">
        <v>peso_matadero</v>
      </c>
      <c r="M5" t="str">
        <v>peso_granja</v>
      </c>
      <c r="N5" t="str">
        <v>peso_teorico</v>
      </c>
      <c r="O5" t="str">
        <v>peso_avicontrol</v>
      </c>
      <c r="P5" t="str">
        <v>cantidad_entrada</v>
      </c>
      <c r="Q5" t="str">
        <v>stock_inicial</v>
      </c>
      <c r="R5" t="str">
        <v>ventas_acumuladas</v>
      </c>
      <c r="S5" t="str">
        <v>bajas_acumuladas</v>
      </c>
      <c r="T5" t="str">
        <v>bajas_teoricas</v>
      </c>
      <c r="U5" t="str">
        <v>stock_nave</v>
      </c>
      <c r="V5" t="str">
        <v>kilos_nave</v>
      </c>
      <c r="W5" t="str">
        <v>capacidad_nave</v>
      </c>
      <c r="X5" t="str">
        <v>densidad_nave</v>
      </c>
      <c r="Y5" t="str">
        <v>kgm2_nave</v>
      </c>
      <c r="Z5" t="str">
        <v>capacidad_nave</v>
      </c>
      <c r="AA5" t="str">
        <v>m2_nave</v>
      </c>
      <c r="AB5" t="str">
        <v>granja</v>
      </c>
    </row>
    <row r="6" spans="1:28" x14ac:dyDescent="0.25">
      <c r="A6" t="str">
        <v>2025-10-11</v>
      </c>
      <c r="B6" t="str">
        <v>36994-SENDRA-FIGUERAS, SCP-4,5,6-L:012-N:6-A:A13-POLLO AMARILLO MACHO</v>
      </c>
      <c r="C6" t="str">
        <v>POLLO AMARILLO MACHO</v>
      </c>
      <c r="D6" t="str">
        <v>3</v>
      </c>
      <c r="E6" t="str">
        <v>Broiler Amarillo</v>
      </c>
      <c r="F6" t="str">
        <v>60</v>
      </c>
      <c r="G6" t="str">
        <v>2025-08-12</v>
      </c>
      <c r="H6" t="str">
        <v>0</v>
      </c>
      <c r="I6" t="str">
        <v>Finalizado</v>
      </c>
      <c r="J6" t="str">
        <v>4.66922</v>
      </c>
      <c r="K6" t="str">
        <v>4.86885</v>
      </c>
      <c r="L6" t="str">
        <v>null</v>
      </c>
      <c r="M6" t="str">
        <v>null</v>
      </c>
      <c r="N6" t="str">
        <v>3.92500</v>
      </c>
      <c r="O6" t="str">
        <v>null</v>
      </c>
      <c r="P6" t="str">
        <v>9400.000</v>
      </c>
      <c r="Q6" t="str">
        <v>1848.000</v>
      </c>
      <c r="R6" t="str">
        <v>-7173.000</v>
      </c>
      <c r="S6" t="str">
        <v>319.000</v>
      </c>
      <c r="T6" t="str">
        <v>319.000</v>
      </c>
      <c r="U6" t="str">
        <v>1848.000</v>
      </c>
      <c r="V6" t="str">
        <v>8628.719</v>
      </c>
      <c r="W6" t="str">
        <v>0.10021691973969631236</v>
      </c>
      <c r="X6" t="str">
        <v>8.9416777202072539</v>
      </c>
      <c r="Y6" t="str">
        <v>8.9416777202072539</v>
      </c>
      <c r="Z6" t="str">
        <v>0.10022</v>
      </c>
      <c r="AA6" t="str">
        <v>965.00000</v>
      </c>
      <c r="AB6" t="str">
        <v>36994-SENDRA-FIGUERAS, SCP-4,5,6</v>
      </c>
    </row>
    <row r="7" spans="1:28" x14ac:dyDescent="0.25">
      <c r="A7" t="str">
        <v>2025-10-11</v>
      </c>
      <c r="B7" t="str">
        <v>36994-SENDRA-FIGUERAS, SCP-4,5,6-L:012-N:5-A:A13-POLLO AMARILLO MACHO</v>
      </c>
      <c r="C7" t="str">
        <v>POLLO AMARILLO MACHO</v>
      </c>
      <c r="D7" t="str">
        <v>3</v>
      </c>
      <c r="E7" t="str">
        <v>Broiler Amarillo</v>
      </c>
      <c r="F7" t="str">
        <v>60</v>
      </c>
      <c r="G7" t="str">
        <v>2025-08-12</v>
      </c>
      <c r="H7" t="str">
        <v>0</v>
      </c>
      <c r="I7" t="str">
        <v>Finalizado</v>
      </c>
      <c r="J7" t="str">
        <v>4.32677</v>
      </c>
      <c r="K7" t="str">
        <v>4.46268</v>
      </c>
      <c r="L7" t="str">
        <v>null</v>
      </c>
      <c r="M7" t="str">
        <v>null</v>
      </c>
      <c r="N7" t="str">
        <v>3.92500</v>
      </c>
      <c r="O7" t="str">
        <v>null</v>
      </c>
      <c r="P7" t="str">
        <v>15300.000</v>
      </c>
      <c r="Q7" t="str">
        <v>589.000</v>
      </c>
      <c r="R7" t="str">
        <v>-14126.000</v>
      </c>
      <c r="S7" t="str">
        <v>525.000</v>
      </c>
      <c r="T7" t="str">
        <v>525.000</v>
      </c>
      <c r="U7" t="str">
        <v>589.000</v>
      </c>
      <c r="V7" t="str">
        <v>2548.468</v>
      </c>
      <c r="W7" t="str">
        <v>0.01865222623345367028</v>
      </c>
      <c r="X7" t="str">
        <v>1.5417229280096794</v>
      </c>
      <c r="Y7" t="str">
        <v>1.5417229280096794</v>
      </c>
      <c r="Z7" t="str">
        <v>0.01865</v>
      </c>
      <c r="AA7" t="str">
        <v>1653.00000</v>
      </c>
      <c r="AB7" t="str">
        <v>36994-SENDRA-FIGUERAS, SCP-4,5,6</v>
      </c>
    </row>
    <row r="8" spans="1:28" x14ac:dyDescent="0.25">
      <c r="A8" t="str">
        <v>2025-10-11</v>
      </c>
      <c r="B8" t="str">
        <v>36994-SENDRA-FIGUERAS, SCP-4,5,6-L:012-N:4-A:A13-POLLO AMARILLO MACHO</v>
      </c>
      <c r="C8" t="str">
        <v>POLLO AMARILLO MACHO</v>
      </c>
      <c r="D8" t="str">
        <v>3</v>
      </c>
      <c r="E8" t="str">
        <v>Broiler Amarillo</v>
      </c>
      <c r="F8" t="str">
        <v>60</v>
      </c>
      <c r="G8" t="str">
        <v>2025-08-12</v>
      </c>
      <c r="H8" t="str">
        <v>0</v>
      </c>
      <c r="I8" t="str">
        <v>Finalizado</v>
      </c>
      <c r="J8" t="str">
        <v>4.28183</v>
      </c>
      <c r="K8" t="str">
        <v>4.40256</v>
      </c>
      <c r="L8" t="str">
        <v>null</v>
      </c>
      <c r="M8" t="str">
        <v>null</v>
      </c>
      <c r="N8" t="str">
        <v>3.92500</v>
      </c>
      <c r="O8" t="str">
        <v>null</v>
      </c>
      <c r="P8" t="str">
        <v>10900.000</v>
      </c>
      <c r="Q8" t="str">
        <v>4342.000</v>
      </c>
      <c r="R8" t="str">
        <v>-6113.000</v>
      </c>
      <c r="S8" t="str">
        <v>385.000</v>
      </c>
      <c r="T8" t="str">
        <v>385.000</v>
      </c>
      <c r="U8" t="str">
        <v>4342.000</v>
      </c>
      <c r="V8" t="str">
        <v>18591.706</v>
      </c>
      <c r="W8" t="str">
        <v>0.19671982602392171076</v>
      </c>
      <c r="X8" t="str">
        <v>16.0967151515151515</v>
      </c>
      <c r="Y8" t="str">
        <v>16.0967151515151515</v>
      </c>
      <c r="Z8" t="str">
        <v>0.19672</v>
      </c>
      <c r="AA8" t="str">
        <v>1155.00000</v>
      </c>
      <c r="AB8" t="str">
        <v>36994-SENDRA-FIGUERAS, SCP-4,5,6</v>
      </c>
    </row>
    <row r="9" spans="1:28" x14ac:dyDescent="0.25">
      <c r="A9" t="str">
        <v>2025-10-11</v>
      </c>
      <c r="B9" t="str">
        <v>36993-SENDRA-FIGUERAS, SCP-1,2,3-L:012-N:2-A:A15-POLLO AMARILLO MIXTO</v>
      </c>
      <c r="C9" t="str">
        <v>POLLO AMARILLO MIXTO</v>
      </c>
      <c r="D9" t="str">
        <v>3</v>
      </c>
      <c r="E9" t="str">
        <v>Broiler Amarillo</v>
      </c>
      <c r="F9" t="str">
        <v>60</v>
      </c>
      <c r="G9" t="str">
        <v>2025-08-12</v>
      </c>
      <c r="H9" t="str">
        <v>0</v>
      </c>
      <c r="I9" s="28" t="str">
        <v>Pre-Finalizado</v>
      </c>
      <c r="J9" t="str">
        <v>4.22245</v>
      </c>
      <c r="K9" t="str">
        <v>4.44899</v>
      </c>
      <c r="L9" t="str">
        <v>null</v>
      </c>
      <c r="M9" t="str">
        <v>null</v>
      </c>
      <c r="N9" t="str">
        <v>3.59900</v>
      </c>
      <c r="O9" t="str">
        <v>null</v>
      </c>
      <c r="P9" t="str">
        <v>4700.000</v>
      </c>
      <c r="Q9" t="str">
        <v>-493.000</v>
      </c>
      <c r="R9" t="str">
        <v>-5018.000</v>
      </c>
      <c r="S9" t="str">
        <v>175.000</v>
      </c>
      <c r="T9" t="str">
        <v>175.000</v>
      </c>
      <c r="U9" t="str">
        <v>-493.000</v>
      </c>
      <c r="V9" t="str">
        <v>-2081.668</v>
      </c>
      <c r="W9" t="str">
        <v>-0.10144032921810699588</v>
      </c>
      <c r="X9" t="str">
        <v>-8.1955433070866142</v>
      </c>
      <c r="Y9" t="str">
        <v>-8.1955433070866142</v>
      </c>
      <c r="Z9" t="str">
        <v>-0.10144</v>
      </c>
      <c r="AA9" t="str">
        <v>254.00000</v>
      </c>
      <c r="AB9" t="str">
        <v>36993-SENDRA-FIGUERAS, SCP-1,2,3</v>
      </c>
    </row>
    <row r="10" spans="1:28" x14ac:dyDescent="0.25">
      <c r="A10" t="str">
        <v>2025-10-11</v>
      </c>
      <c r="B10" t="str">
        <v>36870-GRANJA MONICA (Joan Sanz)-L:051-N:2-A:A13-POLLO AMARILLO MACHO</v>
      </c>
      <c r="C10" t="str">
        <v>POLLO AMARILLO MACHO</v>
      </c>
      <c r="D10" t="str">
        <v>3</v>
      </c>
      <c r="E10" t="str">
        <v>Broiler Amarillo</v>
      </c>
      <c r="F10" t="str">
        <v>58</v>
      </c>
      <c r="G10" t="str">
        <v>2025-08-14</v>
      </c>
      <c r="H10" t="str">
        <v>0</v>
      </c>
      <c r="I10" t="str">
        <v>Finalizado</v>
      </c>
      <c r="J10" t="str">
        <v>4.20921</v>
      </c>
      <c r="K10" t="str">
        <v>4.30112</v>
      </c>
      <c r="L10" t="str">
        <v>null</v>
      </c>
      <c r="M10" t="str">
        <v>null</v>
      </c>
      <c r="N10" t="str">
        <v>3.81300</v>
      </c>
      <c r="O10" t="str">
        <v>null</v>
      </c>
      <c r="P10" t="str">
        <v>13500.000</v>
      </c>
      <c r="Q10" t="str">
        <v>-466.000</v>
      </c>
      <c r="R10" t="str">
        <v>-13485.000</v>
      </c>
      <c r="S10" t="str">
        <v>481.000</v>
      </c>
      <c r="T10" t="str">
        <v>481.000</v>
      </c>
      <c r="U10" t="str">
        <v>-1222.000</v>
      </c>
      <c r="V10" t="str">
        <v>-4932.171</v>
      </c>
      <c r="W10" t="str">
        <v>-0.04073333333333333333</v>
      </c>
      <c r="X10" t="str">
        <v>-3.2236411764705882</v>
      </c>
      <c r="Y10" t="str">
        <v>-3.2236411764705882</v>
      </c>
      <c r="Z10" t="str">
        <v>-0.04073</v>
      </c>
      <c r="AA10" t="str">
        <v>1530.00000</v>
      </c>
      <c r="AB10" t="str">
        <v>36870-GRANJA MONICA (Joan Sanz)</v>
      </c>
    </row>
    <row r="11" spans="1:28" x14ac:dyDescent="0.25">
      <c r="A11" t="str">
        <v>2025-10-11</v>
      </c>
      <c r="B11" t="str">
        <v>36993-SENDRA-FIGUERAS, SCP-1,2,3-L:012-N:3-A:A13-POLLO AMARILLO MACHO</v>
      </c>
      <c r="C11" t="str">
        <v>POLLO AMARILLO MACHO</v>
      </c>
      <c r="D11" t="str">
        <v>3</v>
      </c>
      <c r="E11" t="str">
        <v>Broiler Amarillo</v>
      </c>
      <c r="F11" t="str">
        <v>60</v>
      </c>
      <c r="G11" t="str">
        <v>2025-08-12</v>
      </c>
      <c r="H11" t="str">
        <v>0</v>
      </c>
      <c r="I11" t="str">
        <v>Pre-Finalizado</v>
      </c>
      <c r="J11" t="str">
        <v>4.17407</v>
      </c>
      <c r="K11" t="str">
        <v>4.25828</v>
      </c>
      <c r="L11" t="str">
        <v>null</v>
      </c>
      <c r="M11" t="str">
        <v>null</v>
      </c>
      <c r="N11" t="str">
        <v>3.92500</v>
      </c>
      <c r="O11" t="str">
        <v>null</v>
      </c>
      <c r="P11" t="str">
        <v>9200.000</v>
      </c>
      <c r="Q11" t="str">
        <v>-5525.000</v>
      </c>
      <c r="R11" t="str">
        <v>-14406.000</v>
      </c>
      <c r="S11" t="str">
        <v>319.000</v>
      </c>
      <c r="T11" t="str">
        <v>319.000</v>
      </c>
      <c r="U11" t="str">
        <v>-3883.000</v>
      </c>
      <c r="V11" t="str">
        <v>-17155.463</v>
      </c>
      <c r="W11" t="str">
        <v>-0.20436842105263157895</v>
      </c>
      <c r="X11" t="str">
        <v>-17.2590171026156942</v>
      </c>
      <c r="Y11" t="str">
        <v>-17.2590171026156942</v>
      </c>
      <c r="Z11" t="str">
        <v>-0.20437</v>
      </c>
      <c r="AA11" t="str">
        <v>994.00000</v>
      </c>
      <c r="AB11" t="str">
        <v>36993-SENDRA-FIGUERAS, SCP-1,2,3</v>
      </c>
    </row>
    <row r="12" spans="1:28" x14ac:dyDescent="0.25">
      <c r="A12" t="str">
        <v>2025-10-11</v>
      </c>
      <c r="B12" t="str">
        <v>36993-SENDRA-FIGUERAS, SCP-1,2,3-L:012-N:1-A:A15-POLLO AMARILLO MIXTO</v>
      </c>
      <c r="C12" t="str">
        <v>POLLO AMARILLO MIXTO</v>
      </c>
      <c r="D12" t="str">
        <v>3</v>
      </c>
      <c r="E12" t="str">
        <v>Broiler Amarillo</v>
      </c>
      <c r="F12" t="str">
        <v>60</v>
      </c>
      <c r="G12" t="str">
        <v>2025-08-12</v>
      </c>
      <c r="H12" t="str">
        <v>0</v>
      </c>
      <c r="I12" t="str">
        <v>Abierto</v>
      </c>
      <c r="J12" t="str">
        <v>4.16500</v>
      </c>
      <c r="K12" t="str">
        <v>4.34929</v>
      </c>
      <c r="L12" t="str">
        <v>null</v>
      </c>
      <c r="M12" t="str">
        <v>null</v>
      </c>
      <c r="N12" t="str">
        <v>3.59900</v>
      </c>
      <c r="O12" t="str">
        <v>null</v>
      </c>
      <c r="P12" t="str">
        <v>4700.000</v>
      </c>
      <c r="Q12" t="str">
        <v>4372.000</v>
      </c>
      <c r="R12" t="str">
        <v>0.000</v>
      </c>
      <c r="S12" t="str">
        <v>175.000</v>
      </c>
      <c r="T12" t="str">
        <v>175.000</v>
      </c>
      <c r="U12" t="str">
        <v>4372.000</v>
      </c>
      <c r="V12" t="str">
        <v>18209.380</v>
      </c>
      <c r="W12" t="str">
        <v>0.89958847736625514403</v>
      </c>
      <c r="X12" t="str">
        <v>71.6904724409448819</v>
      </c>
      <c r="Y12" t="str">
        <v>71.6904724409448819</v>
      </c>
      <c r="Z12" t="str">
        <v>0.89959</v>
      </c>
      <c r="AA12" t="str">
        <v>254.00000</v>
      </c>
      <c r="AB12" t="str">
        <v>36993-SENDRA-FIGUERAS, SCP-1,2,3</v>
      </c>
    </row>
    <row r="13" spans="1:28" x14ac:dyDescent="0.25">
      <c r="A13" t="str">
        <v>2025-10-11</v>
      </c>
      <c r="B13" t="str">
        <v>36870-GRANJA MONICA (Joan Sanz)-L:051-N:1-A:A13-POLLO AMARILLO MACHO</v>
      </c>
      <c r="C13" t="str">
        <v>POLLO AMARILLO MACHO</v>
      </c>
      <c r="D13" t="str">
        <v>3</v>
      </c>
      <c r="E13" t="str">
        <v>Broiler Amarillo</v>
      </c>
      <c r="F13" t="str">
        <v>58</v>
      </c>
      <c r="G13" t="str">
        <v>2025-08-14</v>
      </c>
      <c r="H13" t="str">
        <v>0</v>
      </c>
      <c r="I13" t="str">
        <v>Finalizado</v>
      </c>
      <c r="J13" t="str">
        <v>4.04071</v>
      </c>
      <c r="K13" t="str">
        <v>4.09355</v>
      </c>
      <c r="L13" t="str">
        <v>null</v>
      </c>
      <c r="M13" t="str">
        <v>null</v>
      </c>
      <c r="N13" t="str">
        <v>3.81300</v>
      </c>
      <c r="O13" t="str">
        <v>null</v>
      </c>
      <c r="P13" t="str">
        <v>13500.000</v>
      </c>
      <c r="Q13" t="str">
        <v>0.000</v>
      </c>
      <c r="R13" t="str">
        <v>-8280.000</v>
      </c>
      <c r="S13" t="str">
        <v>481.000</v>
      </c>
      <c r="T13" t="str">
        <v>481.000</v>
      </c>
      <c r="U13" t="str">
        <v>-2701.000</v>
      </c>
      <c r="V13" t="str">
        <v>-9702.586</v>
      </c>
      <c r="W13" t="str">
        <v>-0.09003333333333333333</v>
      </c>
      <c r="X13" t="str">
        <v>-6.3415594771241830</v>
      </c>
      <c r="Y13" t="str">
        <v>-6.3415594771241830</v>
      </c>
      <c r="Z13" t="str">
        <v>-0.09003</v>
      </c>
      <c r="AA13" t="str">
        <v>1530.00000</v>
      </c>
      <c r="AB13" t="str">
        <v>36870-GRANJA MONICA (Joan Sanz)</v>
      </c>
    </row>
    <row r="14" spans="1:28" x14ac:dyDescent="0.25">
      <c r="A14" t="str">
        <v>2025-10-11</v>
      </c>
      <c r="B14" t="str">
        <v>36994-SENDRA-FIGUERAS, SCP-4,5,6-L:012-N:6-A:A14-POLLO AMARILLO HEMBRAS</v>
      </c>
      <c r="C14" t="str">
        <v>POLLO AMARILLO HEMBRAS</v>
      </c>
      <c r="D14" t="str">
        <v>3</v>
      </c>
      <c r="E14" t="str">
        <v>Broiler Amarillo</v>
      </c>
      <c r="F14" t="str">
        <v>60</v>
      </c>
      <c r="G14" t="str">
        <v>2025-08-12</v>
      </c>
      <c r="H14" t="str">
        <v>0</v>
      </c>
      <c r="I14" t="str">
        <v>Finalizado</v>
      </c>
      <c r="J14" t="str">
        <v>4.04001</v>
      </c>
      <c r="K14" t="str">
        <v>4.23021</v>
      </c>
      <c r="L14" t="str">
        <v>null</v>
      </c>
      <c r="M14" t="str">
        <v>null</v>
      </c>
      <c r="N14" t="str">
        <v>3.27500</v>
      </c>
      <c r="O14" t="str">
        <v>null</v>
      </c>
      <c r="P14" t="str">
        <v>9800.000</v>
      </c>
      <c r="Q14" t="str">
        <v>0.000</v>
      </c>
      <c r="R14" t="str">
        <v>-9467.000</v>
      </c>
      <c r="S14" t="str">
        <v>331.000</v>
      </c>
      <c r="T14" t="str">
        <v>331.000</v>
      </c>
      <c r="U14" t="str">
        <v>1848.000</v>
      </c>
      <c r="V14" t="str">
        <v>8628.719</v>
      </c>
      <c r="W14" t="str">
        <v>0.10021691973969631236</v>
      </c>
      <c r="X14" t="str">
        <v>8.9416777202072539</v>
      </c>
      <c r="Y14" t="str">
        <v>8.9416777202072539</v>
      </c>
      <c r="Z14" t="str">
        <v>0.10022</v>
      </c>
      <c r="AA14" t="str">
        <v>965.00000</v>
      </c>
      <c r="AB14" t="str">
        <v>36994-SENDRA-FIGUERAS, SCP-4,5,6</v>
      </c>
    </row>
    <row r="15" spans="1:28" x14ac:dyDescent="0.25">
      <c r="A15" t="str">
        <v>2025-10-11</v>
      </c>
      <c r="B15" t="str">
        <v>36005-SANGRA RICART JORDI-L:032-N:2-A:A13-POLLO AMARILLO MACHO</v>
      </c>
      <c r="C15" t="str">
        <v>POLLO AMARILLO MACHO</v>
      </c>
      <c r="D15" t="str">
        <v>3</v>
      </c>
      <c r="E15" t="str">
        <v>Broiler Amarillo</v>
      </c>
      <c r="F15" t="str">
        <v>58</v>
      </c>
      <c r="G15" t="str">
        <v>2025-08-14</v>
      </c>
      <c r="H15" t="str">
        <v>0</v>
      </c>
      <c r="I15" t="str">
        <v>Pre-Finalizado</v>
      </c>
      <c r="J15" t="str">
        <v>3.97481</v>
      </c>
      <c r="K15" t="str">
        <v>4.01761</v>
      </c>
      <c r="L15" t="str">
        <v>null</v>
      </c>
      <c r="M15" t="str">
        <v>null</v>
      </c>
      <c r="N15" t="str">
        <v>3.81300</v>
      </c>
      <c r="O15" t="str">
        <v>null</v>
      </c>
      <c r="P15" t="str">
        <v>12000.000</v>
      </c>
      <c r="Q15" t="str">
        <v>-634.000</v>
      </c>
      <c r="R15" t="str">
        <v>-12216.000</v>
      </c>
      <c r="S15" t="str">
        <v>418.000</v>
      </c>
      <c r="T15" t="str">
        <v>418.000</v>
      </c>
      <c r="U15" t="str">
        <v>-745.000</v>
      </c>
      <c r="V15" t="str">
        <v>-2897.949</v>
      </c>
      <c r="W15" t="str">
        <v>-0.02980000000000000000</v>
      </c>
      <c r="X15" t="str">
        <v>-1.9985855172413793</v>
      </c>
      <c r="Y15" t="str">
        <v>-1.9985855172413793</v>
      </c>
      <c r="Z15" t="str">
        <v>-0.02980</v>
      </c>
      <c r="AA15" t="str">
        <v>1450.00000</v>
      </c>
      <c r="AB15" t="str">
        <v>36005-SANGRA RICART JORDI</v>
      </c>
    </row>
    <row r="16" spans="1:28" x14ac:dyDescent="0.25">
      <c r="A16" t="str">
        <v>2025-10-11</v>
      </c>
      <c r="B16" t="str">
        <v>36022-IGNACI ABAD MELE E HIJOS SCP-2-L:028-N:2-A:A13-POLLO AMARILLO MACHO</v>
      </c>
      <c r="C16" t="str">
        <v>POLLO AMARILLO MACHO</v>
      </c>
      <c r="D16" t="str">
        <v>3</v>
      </c>
      <c r="E16" t="str">
        <v>Broiler Amarillo</v>
      </c>
      <c r="F16" t="str">
        <v>53</v>
      </c>
      <c r="G16" t="str">
        <v>2025-08-19</v>
      </c>
      <c r="H16" t="str">
        <v>0</v>
      </c>
      <c r="I16" t="str">
        <v>Finalizado</v>
      </c>
      <c r="J16" t="str">
        <v>3.97400</v>
      </c>
      <c r="K16" t="str">
        <v>4.06455</v>
      </c>
      <c r="L16" t="str">
        <v>null</v>
      </c>
      <c r="M16" t="str">
        <v>null</v>
      </c>
      <c r="N16" t="str">
        <v>3.52600</v>
      </c>
      <c r="O16" t="str">
        <v>null</v>
      </c>
      <c r="P16" t="str">
        <v>11000.000</v>
      </c>
      <c r="Q16" t="str">
        <v>0.000</v>
      </c>
      <c r="R16" t="str">
        <v>-10537.000</v>
      </c>
      <c r="S16" t="str">
        <v>388.000</v>
      </c>
      <c r="T16" t="str">
        <v>388.000</v>
      </c>
      <c r="U16" t="str">
        <v>0.000</v>
      </c>
      <c r="V16" t="str">
        <v>0.000</v>
      </c>
      <c r="W16" t="str">
        <v>0.000000000000000000000000</v>
      </c>
      <c r="X16" t="str">
        <v>0.00000000000000000000</v>
      </c>
      <c r="Y16" t="str">
        <v>0.00000000000000000000</v>
      </c>
      <c r="Z16" t="str">
        <v>0.00000</v>
      </c>
      <c r="AA16" t="str">
        <v>1190.00000</v>
      </c>
      <c r="AB16" t="str">
        <v>36022-IGNACI ABAD MELE E HIJOS SCP-2</v>
      </c>
    </row>
    <row r="17" spans="1:28" x14ac:dyDescent="0.25">
      <c r="A17" t="str">
        <v>2025-10-11</v>
      </c>
      <c r="B17" t="str">
        <v>36023-AGRÀRIA SANBER SCP-L:029-N:1-A:A13-POLLO AMARILLO MACHO</v>
      </c>
      <c r="C17" t="str">
        <v>POLLO AMARILLO MACHO</v>
      </c>
      <c r="D17" t="str">
        <v>3</v>
      </c>
      <c r="E17" t="str">
        <v>Broiler Amarillo</v>
      </c>
      <c r="F17" t="str">
        <v>54</v>
      </c>
      <c r="G17" t="str">
        <v>2025-08-18</v>
      </c>
      <c r="H17" t="str">
        <v>0</v>
      </c>
      <c r="I17" t="str">
        <v>Pre-Finalizado</v>
      </c>
      <c r="J17" t="str">
        <v>3.94144</v>
      </c>
      <c r="K17" t="str">
        <v>4.06217</v>
      </c>
      <c r="L17" t="str">
        <v>null</v>
      </c>
      <c r="M17" t="str">
        <v>null</v>
      </c>
      <c r="N17" t="str">
        <v>3.58700</v>
      </c>
      <c r="O17" t="str">
        <v>null</v>
      </c>
      <c r="P17" t="str">
        <v>12000.000</v>
      </c>
      <c r="Q17" t="str">
        <v>292.000</v>
      </c>
      <c r="R17" t="str">
        <v>-11302.000</v>
      </c>
      <c r="S17" t="str">
        <v>325.000</v>
      </c>
      <c r="T17" t="str">
        <v>325.000</v>
      </c>
      <c r="U17" t="str">
        <v>659.000</v>
      </c>
      <c r="V17" t="str">
        <v>2526.306</v>
      </c>
      <c r="W17" t="str">
        <v>0.02196666666666666667</v>
      </c>
      <c r="X17" t="str">
        <v>1.8045042857142857</v>
      </c>
      <c r="Y17" t="str">
        <v>1.8045042857142857</v>
      </c>
      <c r="Z17" t="str">
        <v>0.02197</v>
      </c>
      <c r="AA17" t="str">
        <v>1400.00000</v>
      </c>
      <c r="AB17" t="str">
        <v>36023-AGRÀRIA SANBER SCP</v>
      </c>
    </row>
    <row r="18" spans="1:28" x14ac:dyDescent="0.25">
      <c r="A18" t="str">
        <v>2025-10-11</v>
      </c>
      <c r="B18" t="str">
        <v>36005-SANGRA RICART JORDI-L:032-N:1-A:A13-POLLO AMARILLO MACHO</v>
      </c>
      <c r="C18" t="str">
        <v>POLLO AMARILLO MACHO</v>
      </c>
      <c r="D18" t="str">
        <v>3</v>
      </c>
      <c r="E18" t="str">
        <v>Broiler Amarillo</v>
      </c>
      <c r="F18" t="str">
        <v>58</v>
      </c>
      <c r="G18" t="str">
        <v>2025-08-14</v>
      </c>
      <c r="H18" t="str">
        <v>0</v>
      </c>
      <c r="I18" t="str">
        <v>Pre-Finalizado</v>
      </c>
      <c r="J18" t="str">
        <v>3.93252</v>
      </c>
      <c r="K18" t="str">
        <v>3.96841</v>
      </c>
      <c r="L18" t="str">
        <v>null</v>
      </c>
      <c r="M18" t="str">
        <v>null</v>
      </c>
      <c r="N18" t="str">
        <v>3.81300</v>
      </c>
      <c r="O18" t="str">
        <v>null</v>
      </c>
      <c r="P18" t="str">
        <v>12500.000</v>
      </c>
      <c r="Q18" t="str">
        <v>-802.000</v>
      </c>
      <c r="R18" t="str">
        <v>-12871.000</v>
      </c>
      <c r="S18" t="str">
        <v>431.000</v>
      </c>
      <c r="T18" t="str">
        <v>431.000</v>
      </c>
      <c r="U18" t="str">
        <v>-378.000</v>
      </c>
      <c r="V18" t="str">
        <v>-1704.085</v>
      </c>
      <c r="W18" t="str">
        <v>-0.01512000000000000000</v>
      </c>
      <c r="X18" t="str">
        <v>-1.1752310344827586</v>
      </c>
      <c r="Y18" t="str">
        <v>-1.1752310344827586</v>
      </c>
      <c r="Z18" t="str">
        <v>-0.01512</v>
      </c>
      <c r="AA18" t="str">
        <v>1450.00000</v>
      </c>
      <c r="AB18" t="str">
        <v>36005-SANGRA RICART JORDI</v>
      </c>
    </row>
    <row r="19" spans="1:28" x14ac:dyDescent="0.25">
      <c r="A19" t="str">
        <v>2025-10-11</v>
      </c>
      <c r="B19" t="str">
        <v>36870-GRANJA MONICA (Joan Sanz)-L:051-N:2-A:A14-POLLO AMARILLO HEMBRAS</v>
      </c>
      <c r="C19" t="str">
        <v>POLLO AMARILLO HEMBRAS</v>
      </c>
      <c r="D19" t="str">
        <v>3</v>
      </c>
      <c r="E19" t="str">
        <v>Broiler Amarillo</v>
      </c>
      <c r="F19" t="str">
        <v>58</v>
      </c>
      <c r="G19" t="str">
        <v>2025-08-14</v>
      </c>
      <c r="H19" t="str">
        <v>0</v>
      </c>
      <c r="I19" t="str">
        <v>Finalizado</v>
      </c>
      <c r="J19" t="str">
        <v>3.92947</v>
      </c>
      <c r="K19" t="str">
        <v>4.08885</v>
      </c>
      <c r="L19" t="str">
        <v>null</v>
      </c>
      <c r="M19" t="str">
        <v>null</v>
      </c>
      <c r="N19" t="str">
        <v>3.18300</v>
      </c>
      <c r="O19" t="str">
        <v>null</v>
      </c>
      <c r="P19" t="str">
        <v>14500.000</v>
      </c>
      <c r="Q19" t="str">
        <v>-756.000</v>
      </c>
      <c r="R19" t="str">
        <v>-14752.000</v>
      </c>
      <c r="S19" t="str">
        <v>504.000</v>
      </c>
      <c r="T19" t="str">
        <v>504.000</v>
      </c>
      <c r="U19" t="str">
        <v>-1222.000</v>
      </c>
      <c r="V19" t="str">
        <v>-4932.171</v>
      </c>
      <c r="W19" t="str">
        <v>-0.04073333333333333333</v>
      </c>
      <c r="X19" t="str">
        <v>-3.2236411764705882</v>
      </c>
      <c r="Y19" t="str">
        <v>-3.2236411764705882</v>
      </c>
      <c r="Z19" t="str">
        <v>-0.04073</v>
      </c>
      <c r="AA19" t="str">
        <v>1530.00000</v>
      </c>
      <c r="AB19" t="str">
        <v>36870-GRANJA MONICA (Joan Sanz)</v>
      </c>
    </row>
    <row r="20" spans="1:28" x14ac:dyDescent="0.25">
      <c r="A20" t="str">
        <v>2025-10-11</v>
      </c>
      <c r="B20" t="str">
        <v>36021-IGNACIO ABAD MELE E HIJOS SCP-1-L:028-N:3-A:A13-POLLO AMARILLO MACHO</v>
      </c>
      <c r="C20" t="str">
        <v>POLLO AMARILLO MACHO</v>
      </c>
      <c r="D20" t="str">
        <v>3</v>
      </c>
      <c r="E20" t="str">
        <v>Broiler Amarillo</v>
      </c>
      <c r="F20" t="str">
        <v>53</v>
      </c>
      <c r="G20" t="str">
        <v>2025-08-19</v>
      </c>
      <c r="H20" t="str">
        <v>0</v>
      </c>
      <c r="I20" t="str">
        <v>Pre-Finalizado</v>
      </c>
      <c r="J20" t="str">
        <v>3.88800</v>
      </c>
      <c r="K20" t="str">
        <v>3.98796</v>
      </c>
      <c r="L20" t="str">
        <v>null</v>
      </c>
      <c r="M20" t="str">
        <v>null</v>
      </c>
      <c r="N20" t="str">
        <v>3.52600</v>
      </c>
      <c r="O20" t="str">
        <v>null</v>
      </c>
      <c r="P20" t="str">
        <v>7000.000</v>
      </c>
      <c r="Q20" t="str">
        <v>0.000</v>
      </c>
      <c r="R20" t="str">
        <v>-6350.000</v>
      </c>
      <c r="S20" t="str">
        <v>234.000</v>
      </c>
      <c r="T20" t="str">
        <v>234.000</v>
      </c>
      <c r="U20" t="str">
        <v>23.000</v>
      </c>
      <c r="V20" t="str">
        <v>84.824</v>
      </c>
      <c r="W20" t="str">
        <v>0.00165099418562917235</v>
      </c>
      <c r="X20" t="str">
        <v>0.11044791666666666667</v>
      </c>
      <c r="Y20" t="str">
        <v>0.11044791666666666667</v>
      </c>
      <c r="Z20" t="str">
        <v>0.00165</v>
      </c>
      <c r="AA20" t="str">
        <v>768.00000</v>
      </c>
      <c r="AB20" t="str">
        <v>36021-IGNACIO ABAD MELE E HIJOS SCP-1</v>
      </c>
    </row>
    <row r="21" spans="1:28" x14ac:dyDescent="0.25">
      <c r="A21" t="str">
        <v>2025-10-11</v>
      </c>
      <c r="B21" t="str">
        <v>36023-AGRÀRIA SANBER SCP-L:029-N:1-A:A14-POLLO AMARILLO HEMBRAS</v>
      </c>
      <c r="C21" t="str">
        <v>POLLO AMARILLO HEMBRAS</v>
      </c>
      <c r="D21" t="str">
        <v>3</v>
      </c>
      <c r="E21" t="str">
        <v>Broiler Amarillo</v>
      </c>
      <c r="F21" t="str">
        <v>54</v>
      </c>
      <c r="G21" t="str">
        <v>2025-08-18</v>
      </c>
      <c r="H21" t="str">
        <v>0</v>
      </c>
      <c r="I21" t="str">
        <v>Pre-Finalizado</v>
      </c>
      <c r="J21" t="str">
        <v>3.74770</v>
      </c>
      <c r="K21" t="str">
        <v>3.97649</v>
      </c>
      <c r="L21" t="str">
        <v>null</v>
      </c>
      <c r="M21" t="str">
        <v>null</v>
      </c>
      <c r="N21" t="str">
        <v>2.99900</v>
      </c>
      <c r="O21" t="str">
        <v>null</v>
      </c>
      <c r="P21" t="str">
        <v>12000.000</v>
      </c>
      <c r="Q21" t="str">
        <v>367.000</v>
      </c>
      <c r="R21" t="str">
        <v>-11487.000</v>
      </c>
      <c r="S21" t="str">
        <v>119.000</v>
      </c>
      <c r="T21" t="str">
        <v>119.000</v>
      </c>
      <c r="U21" t="str">
        <v>659.000</v>
      </c>
      <c r="V21" t="str">
        <v>2526.306</v>
      </c>
      <c r="W21" t="str">
        <v>0.02196666666666666667</v>
      </c>
      <c r="X21" t="str">
        <v>1.8045042857142857</v>
      </c>
      <c r="Y21" t="str">
        <v>1.8045042857142857</v>
      </c>
      <c r="Z21" t="str">
        <v>0.02197</v>
      </c>
      <c r="AA21" t="str">
        <v>1400.00000</v>
      </c>
      <c r="AB21" t="str">
        <v>36023-AGRÀRIA SANBER SCP</v>
      </c>
    </row>
    <row r="22" spans="1:28" x14ac:dyDescent="0.25">
      <c r="A22" t="str">
        <v>2025-10-11</v>
      </c>
      <c r="B22" t="str">
        <v>36021-IGNACIO ABAD MELE E HIJOS SCP-1-L:028-N:1-A:A13-POLLO AMARILLO MACHO</v>
      </c>
      <c r="C22" t="str">
        <v>POLLO AMARILLO MACHO</v>
      </c>
      <c r="D22" t="str">
        <v>3</v>
      </c>
      <c r="E22" t="str">
        <v>Broiler Amarillo</v>
      </c>
      <c r="F22" t="str">
        <v>53</v>
      </c>
      <c r="G22" t="str">
        <v>2025-08-19</v>
      </c>
      <c r="H22" t="str">
        <v>0</v>
      </c>
      <c r="I22" t="str">
        <v>Pre-Finalizado</v>
      </c>
      <c r="J22" t="str">
        <v>3.73100</v>
      </c>
      <c r="K22" t="str">
        <v>3.78761</v>
      </c>
      <c r="L22" t="str">
        <v>null</v>
      </c>
      <c r="M22" t="str">
        <v>null</v>
      </c>
      <c r="N22" t="str">
        <v>3.52600</v>
      </c>
      <c r="O22" t="str">
        <v>null</v>
      </c>
      <c r="P22" t="str">
        <v>7500.000</v>
      </c>
      <c r="Q22" t="str">
        <v>0.000</v>
      </c>
      <c r="R22" t="str">
        <v>-6700.000</v>
      </c>
      <c r="S22" t="str">
        <v>274.000</v>
      </c>
      <c r="T22" t="str">
        <v>274.000</v>
      </c>
      <c r="U22" t="str">
        <v>157.000</v>
      </c>
      <c r="V22" t="str">
        <v>511.506</v>
      </c>
      <c r="W22" t="str">
        <v>0.01060667477367923254</v>
      </c>
      <c r="X22" t="str">
        <v>0.62684558823529411765</v>
      </c>
      <c r="Y22" t="str">
        <v>0.62684558823529411765</v>
      </c>
      <c r="Z22" t="str">
        <v>0.01061</v>
      </c>
      <c r="AA22" t="str">
        <v>816.00000</v>
      </c>
      <c r="AB22" t="str">
        <v>36021-IGNACIO ABAD MELE E HIJOS SCP-1</v>
      </c>
    </row>
    <row r="23" spans="1:28" x14ac:dyDescent="0.25">
      <c r="A23" t="str">
        <v>2025-10-11</v>
      </c>
      <c r="B23" t="str">
        <v>36021-IGNACIO ABAD MELE E HIJOS SCP-1-L:028-N:2-A:A13-POLLO AMARILLO MACHO</v>
      </c>
      <c r="C23" t="str">
        <v>POLLO AMARILLO MACHO</v>
      </c>
      <c r="D23" t="str">
        <v>3</v>
      </c>
      <c r="E23" t="str">
        <v>Broiler Amarillo</v>
      </c>
      <c r="F23" t="str">
        <v>53</v>
      </c>
      <c r="G23" t="str">
        <v>2025-08-19</v>
      </c>
      <c r="H23" t="str">
        <v>0</v>
      </c>
      <c r="I23" t="str">
        <v>Pre-Finalizado</v>
      </c>
      <c r="J23" t="str">
        <v>3.70300</v>
      </c>
      <c r="K23" t="str">
        <v>3.74505</v>
      </c>
      <c r="L23" t="str">
        <v>null</v>
      </c>
      <c r="M23" t="str">
        <v>null</v>
      </c>
      <c r="N23" t="str">
        <v>3.52600</v>
      </c>
      <c r="O23" t="str">
        <v>null</v>
      </c>
      <c r="P23" t="str">
        <v>7500.000</v>
      </c>
      <c r="Q23" t="str">
        <v>-895.000</v>
      </c>
      <c r="R23" t="str">
        <v>-8121.000</v>
      </c>
      <c r="S23" t="str">
        <v>274.000</v>
      </c>
      <c r="T23" t="str">
        <v>274.000</v>
      </c>
      <c r="U23" t="str">
        <v>-840.000</v>
      </c>
      <c r="V23" t="str">
        <v>-3126.910</v>
      </c>
      <c r="W23" t="str">
        <v>-0.05846732094382960952</v>
      </c>
      <c r="X23" t="str">
        <v>-3.9481186868686869</v>
      </c>
      <c r="Y23" t="str">
        <v>-3.9481186868686869</v>
      </c>
      <c r="Z23" t="str">
        <v>-0.05847</v>
      </c>
      <c r="AA23" t="str">
        <v>792.00000</v>
      </c>
      <c r="AB23" t="str">
        <v>36021-IGNACIO ABAD MELE E HIJOS SCP-1</v>
      </c>
    </row>
    <row r="24" spans="1:28" x14ac:dyDescent="0.25">
      <c r="A24" t="str">
        <v>2025-10-11</v>
      </c>
      <c r="B24" t="str">
        <v>36022-IGNACI ABAD MELE E HIJOS SCP-2-L:028-N:1-A:A13-POLLO AMARILLO MACHO</v>
      </c>
      <c r="C24" t="str">
        <v>POLLO AMARILLO MACHO</v>
      </c>
      <c r="D24" t="str">
        <v>3</v>
      </c>
      <c r="E24" t="str">
        <v>Broiler Amarillo</v>
      </c>
      <c r="F24" t="str">
        <v>53</v>
      </c>
      <c r="G24" t="str">
        <v>2025-08-19</v>
      </c>
      <c r="H24" t="str">
        <v>0</v>
      </c>
      <c r="I24" t="str">
        <v>Finalizado</v>
      </c>
      <c r="J24" t="str">
        <v>3.69500</v>
      </c>
      <c r="K24" t="str">
        <v>3.71854</v>
      </c>
      <c r="L24" t="str">
        <v>null</v>
      </c>
      <c r="M24" t="str">
        <v>null</v>
      </c>
      <c r="N24" t="str">
        <v>3.52600</v>
      </c>
      <c r="O24" t="str">
        <v>null</v>
      </c>
      <c r="P24" t="str">
        <v>11000.000</v>
      </c>
      <c r="Q24" t="str">
        <v>0.000</v>
      </c>
      <c r="R24" t="str">
        <v>-10107.000</v>
      </c>
      <c r="S24" t="str">
        <v>388.000</v>
      </c>
      <c r="T24" t="str">
        <v>388.000</v>
      </c>
      <c r="U24" t="str">
        <v>0.000</v>
      </c>
      <c r="V24" t="str">
        <v>0.000</v>
      </c>
      <c r="W24" t="str">
        <v>0.000000000000000000000000</v>
      </c>
      <c r="X24" t="str">
        <v>0.00000000000000000000</v>
      </c>
      <c r="Y24" t="str">
        <v>0.00000000000000000000</v>
      </c>
      <c r="Z24" t="str">
        <v>0.00000</v>
      </c>
      <c r="AA24" t="str">
        <v>1190.00000</v>
      </c>
      <c r="AB24" t="str">
        <v>36022-IGNACI ABAD MELE E HIJOS SCP-2</v>
      </c>
    </row>
    <row r="25" spans="1:28" x14ac:dyDescent="0.25">
      <c r="A25" t="str">
        <v>2025-10-11</v>
      </c>
      <c r="B25" t="str">
        <v>36057-CRAVICOL, SL-L:007-N:2-A:A13-POLLO AMARILLO MACHO</v>
      </c>
      <c r="C25" t="str">
        <v>POLLO AMARILLO MACHO</v>
      </c>
      <c r="D25" t="str">
        <v>3</v>
      </c>
      <c r="E25" t="str">
        <v>Broiler Amarillo</v>
      </c>
      <c r="F25" t="str">
        <v>47</v>
      </c>
      <c r="G25" t="str">
        <v>2025-08-25</v>
      </c>
      <c r="H25" t="str">
        <v>0</v>
      </c>
      <c r="I25" t="str">
        <v>Pre-Finalizado</v>
      </c>
      <c r="J25" t="str">
        <v>3.69002</v>
      </c>
      <c r="K25" t="str">
        <v>3.76153</v>
      </c>
      <c r="L25" t="str">
        <v>null</v>
      </c>
      <c r="M25" t="str">
        <v>null</v>
      </c>
      <c r="N25" t="str">
        <v>3.09500</v>
      </c>
      <c r="O25" t="str">
        <v>null</v>
      </c>
      <c r="P25" t="str">
        <v>10500.000</v>
      </c>
      <c r="Q25" t="str">
        <v>204.000</v>
      </c>
      <c r="R25" t="str">
        <v>-9975.000</v>
      </c>
      <c r="S25" t="str">
        <v>288.000</v>
      </c>
      <c r="T25" t="str">
        <v>288.000</v>
      </c>
      <c r="U25" t="str">
        <v>532.000</v>
      </c>
      <c r="V25" t="str">
        <v>1913.008</v>
      </c>
      <c r="W25" t="str">
        <v>0.02320104666375926734</v>
      </c>
      <c r="X25" t="str">
        <v>1.5015761381475667</v>
      </c>
      <c r="Y25" t="str">
        <v>1.5015761381475667</v>
      </c>
      <c r="Z25" t="str">
        <v>0.02320</v>
      </c>
      <c r="AA25" t="str">
        <v>1274.00000</v>
      </c>
      <c r="AB25" t="str">
        <v>36057-CRAVICOL, SL</v>
      </c>
    </row>
    <row r="26" spans="1:28" x14ac:dyDescent="0.25">
      <c r="A26" t="str">
        <v>2025-10-11</v>
      </c>
      <c r="B26" t="str">
        <v>36021-IGNACIO ABAD MELE E HIJOS SCP-1-L:028-N:3-A:A14-POLLO AMARILLO HEMBRAS</v>
      </c>
      <c r="C26" t="str">
        <v>POLLO AMARILLO HEMBRAS</v>
      </c>
      <c r="D26" t="str">
        <v>3</v>
      </c>
      <c r="E26" t="str">
        <v>Broiler Amarillo</v>
      </c>
      <c r="F26" t="str">
        <v>53</v>
      </c>
      <c r="G26" t="str">
        <v>2025-08-19</v>
      </c>
      <c r="H26" t="str">
        <v>0</v>
      </c>
      <c r="I26" t="str">
        <v>Pre-Finalizado</v>
      </c>
      <c r="J26" t="str">
        <v>3.68800</v>
      </c>
      <c r="K26" t="str">
        <v>3.87075</v>
      </c>
      <c r="L26" t="str">
        <v>null</v>
      </c>
      <c r="M26" t="str">
        <v>null</v>
      </c>
      <c r="N26" t="str">
        <v>2.95300</v>
      </c>
      <c r="O26" t="str">
        <v>null</v>
      </c>
      <c r="P26" t="str">
        <v>7000.000</v>
      </c>
      <c r="Q26" t="str">
        <v>23.000</v>
      </c>
      <c r="R26" t="str">
        <v>-6668.000</v>
      </c>
      <c r="S26" t="str">
        <v>234.000</v>
      </c>
      <c r="T26" t="str">
        <v>234.000</v>
      </c>
      <c r="U26" t="str">
        <v>23.000</v>
      </c>
      <c r="V26" t="str">
        <v>84.824</v>
      </c>
      <c r="W26" t="str">
        <v>0.00165099418562917235</v>
      </c>
      <c r="X26" t="str">
        <v>0.11044791666666666667</v>
      </c>
      <c r="Y26" t="str">
        <v>0.11044791666666666667</v>
      </c>
      <c r="Z26" t="str">
        <v>0.00165</v>
      </c>
      <c r="AA26" t="str">
        <v>768.00000</v>
      </c>
      <c r="AB26" t="str">
        <v>36021-IGNACIO ABAD MELE E HIJOS SCP-1</v>
      </c>
    </row>
    <row r="27" spans="1:28" x14ac:dyDescent="0.25">
      <c r="A27" t="str">
        <v>2025-10-11</v>
      </c>
      <c r="B27" t="str">
        <v>36026-TOMAS AURO SEBASTIAN-L:025-N:2-A:A15-POLLO AMARILLO MIXTO</v>
      </c>
      <c r="C27" t="str">
        <v>POLLO AMARILLO MIXTO</v>
      </c>
      <c r="D27" t="str">
        <v>3</v>
      </c>
      <c r="E27" t="str">
        <v>Broiler Amarillo</v>
      </c>
      <c r="F27" t="str">
        <v>54</v>
      </c>
      <c r="G27" t="str">
        <v>2025-08-18</v>
      </c>
      <c r="H27" t="str">
        <v>0</v>
      </c>
      <c r="I27" t="str">
        <v>Pre-Finalizado</v>
      </c>
      <c r="J27" t="str">
        <v>3.67900</v>
      </c>
      <c r="K27" t="str">
        <v>3.77447</v>
      </c>
      <c r="L27" t="str">
        <v>null</v>
      </c>
      <c r="M27" t="str">
        <v>null</v>
      </c>
      <c r="N27" t="str">
        <v>3.29300</v>
      </c>
      <c r="O27" t="str">
        <v>null</v>
      </c>
      <c r="P27" t="str">
        <v>17910.000</v>
      </c>
      <c r="Q27" t="str">
        <v>-302.000</v>
      </c>
      <c r="R27" t="str">
        <v>-17593.000</v>
      </c>
      <c r="S27" t="str">
        <v>619.000</v>
      </c>
      <c r="T27" t="str">
        <v>619.000</v>
      </c>
      <c r="U27" t="str">
        <v>-302.000</v>
      </c>
      <c r="V27" t="str">
        <v>-1111.058</v>
      </c>
      <c r="W27" t="str">
        <v>-0.01680952911054213514</v>
      </c>
      <c r="X27" t="str">
        <v>-1.0481679245283019</v>
      </c>
      <c r="Y27" t="str">
        <v>-1.0481679245283019</v>
      </c>
      <c r="Z27" t="str">
        <v>-0.01681</v>
      </c>
      <c r="AA27" t="str">
        <v>1060.00000</v>
      </c>
      <c r="AB27" t="str">
        <v>36026-TOMAS AURO SEBASTIAN</v>
      </c>
    </row>
    <row r="28" spans="1:28" x14ac:dyDescent="0.25">
      <c r="A28" t="str">
        <v>2025-10-11</v>
      </c>
      <c r="B28" t="str">
        <v>36057-CRAVICOL, SL-L:007-N:3-A:A13-POLLO AMARILLO MACHO</v>
      </c>
      <c r="C28" t="str">
        <v>POLLO AMARILLO MACHO</v>
      </c>
      <c r="D28" t="str">
        <v>3</v>
      </c>
      <c r="E28" t="str">
        <v>Broiler Amarillo</v>
      </c>
      <c r="F28" t="str">
        <v>47</v>
      </c>
      <c r="G28" t="str">
        <v>2025-08-25</v>
      </c>
      <c r="H28" t="str">
        <v>0</v>
      </c>
      <c r="I28" t="str">
        <v>Pre-Finalizado</v>
      </c>
      <c r="J28" t="str">
        <v>3.67099</v>
      </c>
      <c r="K28" t="str">
        <v>3.76116</v>
      </c>
      <c r="L28" t="str">
        <v>null</v>
      </c>
      <c r="M28" t="str">
        <v>null</v>
      </c>
      <c r="N28" t="str">
        <v>3.09500</v>
      </c>
      <c r="O28" t="str">
        <v>null</v>
      </c>
      <c r="P28" t="str">
        <v>13100.000</v>
      </c>
      <c r="Q28" t="str">
        <v>833.000</v>
      </c>
      <c r="R28" t="str">
        <v>-11765.000</v>
      </c>
      <c r="S28" t="str">
        <v>469.000</v>
      </c>
      <c r="T28" t="str">
        <v>469.000</v>
      </c>
      <c r="U28" t="str">
        <v>981.000</v>
      </c>
      <c r="V28" t="str">
        <v>3573.820</v>
      </c>
      <c r="W28" t="str">
        <v>0.03406250000000000000</v>
      </c>
      <c r="X28" t="str">
        <v>2.2336375000000000</v>
      </c>
      <c r="Y28" t="str">
        <v>2.2336375000000000</v>
      </c>
      <c r="Z28" t="str">
        <v>0.03406</v>
      </c>
      <c r="AA28" t="str">
        <v>1600.00000</v>
      </c>
      <c r="AB28" t="str">
        <v>36057-CRAVICOL, SL</v>
      </c>
    </row>
    <row r="29" spans="1:28" x14ac:dyDescent="0.25">
      <c r="A29" t="str">
        <v>2025-10-11</v>
      </c>
      <c r="B29" t="str">
        <v>36994-SENDRA-FIGUERAS, SCP-4,5,6-L:012-N:5-A:A14-POLLO AMARILLO HEMBRAS</v>
      </c>
      <c r="C29" t="str">
        <v>POLLO AMARILLO HEMBRAS</v>
      </c>
      <c r="D29" t="str">
        <v>3</v>
      </c>
      <c r="E29" t="str">
        <v>Broiler Amarillo</v>
      </c>
      <c r="F29" t="str">
        <v>60</v>
      </c>
      <c r="G29" t="str">
        <v>2025-08-12</v>
      </c>
      <c r="H29" t="str">
        <v>0</v>
      </c>
      <c r="I29" t="str">
        <v>Finalizado</v>
      </c>
      <c r="J29" t="str">
        <v>3.66225</v>
      </c>
      <c r="K29" t="str">
        <v>3.78271</v>
      </c>
      <c r="L29" t="str">
        <v>null</v>
      </c>
      <c r="M29" t="str">
        <v>null</v>
      </c>
      <c r="N29" t="str">
        <v>3.27500</v>
      </c>
      <c r="O29" t="str">
        <v>null</v>
      </c>
      <c r="P29" t="str">
        <v>15700.000</v>
      </c>
      <c r="Q29" t="str">
        <v>0.000</v>
      </c>
      <c r="R29" t="str">
        <v>-15441.000</v>
      </c>
      <c r="S29" t="str">
        <v>534.000</v>
      </c>
      <c r="T29" t="str">
        <v>534.000</v>
      </c>
      <c r="U29" t="str">
        <v>589.000</v>
      </c>
      <c r="V29" t="str">
        <v>2548.468</v>
      </c>
      <c r="W29" t="str">
        <v>0.01865222623345367028</v>
      </c>
      <c r="X29" t="str">
        <v>1.5417229280096794</v>
      </c>
      <c r="Y29" t="str">
        <v>1.5417229280096794</v>
      </c>
      <c r="Z29" t="str">
        <v>0.01865</v>
      </c>
      <c r="AA29" t="str">
        <v>1653.00000</v>
      </c>
      <c r="AB29" t="str">
        <v>36994-SENDRA-FIGUERAS, SCP-4,5,6</v>
      </c>
    </row>
    <row r="30" spans="1:28" x14ac:dyDescent="0.25">
      <c r="A30" t="str">
        <v>2025-10-11</v>
      </c>
      <c r="B30" t="str">
        <v>36026-TOMAS AURO SEBASTIAN-L:025-N:1-A:A15-POLLO AMARILLO MIXTO</v>
      </c>
      <c r="C30" t="str">
        <v>POLLO AMARILLO MIXTO</v>
      </c>
      <c r="D30" t="str">
        <v>3</v>
      </c>
      <c r="E30" t="str">
        <v>Broiler Amarillo</v>
      </c>
      <c r="F30" t="str">
        <v>54</v>
      </c>
      <c r="G30" t="str">
        <v>2025-08-18</v>
      </c>
      <c r="H30" t="str">
        <v>0</v>
      </c>
      <c r="I30" t="str">
        <v>Abierto</v>
      </c>
      <c r="J30" t="str">
        <v>3.65800</v>
      </c>
      <c r="K30" t="str">
        <v>3.73568</v>
      </c>
      <c r="L30" t="str">
        <v>null</v>
      </c>
      <c r="M30" t="str">
        <v>null</v>
      </c>
      <c r="N30" t="str">
        <v>3.29300</v>
      </c>
      <c r="O30" t="str">
        <v>null</v>
      </c>
      <c r="P30" t="str">
        <v>21960.000</v>
      </c>
      <c r="Q30" t="str">
        <v>1068.000</v>
      </c>
      <c r="R30" t="str">
        <v>-20671.000</v>
      </c>
      <c r="S30" t="str">
        <v>182.000</v>
      </c>
      <c r="T30" t="str">
        <v>182.000</v>
      </c>
      <c r="U30" t="str">
        <v>1068.000</v>
      </c>
      <c r="V30" t="str">
        <v>3906.744</v>
      </c>
      <c r="W30" t="str">
        <v>0.04847054552055913588</v>
      </c>
      <c r="X30" t="str">
        <v>3.0051876923076923</v>
      </c>
      <c r="Y30" t="str">
        <v>3.0051876923076923</v>
      </c>
      <c r="Z30" t="str">
        <v>0.04847</v>
      </c>
      <c r="AA30" t="str">
        <v>1300.00000</v>
      </c>
      <c r="AB30" t="str">
        <v>36026-TOMAS AURO SEBASTIAN</v>
      </c>
    </row>
    <row r="31" spans="1:28" x14ac:dyDescent="0.25">
      <c r="A31" t="str">
        <v>2025-10-11</v>
      </c>
      <c r="B31" t="str">
        <v>36047-XIFRE XIFRE JORDI-L:018-N:1-A:A13-POLLO AMARILLO MACHO</v>
      </c>
      <c r="C31" t="str">
        <v>POLLO AMARILLO MACHO</v>
      </c>
      <c r="D31" t="str">
        <v>3</v>
      </c>
      <c r="E31" t="str">
        <v>Broiler Amarillo</v>
      </c>
      <c r="F31" t="str">
        <v>52</v>
      </c>
      <c r="G31" t="str">
        <v>2025-08-20</v>
      </c>
      <c r="H31" t="str">
        <v>0</v>
      </c>
      <c r="I31" t="str">
        <v>Finalizado</v>
      </c>
      <c r="J31" t="str">
        <v>3.62000</v>
      </c>
      <c r="K31" t="str">
        <v>3.66014</v>
      </c>
      <c r="L31" t="str">
        <v>null</v>
      </c>
      <c r="M31" t="str">
        <v>null</v>
      </c>
      <c r="N31" t="str">
        <v>3.46100</v>
      </c>
      <c r="O31" t="str">
        <v>null</v>
      </c>
      <c r="P31" t="str">
        <v>12200.000</v>
      </c>
      <c r="Q31" t="str">
        <v>85.000</v>
      </c>
      <c r="R31" t="str">
        <v>-11657.000</v>
      </c>
      <c r="S31" t="str">
        <v>419.000</v>
      </c>
      <c r="T31" t="str">
        <v>419.000</v>
      </c>
      <c r="U31" t="str">
        <v>9.000</v>
      </c>
      <c r="V31" t="str">
        <v>57.432</v>
      </c>
      <c r="W31" t="str">
        <v>0.00037403374615576428</v>
      </c>
      <c r="X31" t="str">
        <v>0.04102285714285714286</v>
      </c>
      <c r="Y31" t="str">
        <v>0.04102285714285714286</v>
      </c>
      <c r="Z31" t="str">
        <v>0.00037</v>
      </c>
      <c r="AA31" t="str">
        <v>1400.00000</v>
      </c>
      <c r="AB31" t="str">
        <v>36047-XIFRE XIFRE JORDI</v>
      </c>
    </row>
    <row r="32" spans="1:28" x14ac:dyDescent="0.25">
      <c r="A32" t="str">
        <v>2025-10-11</v>
      </c>
      <c r="B32" t="str">
        <v>36993-SENDRA-FIGUERAS, SCP-1,2,3-L:012-N:3-A:A14-POLLO AMARILLO HEMBRAS</v>
      </c>
      <c r="C32" t="str">
        <v>POLLO AMARILLO HEMBRAS</v>
      </c>
      <c r="D32" t="str">
        <v>3</v>
      </c>
      <c r="E32" t="str">
        <v>Broiler Amarillo</v>
      </c>
      <c r="F32" t="str">
        <v>60</v>
      </c>
      <c r="G32" t="str">
        <v>2025-08-12</v>
      </c>
      <c r="H32" t="str">
        <v>0</v>
      </c>
      <c r="I32" t="str">
        <v>Pre-Finalizado</v>
      </c>
      <c r="J32" t="str">
        <v>3.59700</v>
      </c>
      <c r="K32" t="str">
        <v>3.74831</v>
      </c>
      <c r="L32" t="str">
        <v>null</v>
      </c>
      <c r="M32" t="str">
        <v>null</v>
      </c>
      <c r="N32" t="str">
        <v>3.27500</v>
      </c>
      <c r="O32" t="str">
        <v>null</v>
      </c>
      <c r="P32" t="str">
        <v>9500.000</v>
      </c>
      <c r="Q32" t="str">
        <v>1642.000</v>
      </c>
      <c r="R32" t="str">
        <v>-7473.000</v>
      </c>
      <c r="S32" t="str">
        <v>325.000</v>
      </c>
      <c r="T32" t="str">
        <v>325.000</v>
      </c>
      <c r="U32" t="str">
        <v>-3883.000</v>
      </c>
      <c r="V32" t="str">
        <v>-17155.463</v>
      </c>
      <c r="W32" t="str">
        <v>-0.20436842105263157895</v>
      </c>
      <c r="X32" t="str">
        <v>-17.2590171026156942</v>
      </c>
      <c r="Y32" t="str">
        <v>-17.2590171026156942</v>
      </c>
      <c r="Z32" t="str">
        <v>-0.20437</v>
      </c>
      <c r="AA32" t="str">
        <v>994.00000</v>
      </c>
      <c r="AB32" t="str">
        <v>36993-SENDRA-FIGUERAS, SCP-1,2,3</v>
      </c>
    </row>
    <row r="33" spans="1:28" x14ac:dyDescent="0.25">
      <c r="A33" t="str">
        <v>2025-10-11</v>
      </c>
      <c r="B33" t="str">
        <v>36870-GRANJA MONICA (Joan Sanz)-L:051-N:1-A:A14-POLLO AMARILLO HEMBRAS</v>
      </c>
      <c r="C33" t="str">
        <v>POLLO AMARILLO HEMBRAS</v>
      </c>
      <c r="D33" t="str">
        <v>3</v>
      </c>
      <c r="E33" t="str">
        <v>Broiler Amarillo</v>
      </c>
      <c r="F33" t="str">
        <v>58</v>
      </c>
      <c r="G33" t="str">
        <v>2025-08-14</v>
      </c>
      <c r="H33" t="str">
        <v>0</v>
      </c>
      <c r="I33" t="str">
        <v>Finalizado</v>
      </c>
      <c r="J33" t="str">
        <v>3.59222</v>
      </c>
      <c r="K33" t="str">
        <v>3.67958</v>
      </c>
      <c r="L33" t="str">
        <v>null</v>
      </c>
      <c r="M33" t="str">
        <v>null</v>
      </c>
      <c r="N33" t="str">
        <v>3.18300</v>
      </c>
      <c r="O33" t="str">
        <v>null</v>
      </c>
      <c r="P33" t="str">
        <v>14500.000</v>
      </c>
      <c r="Q33" t="str">
        <v>-2701.000</v>
      </c>
      <c r="R33" t="str">
        <v>-16697.000</v>
      </c>
      <c r="S33" t="str">
        <v>504.000</v>
      </c>
      <c r="T33" t="str">
        <v>504.000</v>
      </c>
      <c r="U33" t="str">
        <v>-2701.000</v>
      </c>
      <c r="V33" t="str">
        <v>-9702.586</v>
      </c>
      <c r="W33" t="str">
        <v>-0.09003333333333333333</v>
      </c>
      <c r="X33" t="str">
        <v>-6.3415594771241830</v>
      </c>
      <c r="Y33" t="str">
        <v>-6.3415594771241830</v>
      </c>
      <c r="Z33" t="str">
        <v>-0.09003</v>
      </c>
      <c r="AA33" t="str">
        <v>1530.00000</v>
      </c>
      <c r="AB33" t="str">
        <v>36870-GRANJA MONICA (Joan Sanz)</v>
      </c>
    </row>
    <row r="34" spans="1:28" x14ac:dyDescent="0.25">
      <c r="A34" t="str">
        <v>2025-10-11</v>
      </c>
      <c r="B34" t="str">
        <v>36994-SENDRA-FIGUERAS, SCP-4,5,6-L:012-N:4-A:A14-POLLO AMARILLO HEMBRAS</v>
      </c>
      <c r="C34" t="str">
        <v>POLLO AMARILLO HEMBRAS</v>
      </c>
      <c r="D34" t="str">
        <v>3</v>
      </c>
      <c r="E34" t="str">
        <v>Broiler Amarillo</v>
      </c>
      <c r="F34" t="str">
        <v>60</v>
      </c>
      <c r="G34" t="str">
        <v>2025-08-12</v>
      </c>
      <c r="H34" t="str">
        <v>0</v>
      </c>
      <c r="I34" t="str">
        <v>Finalizado</v>
      </c>
      <c r="J34" t="str">
        <v>3.55607</v>
      </c>
      <c r="K34" t="str">
        <v>3.70148</v>
      </c>
      <c r="L34" t="str">
        <v>null</v>
      </c>
      <c r="M34" t="str">
        <v>null</v>
      </c>
      <c r="N34" t="str">
        <v>3.27500</v>
      </c>
      <c r="O34" t="str">
        <v>null</v>
      </c>
      <c r="P34" t="str">
        <v>11400.000</v>
      </c>
      <c r="Q34" t="str">
        <v>0.000</v>
      </c>
      <c r="R34" t="str">
        <v>-11172.000</v>
      </c>
      <c r="S34" t="str">
        <v>400.000</v>
      </c>
      <c r="T34" t="str">
        <v>400.000</v>
      </c>
      <c r="U34" t="str">
        <v>4342.000</v>
      </c>
      <c r="V34" t="str">
        <v>18591.706</v>
      </c>
      <c r="W34" t="str">
        <v>0.19671982602392171076</v>
      </c>
      <c r="X34" t="str">
        <v>16.0967151515151515</v>
      </c>
      <c r="Y34" t="str">
        <v>16.0967151515151515</v>
      </c>
      <c r="Z34" t="str">
        <v>0.19672</v>
      </c>
      <c r="AA34" t="str">
        <v>1155.00000</v>
      </c>
      <c r="AB34" t="str">
        <v>36994-SENDRA-FIGUERAS, SCP-4,5,6</v>
      </c>
    </row>
    <row r="35" spans="1:28" x14ac:dyDescent="0.25">
      <c r="A35" t="str">
        <v>2025-10-11</v>
      </c>
      <c r="B35" t="str">
        <v>36046-(poble) AGROAVICOLA SANTIAGO SL-L:018-N:2-A:A13-POLLO AMARILLO MACHO</v>
      </c>
      <c r="C35" t="str">
        <v>POLLO AMARILLO MACHO</v>
      </c>
      <c r="D35" t="str">
        <v>3</v>
      </c>
      <c r="E35" t="str">
        <v>Broiler Amarillo</v>
      </c>
      <c r="F35" t="str">
        <v>50</v>
      </c>
      <c r="G35" t="str">
        <v>2025-08-22</v>
      </c>
      <c r="H35" t="str">
        <v>0</v>
      </c>
      <c r="I35" t="str">
        <v>Pre-Finalizado</v>
      </c>
      <c r="J35" t="str">
        <v>3.54500</v>
      </c>
      <c r="K35" t="str">
        <v>3.57451</v>
      </c>
      <c r="L35" t="str">
        <v>null</v>
      </c>
      <c r="M35" t="str">
        <v>null</v>
      </c>
      <c r="N35" t="str">
        <v>3.32300</v>
      </c>
      <c r="O35" t="str">
        <v>null</v>
      </c>
      <c r="P35" t="str">
        <v>8500.000</v>
      </c>
      <c r="Q35" t="str">
        <v>437.000</v>
      </c>
      <c r="R35" t="str">
        <v>-7685.000</v>
      </c>
      <c r="S35" t="str">
        <v>300.000</v>
      </c>
      <c r="T35" t="str">
        <v>300.000</v>
      </c>
      <c r="U35" t="str">
        <v>473.000</v>
      </c>
      <c r="V35" t="str">
        <v>1666.453</v>
      </c>
      <c r="W35" t="str">
        <v>0.02702857142857142857</v>
      </c>
      <c r="X35" t="str">
        <v>1.6935497967479675</v>
      </c>
      <c r="Y35" t="str">
        <v>1.6935497967479675</v>
      </c>
      <c r="Z35" t="str">
        <v>0.02703</v>
      </c>
      <c r="AA35" t="str">
        <v>984.00000</v>
      </c>
      <c r="AB35" t="str">
        <v>36046-(poble) AGROAVICOLA SANTIAGO SL</v>
      </c>
    </row>
    <row r="36" spans="1:28" x14ac:dyDescent="0.25">
      <c r="A36" t="str">
        <v>2025-10-11</v>
      </c>
      <c r="B36" t="str">
        <v>36057-CRAVICOL, SL-L:007-N:2-A:A14-POLLO AMARILLO HEMBRAS</v>
      </c>
      <c r="C36" t="str">
        <v>POLLO AMARILLO HEMBRAS</v>
      </c>
      <c r="D36" t="str">
        <v>3</v>
      </c>
      <c r="E36" t="str">
        <v>Broiler Amarillo</v>
      </c>
      <c r="F36" t="str">
        <v>47</v>
      </c>
      <c r="G36" t="str">
        <v>2025-08-25</v>
      </c>
      <c r="H36" t="str">
        <v>0</v>
      </c>
      <c r="I36" t="str">
        <v>Pre-Finalizado</v>
      </c>
      <c r="J36" t="str">
        <v>3.53733</v>
      </c>
      <c r="K36" t="str">
        <v>3.63708</v>
      </c>
      <c r="L36" t="str">
        <v>null</v>
      </c>
      <c r="M36" t="str">
        <v>null</v>
      </c>
      <c r="N36" t="str">
        <v>2.62300</v>
      </c>
      <c r="O36" t="str">
        <v>null</v>
      </c>
      <c r="P36" t="str">
        <v>10900.000</v>
      </c>
      <c r="Q36" t="str">
        <v>328.000</v>
      </c>
      <c r="R36" t="str">
        <v>-10484.000</v>
      </c>
      <c r="S36" t="str">
        <v>34.000</v>
      </c>
      <c r="T36" t="str">
        <v>34.000</v>
      </c>
      <c r="U36" t="str">
        <v>532.000</v>
      </c>
      <c r="V36" t="str">
        <v>1913.008</v>
      </c>
      <c r="W36" t="str">
        <v>0.02320104666375926734</v>
      </c>
      <c r="X36" t="str">
        <v>1.5015761381475667</v>
      </c>
      <c r="Y36" t="str">
        <v>1.5015761381475667</v>
      </c>
      <c r="Z36" t="str">
        <v>0.02320</v>
      </c>
      <c r="AA36" t="str">
        <v>1274.00000</v>
      </c>
      <c r="AB36" t="str">
        <v>36057-CRAVICOL, SL</v>
      </c>
    </row>
    <row r="37" spans="1:28" x14ac:dyDescent="0.25">
      <c r="A37" t="str">
        <v>2025-10-11</v>
      </c>
      <c r="B37" t="str">
        <v>36047-XIFRE XIFRE JORDI-L:018-N:2-A:A14-POLLO AMARILLO HEMBRAS</v>
      </c>
      <c r="C37" t="str">
        <v>POLLO AMARILLO HEMBRAS</v>
      </c>
      <c r="D37" t="str">
        <v>3</v>
      </c>
      <c r="E37" t="str">
        <v>Broiler Amarillo</v>
      </c>
      <c r="F37" t="str">
        <v>52</v>
      </c>
      <c r="G37" t="str">
        <v>2025-08-20</v>
      </c>
      <c r="H37" t="str">
        <v>0</v>
      </c>
      <c r="I37" t="str">
        <v>Finalizado</v>
      </c>
      <c r="J37" t="str">
        <v>3.52000</v>
      </c>
      <c r="K37" t="str">
        <v>3.60239</v>
      </c>
      <c r="L37" t="str">
        <v>null</v>
      </c>
      <c r="M37" t="str">
        <v>null</v>
      </c>
      <c r="N37" t="str">
        <v>2.90300</v>
      </c>
      <c r="O37" t="str">
        <v>null</v>
      </c>
      <c r="P37" t="str">
        <v>15600.000</v>
      </c>
      <c r="Q37" t="str">
        <v>-272.000</v>
      </c>
      <c r="R37" t="str">
        <v>-15338.000</v>
      </c>
      <c r="S37" t="str">
        <v>534.000</v>
      </c>
      <c r="T37" t="str">
        <v>534.000</v>
      </c>
      <c r="U37" t="str">
        <v>249.000</v>
      </c>
      <c r="V37" t="str">
        <v>780.095</v>
      </c>
      <c r="W37" t="str">
        <v>0.00804835477406425755</v>
      </c>
      <c r="X37" t="str">
        <v>0.43338611111111111111</v>
      </c>
      <c r="Y37" t="str">
        <v>0.43338611111111111111</v>
      </c>
      <c r="Z37" t="str">
        <v>0.00805</v>
      </c>
      <c r="AA37" t="str">
        <v>1800.00000</v>
      </c>
      <c r="AB37" t="str">
        <v>36047-XIFRE XIFRE JORDI</v>
      </c>
    </row>
    <row r="38" spans="1:28" x14ac:dyDescent="0.25">
      <c r="A38" t="str">
        <v>2025-10-11</v>
      </c>
      <c r="B38" t="str">
        <v>36057-CRAVICOL, SL-L:007-N:1-A:A13-POLLO AMARILLO MACHO</v>
      </c>
      <c r="C38" t="str">
        <v>POLLO AMARILLO MACHO</v>
      </c>
      <c r="D38" t="str">
        <v>3</v>
      </c>
      <c r="E38" t="str">
        <v>Broiler Amarillo</v>
      </c>
      <c r="F38" t="str">
        <v>47</v>
      </c>
      <c r="G38" t="str">
        <v>2025-08-25</v>
      </c>
      <c r="H38" t="str">
        <v>0</v>
      </c>
      <c r="I38" t="str">
        <v>Pre-Finalizado</v>
      </c>
      <c r="J38" t="str">
        <v>3.50815</v>
      </c>
      <c r="K38" t="str">
        <v>3.54383</v>
      </c>
      <c r="L38" t="str">
        <v>null</v>
      </c>
      <c r="M38" t="str">
        <v>null</v>
      </c>
      <c r="N38" t="str">
        <v>3.09500</v>
      </c>
      <c r="O38" t="str">
        <v>null</v>
      </c>
      <c r="P38" t="str">
        <v>12600.000</v>
      </c>
      <c r="Q38" t="str">
        <v>827.000</v>
      </c>
      <c r="R38" t="str">
        <v>-11455.000</v>
      </c>
      <c r="S38" t="str">
        <v>315.000</v>
      </c>
      <c r="T38" t="str">
        <v>315.000</v>
      </c>
      <c r="U38" t="str">
        <v>989.000</v>
      </c>
      <c r="V38" t="str">
        <v>3424.098</v>
      </c>
      <c r="W38" t="str">
        <v>0.03498408206579412805</v>
      </c>
      <c r="X38" t="str">
        <v>2.2133794440853264</v>
      </c>
      <c r="Y38" t="str">
        <v>2.2133794440853264</v>
      </c>
      <c r="Z38" t="str">
        <v>0.03498</v>
      </c>
      <c r="AA38" t="str">
        <v>1547.00000</v>
      </c>
      <c r="AB38" t="str">
        <v>36057-CRAVICOL, SL</v>
      </c>
    </row>
    <row r="39" spans="1:28" x14ac:dyDescent="0.25">
      <c r="A39" t="str">
        <v>2025-10-11</v>
      </c>
      <c r="B39" t="str">
        <v>36233-EXPLOTAC RAMADERES CURIA SCP-L:139-N:3-A:A13-POLLO AMARILLO MACHO</v>
      </c>
      <c r="C39" t="str">
        <v>POLLO AMARILLO MACHO</v>
      </c>
      <c r="D39" t="str">
        <v>3</v>
      </c>
      <c r="E39" t="str">
        <v>Broiler Amarillo</v>
      </c>
      <c r="F39" t="str">
        <v>44</v>
      </c>
      <c r="G39" t="str">
        <v>2025-08-28</v>
      </c>
      <c r="H39" t="str">
        <v>0</v>
      </c>
      <c r="I39" t="str">
        <v>Abierto</v>
      </c>
      <c r="J39" t="str">
        <v>3.49800</v>
      </c>
      <c r="K39" t="str">
        <v>3.49800</v>
      </c>
      <c r="L39" t="str">
        <v>null</v>
      </c>
      <c r="M39" t="str">
        <v>3.49800</v>
      </c>
      <c r="N39" t="str">
        <v>2.84900</v>
      </c>
      <c r="O39" t="str">
        <v>null</v>
      </c>
      <c r="P39" t="str">
        <v>9500.000</v>
      </c>
      <c r="Q39" t="str">
        <v>2853.000</v>
      </c>
      <c r="R39" t="str">
        <v>-6282.000</v>
      </c>
      <c r="S39" t="str">
        <v>325.000</v>
      </c>
      <c r="T39" t="str">
        <v>325.000</v>
      </c>
      <c r="U39" t="str">
        <v>2728.000</v>
      </c>
      <c r="V39" t="str">
        <v>9566.705</v>
      </c>
      <c r="W39" t="str">
        <v>0.16209150326797385621</v>
      </c>
      <c r="X39" t="str">
        <v>8.6576515837104072</v>
      </c>
      <c r="Y39" t="str">
        <v>8.6576515837104072</v>
      </c>
      <c r="Z39" t="str">
        <v>0.16209</v>
      </c>
      <c r="AA39" t="str">
        <v>1105.00000</v>
      </c>
      <c r="AB39" t="str">
        <v>36233-EXPLOTAC RAMADERES CURIA SCP</v>
      </c>
    </row>
    <row r="40" spans="1:28" x14ac:dyDescent="0.25">
      <c r="A40" t="str">
        <v>2025-10-11</v>
      </c>
      <c r="B40" t="str">
        <v>36057-CRAVICOL, SL-L:007-N:3-A:A14-POLLO AMARILLO HEMBRAS</v>
      </c>
      <c r="C40" t="str">
        <v>POLLO AMARILLO HEMBRAS</v>
      </c>
      <c r="D40" t="str">
        <v>3</v>
      </c>
      <c r="E40" t="str">
        <v>Broiler Amarillo</v>
      </c>
      <c r="F40" t="str">
        <v>47</v>
      </c>
      <c r="G40" t="str">
        <v>2025-08-25</v>
      </c>
      <c r="H40" t="str">
        <v>0</v>
      </c>
      <c r="I40" t="str">
        <v>Pre-Finalizado</v>
      </c>
      <c r="J40" t="str">
        <v>3.48571</v>
      </c>
      <c r="K40" t="str">
        <v>3.60816</v>
      </c>
      <c r="L40" t="str">
        <v>null</v>
      </c>
      <c r="M40" t="str">
        <v>null</v>
      </c>
      <c r="N40" t="str">
        <v>2.62300</v>
      </c>
      <c r="O40" t="str">
        <v>null</v>
      </c>
      <c r="P40" t="str">
        <v>13100.000</v>
      </c>
      <c r="Q40" t="str">
        <v>148.000</v>
      </c>
      <c r="R40" t="str">
        <v>-12450.000</v>
      </c>
      <c r="S40" t="str">
        <v>469.000</v>
      </c>
      <c r="T40" t="str">
        <v>469.000</v>
      </c>
      <c r="U40" t="str">
        <v>981.000</v>
      </c>
      <c r="V40" t="str">
        <v>3573.820</v>
      </c>
      <c r="W40" t="str">
        <v>0.03406250000000000000</v>
      </c>
      <c r="X40" t="str">
        <v>2.2336375000000000</v>
      </c>
      <c r="Y40" t="str">
        <v>2.2336375000000000</v>
      </c>
      <c r="Z40" t="str">
        <v>0.03406</v>
      </c>
      <c r="AA40" t="str">
        <v>1600.00000</v>
      </c>
      <c r="AB40" t="str">
        <v>36057-CRAVICOL, SL</v>
      </c>
    </row>
    <row r="41" spans="1:28" x14ac:dyDescent="0.25">
      <c r="A41" t="str">
        <v>2025-10-11</v>
      </c>
      <c r="B41" t="str">
        <v>36005-SANGRA RICART JORDI-L:032-N:1-A:A14-POLLO AMARILLO HEMBRAS</v>
      </c>
      <c r="C41" t="str">
        <v>POLLO AMARILLO HEMBRAS</v>
      </c>
      <c r="D41" t="str">
        <v>3</v>
      </c>
      <c r="E41" t="str">
        <v>Broiler Amarillo</v>
      </c>
      <c r="F41" t="str">
        <v>58</v>
      </c>
      <c r="G41" t="str">
        <v>2025-08-14</v>
      </c>
      <c r="H41" t="str">
        <v>0</v>
      </c>
      <c r="I41" t="str">
        <v>Pre-Finalizado</v>
      </c>
      <c r="J41" t="str">
        <v>3.41933</v>
      </c>
      <c r="K41" t="str">
        <v>3.48414</v>
      </c>
      <c r="L41" t="str">
        <v>null</v>
      </c>
      <c r="M41" t="str">
        <v>null</v>
      </c>
      <c r="N41" t="str">
        <v>3.18300</v>
      </c>
      <c r="O41" t="str">
        <v>null</v>
      </c>
      <c r="P41" t="str">
        <v>12500.000</v>
      </c>
      <c r="Q41" t="str">
        <v>424.000</v>
      </c>
      <c r="R41" t="str">
        <v>-11569.000</v>
      </c>
      <c r="S41" t="str">
        <v>431.000</v>
      </c>
      <c r="T41" t="str">
        <v>431.000</v>
      </c>
      <c r="U41" t="str">
        <v>-378.000</v>
      </c>
      <c r="V41" t="str">
        <v>-1704.085</v>
      </c>
      <c r="W41" t="str">
        <v>-0.01512000000000000000</v>
      </c>
      <c r="X41" t="str">
        <v>-1.1752310344827586</v>
      </c>
      <c r="Y41" t="str">
        <v>-1.1752310344827586</v>
      </c>
      <c r="Z41" t="str">
        <v>-0.01512</v>
      </c>
      <c r="AA41" t="str">
        <v>1450.00000</v>
      </c>
      <c r="AB41" t="str">
        <v>36005-SANGRA RICART JORDI</v>
      </c>
    </row>
    <row r="42" spans="1:28" x14ac:dyDescent="0.25">
      <c r="A42" t="str">
        <v>2025-10-11</v>
      </c>
      <c r="B42" t="str">
        <v>36642-GRANJA LA SAIRA (Vallpons 2011 SL)-L:131-N:1-A:A13-POLLO AMARILLO MACHO</v>
      </c>
      <c r="C42" t="str">
        <v>POLLO AMARILLO MACHO</v>
      </c>
      <c r="D42" t="str">
        <v>3</v>
      </c>
      <c r="E42" t="str">
        <v>Broiler Amarillo</v>
      </c>
      <c r="F42" t="str">
        <v>47</v>
      </c>
      <c r="G42" t="str">
        <v>2025-08-25</v>
      </c>
      <c r="H42" t="str">
        <v>0</v>
      </c>
      <c r="I42" t="str">
        <v>Pre-Finalizado</v>
      </c>
      <c r="J42" t="str">
        <v>3.40771</v>
      </c>
      <c r="K42" t="str">
        <v>3.45669</v>
      </c>
      <c r="L42" t="str">
        <v>null</v>
      </c>
      <c r="M42" t="str">
        <v>null</v>
      </c>
      <c r="N42" t="str">
        <v>3.09500</v>
      </c>
      <c r="O42" t="str">
        <v>null</v>
      </c>
      <c r="P42" t="str">
        <v>13600.000</v>
      </c>
      <c r="Q42" t="str">
        <v>865.000</v>
      </c>
      <c r="R42" t="str">
        <v>-12359.000</v>
      </c>
      <c r="S42" t="str">
        <v>266.000</v>
      </c>
      <c r="T42" t="str">
        <v>266.000</v>
      </c>
      <c r="U42" t="str">
        <v>884.000</v>
      </c>
      <c r="V42" t="str">
        <v>3009.191</v>
      </c>
      <c r="W42" t="str">
        <v>0.02946666666666666667</v>
      </c>
      <c r="X42" t="str">
        <v>2.0061273333333333</v>
      </c>
      <c r="Y42" t="str">
        <v>2.0061273333333333</v>
      </c>
      <c r="Z42" t="str">
        <v>0.02947</v>
      </c>
      <c r="AA42" t="str">
        <v>1500.00000</v>
      </c>
      <c r="AB42" t="str">
        <v>36642-GRANJA LA SAIRA (Vallpons 2011 SL)</v>
      </c>
    </row>
    <row r="43" spans="1:28" x14ac:dyDescent="0.25">
      <c r="A43" t="str">
        <v>2025-10-11</v>
      </c>
      <c r="B43" t="str">
        <v>36021-IGNACIO ABAD MELE E HIJOS SCP-1-L:028-N:2-A:A14-POLLO AMARILLO HEMBRAS</v>
      </c>
      <c r="C43" t="str">
        <v>POLLO AMARILLO HEMBRAS</v>
      </c>
      <c r="D43" t="str">
        <v>3</v>
      </c>
      <c r="E43" t="str">
        <v>Broiler Amarillo</v>
      </c>
      <c r="F43" t="str">
        <v>53</v>
      </c>
      <c r="G43" t="str">
        <v>2025-08-19</v>
      </c>
      <c r="H43" t="str">
        <v>0</v>
      </c>
      <c r="I43" t="str">
        <v>Pre-Finalizado</v>
      </c>
      <c r="J43" t="str">
        <v>3.40500</v>
      </c>
      <c r="K43" t="str">
        <v>3.50186</v>
      </c>
      <c r="L43" t="str">
        <v>null</v>
      </c>
      <c r="M43" t="str">
        <v>null</v>
      </c>
      <c r="N43" t="str">
        <v>2.95300</v>
      </c>
      <c r="O43" t="str">
        <v>null</v>
      </c>
      <c r="P43" t="str">
        <v>7500.000</v>
      </c>
      <c r="Q43" t="str">
        <v>55.000</v>
      </c>
      <c r="R43" t="str">
        <v>-7096.000</v>
      </c>
      <c r="S43" t="str">
        <v>274.000</v>
      </c>
      <c r="T43" t="str">
        <v>274.000</v>
      </c>
      <c r="U43" t="str">
        <v>-840.000</v>
      </c>
      <c r="V43" t="str">
        <v>-3126.910</v>
      </c>
      <c r="W43" t="str">
        <v>-0.05846732094382960952</v>
      </c>
      <c r="X43" t="str">
        <v>-3.9481186868686869</v>
      </c>
      <c r="Y43" t="str">
        <v>-3.9481186868686869</v>
      </c>
      <c r="Z43" t="str">
        <v>-0.05847</v>
      </c>
      <c r="AA43" t="str">
        <v>792.00000</v>
      </c>
      <c r="AB43" t="str">
        <v>36021-IGNACIO ABAD MELE E HIJOS SCP-1</v>
      </c>
    </row>
    <row r="44" spans="1:28" x14ac:dyDescent="0.25">
      <c r="A44" t="str">
        <v>2025-10-11</v>
      </c>
      <c r="B44" t="str">
        <v>36005-SANGRA RICART JORDI-L:032-N:2-A:A14-POLLO AMARILLO HEMBRAS</v>
      </c>
      <c r="C44" t="str">
        <v>POLLO AMARILLO HEMBRAS</v>
      </c>
      <c r="D44" t="str">
        <v>3</v>
      </c>
      <c r="E44" t="str">
        <v>Broiler Amarillo</v>
      </c>
      <c r="F44" t="str">
        <v>58</v>
      </c>
      <c r="G44" t="str">
        <v>2025-08-14</v>
      </c>
      <c r="H44" t="str">
        <v>0</v>
      </c>
      <c r="I44" t="str">
        <v>Pre-Finalizado</v>
      </c>
      <c r="J44" t="str">
        <v>3.40468</v>
      </c>
      <c r="K44" t="str">
        <v>3.45855</v>
      </c>
      <c r="L44" t="str">
        <v>null</v>
      </c>
      <c r="M44" t="str">
        <v>null</v>
      </c>
      <c r="N44" t="str">
        <v>3.18300</v>
      </c>
      <c r="O44" t="str">
        <v>null</v>
      </c>
      <c r="P44" t="str">
        <v>13000.000</v>
      </c>
      <c r="Q44" t="str">
        <v>-111.000</v>
      </c>
      <c r="R44" t="str">
        <v>-12645.000</v>
      </c>
      <c r="S44" t="str">
        <v>466.000</v>
      </c>
      <c r="T44" t="str">
        <v>466.000</v>
      </c>
      <c r="U44" t="str">
        <v>-745.000</v>
      </c>
      <c r="V44" t="str">
        <v>-2897.949</v>
      </c>
      <c r="W44" t="str">
        <v>-0.02980000000000000000</v>
      </c>
      <c r="X44" t="str">
        <v>-1.9985855172413793</v>
      </c>
      <c r="Y44" t="str">
        <v>-1.9985855172413793</v>
      </c>
      <c r="Z44" t="str">
        <v>-0.02980</v>
      </c>
      <c r="AA44" t="str">
        <v>1450.00000</v>
      </c>
      <c r="AB44" t="str">
        <v>36005-SANGRA RICART JORDI</v>
      </c>
    </row>
    <row r="45" spans="1:28" x14ac:dyDescent="0.25">
      <c r="A45" t="str">
        <v>2025-10-11</v>
      </c>
      <c r="B45" t="str">
        <v>36882-PONS TORRADES, JOSEP MA -villar--L:062-N:2-A:A15-POLLO AMARILLO MIXTO</v>
      </c>
      <c r="C45" t="str">
        <v>POLLO AMARILLO MIXTO</v>
      </c>
      <c r="D45" t="str">
        <v>3</v>
      </c>
      <c r="E45" t="str">
        <v>Broiler Amarillo</v>
      </c>
      <c r="F45" t="str">
        <v>45</v>
      </c>
      <c r="G45" t="str">
        <v>2025-08-27</v>
      </c>
      <c r="H45" t="str">
        <v>0</v>
      </c>
      <c r="I45" t="str">
        <v>Pre-Finalizado</v>
      </c>
      <c r="J45" t="str">
        <v>3.40253</v>
      </c>
      <c r="K45" t="str">
        <v>3.49017</v>
      </c>
      <c r="L45" t="str">
        <v>null</v>
      </c>
      <c r="M45" t="str">
        <v>null</v>
      </c>
      <c r="N45" t="str">
        <v>2.71500</v>
      </c>
      <c r="O45" t="str">
        <v>null</v>
      </c>
      <c r="P45" t="str">
        <v>24000.000</v>
      </c>
      <c r="Q45" t="str">
        <v>-516.000</v>
      </c>
      <c r="R45" t="str">
        <v>-23685.000</v>
      </c>
      <c r="S45" t="str">
        <v>831.000</v>
      </c>
      <c r="T45" t="str">
        <v>831.000</v>
      </c>
      <c r="U45" t="str">
        <v>-516.000</v>
      </c>
      <c r="V45" t="str">
        <v>-1755.705</v>
      </c>
      <c r="W45" t="str">
        <v>-0.02243478260869565217</v>
      </c>
      <c r="X45" t="str">
        <v>-1.1400681818181818</v>
      </c>
      <c r="Y45" t="str">
        <v>-1.1400681818181818</v>
      </c>
      <c r="Z45" t="str">
        <v>-0.02243</v>
      </c>
      <c r="AA45" t="str">
        <v>1540.00000</v>
      </c>
      <c r="AB45" t="str">
        <v>36882-PONS TORRADES, JOSEP MA -villar-</v>
      </c>
    </row>
    <row r="46" spans="1:28" x14ac:dyDescent="0.25">
      <c r="A46" t="str">
        <v>2025-10-11</v>
      </c>
      <c r="B46" t="str">
        <v>36046-(poble) AGROAVICOLA SANTIAGO SL-L:018-N:1-A:A13-POLLO AMARILLO MACHO</v>
      </c>
      <c r="C46" t="str">
        <v>POLLO AMARILLO MACHO</v>
      </c>
      <c r="D46" t="str">
        <v>3</v>
      </c>
      <c r="E46" t="str">
        <v>Broiler Amarillo</v>
      </c>
      <c r="F46" t="str">
        <v>50</v>
      </c>
      <c r="G46" t="str">
        <v>2025-08-22</v>
      </c>
      <c r="H46" t="str">
        <v>0</v>
      </c>
      <c r="I46" t="str">
        <v>Pre-Finalizado</v>
      </c>
      <c r="J46" t="str">
        <v>3.39500</v>
      </c>
      <c r="K46" t="str">
        <v>3.40455</v>
      </c>
      <c r="L46" t="str">
        <v>null</v>
      </c>
      <c r="M46" t="str">
        <v>null</v>
      </c>
      <c r="N46" t="str">
        <v>3.32300</v>
      </c>
      <c r="O46" t="str">
        <v>null</v>
      </c>
      <c r="P46" t="str">
        <v>8500.000</v>
      </c>
      <c r="Q46" t="str">
        <v>58.000</v>
      </c>
      <c r="R46" t="str">
        <v>-8064.000</v>
      </c>
      <c r="S46" t="str">
        <v>300.000</v>
      </c>
      <c r="T46" t="str">
        <v>300.000</v>
      </c>
      <c r="U46" t="str">
        <v>-43.000</v>
      </c>
      <c r="V46" t="str">
        <v>-104.373</v>
      </c>
      <c r="W46" t="str">
        <v>-0.00245714285714285714</v>
      </c>
      <c r="X46" t="str">
        <v>-0.10607012195121951220</v>
      </c>
      <c r="Y46" t="str">
        <v>-0.10607012195121951220</v>
      </c>
      <c r="Z46" t="str">
        <v>-0.00246</v>
      </c>
      <c r="AA46" t="str">
        <v>984.00000</v>
      </c>
      <c r="AB46" t="str">
        <v>36046-(poble) AGROAVICOLA SANTIAGO SL</v>
      </c>
    </row>
    <row r="47" spans="1:28" x14ac:dyDescent="0.25">
      <c r="A47" t="str">
        <v>2025-10-11</v>
      </c>
      <c r="B47" t="str">
        <v>36022-IGNACI ABAD MELE E HIJOS SCP-2-L:028-N:1-A:A14-POLLO AMARILLO HEMBRAS</v>
      </c>
      <c r="C47" t="str">
        <v>POLLO AMARILLO HEMBRAS</v>
      </c>
      <c r="D47" t="str">
        <v>3</v>
      </c>
      <c r="E47" t="str">
        <v>Broiler Amarillo</v>
      </c>
      <c r="F47" t="str">
        <v>53</v>
      </c>
      <c r="G47" t="str">
        <v>2025-08-19</v>
      </c>
      <c r="H47" t="str">
        <v>0</v>
      </c>
      <c r="I47" t="str">
        <v>Finalizado</v>
      </c>
      <c r="J47" t="str">
        <v>3.36100</v>
      </c>
      <c r="K47" t="str">
        <v>3.43531</v>
      </c>
      <c r="L47" t="str">
        <v>null</v>
      </c>
      <c r="M47" t="str">
        <v>null</v>
      </c>
      <c r="N47" t="str">
        <v>2.95300</v>
      </c>
      <c r="O47" t="str">
        <v>null</v>
      </c>
      <c r="P47" t="str">
        <v>11000.000</v>
      </c>
      <c r="Q47" t="str">
        <v>0.000</v>
      </c>
      <c r="R47" t="str">
        <v>-10494.000</v>
      </c>
      <c r="S47" t="str">
        <v>388.000</v>
      </c>
      <c r="T47" t="str">
        <v>388.000</v>
      </c>
      <c r="U47" t="str">
        <v>0.000</v>
      </c>
      <c r="V47" t="str">
        <v>0.000</v>
      </c>
      <c r="W47" t="str">
        <v>0.000000000000000000000000</v>
      </c>
      <c r="X47" t="str">
        <v>0.00000000000000000000</v>
      </c>
      <c r="Y47" t="str">
        <v>0.00000000000000000000</v>
      </c>
      <c r="Z47" t="str">
        <v>0.00000</v>
      </c>
      <c r="AA47" t="str">
        <v>1190.00000</v>
      </c>
      <c r="AB47" t="str">
        <v>36022-IGNACI ABAD MELE E HIJOS SCP-2</v>
      </c>
    </row>
    <row r="48" spans="1:28" x14ac:dyDescent="0.25">
      <c r="A48" t="str">
        <v>2025-10-11</v>
      </c>
      <c r="B48" t="str">
        <v>36047-XIFRE XIFRE JORDI-L:018-N:2-A:A13-POLLO AMARILLO MACHO</v>
      </c>
      <c r="C48" t="str">
        <v>POLLO AMARILLO MACHO</v>
      </c>
      <c r="D48" t="str">
        <v>3</v>
      </c>
      <c r="E48" t="str">
        <v>Broiler Amarillo</v>
      </c>
      <c r="F48" t="str">
        <v>52</v>
      </c>
      <c r="G48" t="str">
        <v>2025-08-20</v>
      </c>
      <c r="H48" t="str">
        <v>0</v>
      </c>
      <c r="I48" t="str">
        <v>Finalizado</v>
      </c>
      <c r="J48" t="str">
        <v>3.33500</v>
      </c>
      <c r="K48" t="str">
        <v>3.31640</v>
      </c>
      <c r="L48" t="str">
        <v>null</v>
      </c>
      <c r="M48" t="str">
        <v>null</v>
      </c>
      <c r="N48" t="str">
        <v>3.46100</v>
      </c>
      <c r="O48" t="str">
        <v>null</v>
      </c>
      <c r="P48" t="str">
        <v>15500.000</v>
      </c>
      <c r="Q48" t="str">
        <v>521.000</v>
      </c>
      <c r="R48" t="str">
        <v>-14409.000</v>
      </c>
      <c r="S48" t="str">
        <v>531.000</v>
      </c>
      <c r="T48" t="str">
        <v>531.000</v>
      </c>
      <c r="U48" t="str">
        <v>249.000</v>
      </c>
      <c r="V48" t="str">
        <v>780.095</v>
      </c>
      <c r="W48" t="str">
        <v>0.00804835477406425755</v>
      </c>
      <c r="X48" t="str">
        <v>0.43338611111111111111</v>
      </c>
      <c r="Y48" t="str">
        <v>0.43338611111111111111</v>
      </c>
      <c r="Z48" t="str">
        <v>0.00805</v>
      </c>
      <c r="AA48" t="str">
        <v>1800.00000</v>
      </c>
      <c r="AB48" t="str">
        <v>36047-XIFRE XIFRE JORDI</v>
      </c>
    </row>
    <row r="49" spans="1:28" x14ac:dyDescent="0.25">
      <c r="A49" t="str">
        <v>2025-10-11</v>
      </c>
      <c r="B49" t="str">
        <v>36233-EXPLOTAC RAMADERES CURIA SCP-L:139-N:3-A:A14-POLLO AMARILLO HEMBRAS</v>
      </c>
      <c r="C49" t="str">
        <v>POLLO AMARILLO HEMBRAS</v>
      </c>
      <c r="D49" t="str">
        <v>3</v>
      </c>
      <c r="E49" t="str">
        <v>Broiler Amarillo</v>
      </c>
      <c r="F49" t="str">
        <v>44</v>
      </c>
      <c r="G49" t="str">
        <v>2025-08-28</v>
      </c>
      <c r="H49" t="str">
        <v>0</v>
      </c>
      <c r="I49" t="str">
        <v>Abierto</v>
      </c>
      <c r="J49" t="str">
        <v>3.30471</v>
      </c>
      <c r="K49" t="str">
        <v>3.32943</v>
      </c>
      <c r="L49" t="str">
        <v>null</v>
      </c>
      <c r="M49" t="str">
        <v>null</v>
      </c>
      <c r="N49" t="str">
        <v>2.43200</v>
      </c>
      <c r="O49" t="str">
        <v>null</v>
      </c>
      <c r="P49" t="str">
        <v>9500.000</v>
      </c>
      <c r="Q49" t="str">
        <v>-125.000</v>
      </c>
      <c r="R49" t="str">
        <v>-9300.000</v>
      </c>
      <c r="S49" t="str">
        <v>325.000</v>
      </c>
      <c r="T49" t="str">
        <v>325.000</v>
      </c>
      <c r="U49" t="str">
        <v>2728.000</v>
      </c>
      <c r="V49" t="str">
        <v>9566.705</v>
      </c>
      <c r="W49" t="str">
        <v>0.16209150326797385621</v>
      </c>
      <c r="X49" t="str">
        <v>8.6576515837104072</v>
      </c>
      <c r="Y49" t="str">
        <v>8.6576515837104072</v>
      </c>
      <c r="Z49" t="str">
        <v>0.16209</v>
      </c>
      <c r="AA49" t="str">
        <v>1105.00000</v>
      </c>
      <c r="AB49" t="str">
        <v>36233-EXPLOTAC RAMADERES CURIA SCP</v>
      </c>
    </row>
    <row r="50" spans="1:28" x14ac:dyDescent="0.25">
      <c r="A50" t="str">
        <v>2025-10-11</v>
      </c>
      <c r="B50" t="str">
        <v>36047-XIFRE XIFRE JORDI-L:018-N:1-A:A14-POLLO AMARILLO HEMBRAS</v>
      </c>
      <c r="C50" t="str">
        <v>POLLO AMARILLO HEMBRAS</v>
      </c>
      <c r="D50" t="str">
        <v>3</v>
      </c>
      <c r="E50" t="str">
        <v>Broiler Amarillo</v>
      </c>
      <c r="F50" t="str">
        <v>52</v>
      </c>
      <c r="G50" t="str">
        <v>2025-08-20</v>
      </c>
      <c r="H50" t="str">
        <v>0</v>
      </c>
      <c r="I50" t="str">
        <v>Finalizado</v>
      </c>
      <c r="J50" t="str">
        <v>3.29300</v>
      </c>
      <c r="K50" t="str">
        <v>3.38170</v>
      </c>
      <c r="L50" t="str">
        <v>null</v>
      </c>
      <c r="M50" t="str">
        <v>null</v>
      </c>
      <c r="N50" t="str">
        <v>2.90300</v>
      </c>
      <c r="O50" t="str">
        <v>null</v>
      </c>
      <c r="P50" t="str">
        <v>12300.000</v>
      </c>
      <c r="Q50" t="str">
        <v>-76.000</v>
      </c>
      <c r="R50" t="str">
        <v>-11954.000</v>
      </c>
      <c r="S50" t="str">
        <v>422.000</v>
      </c>
      <c r="T50" t="str">
        <v>422.000</v>
      </c>
      <c r="U50" t="str">
        <v>9.000</v>
      </c>
      <c r="V50" t="str">
        <v>57.432</v>
      </c>
      <c r="W50" t="str">
        <v>0.00037403374615576428</v>
      </c>
      <c r="X50" t="str">
        <v>0.04102285714285714286</v>
      </c>
      <c r="Y50" t="str">
        <v>0.04102285714285714286</v>
      </c>
      <c r="Z50" t="str">
        <v>0.00037</v>
      </c>
      <c r="AA50" t="str">
        <v>1400.00000</v>
      </c>
      <c r="AB50" t="str">
        <v>36047-XIFRE XIFRE JORDI</v>
      </c>
    </row>
    <row r="51" spans="1:28" x14ac:dyDescent="0.25">
      <c r="A51" t="str">
        <v>2025-10-11</v>
      </c>
      <c r="B51" t="str">
        <v>36233-EXPLOTAC RAMADERES CURIA SCP-L:139-N:1-A:A13-POLLO AMARILLO MACHO</v>
      </c>
      <c r="C51" t="str">
        <v>POLLO AMARILLO MACHO</v>
      </c>
      <c r="D51" t="str">
        <v>3</v>
      </c>
      <c r="E51" t="str">
        <v>Broiler Amarillo</v>
      </c>
      <c r="F51" t="str">
        <v>44</v>
      </c>
      <c r="G51" t="str">
        <v>2025-08-28</v>
      </c>
      <c r="H51" t="str">
        <v>0</v>
      </c>
      <c r="I51" t="str">
        <v>Pre-Finalizado</v>
      </c>
      <c r="J51" t="str">
        <v>3.29156</v>
      </c>
      <c r="K51" t="str">
        <v>3.32017</v>
      </c>
      <c r="L51" t="str">
        <v>null</v>
      </c>
      <c r="M51" t="str">
        <v>null</v>
      </c>
      <c r="N51" t="str">
        <v>2.84900</v>
      </c>
      <c r="O51" t="str">
        <v>null</v>
      </c>
      <c r="P51" t="str">
        <v>10500.000</v>
      </c>
      <c r="Q51" t="str">
        <v>1008.000</v>
      </c>
      <c r="R51" t="str">
        <v>-9000.000</v>
      </c>
      <c r="S51" t="str">
        <v>375.000</v>
      </c>
      <c r="T51" t="str">
        <v>375.000</v>
      </c>
      <c r="U51" t="str">
        <v>-484.000</v>
      </c>
      <c r="V51" t="str">
        <v>-872.211</v>
      </c>
      <c r="W51" t="str">
        <v>-0.02520833333333333333</v>
      </c>
      <c r="X51" t="str">
        <v>-0.69223095238095238095</v>
      </c>
      <c r="Y51" t="str">
        <v>-0.69223095238095238095</v>
      </c>
      <c r="Z51" t="str">
        <v>-0.02521</v>
      </c>
      <c r="AA51" t="str">
        <v>1260.00000</v>
      </c>
      <c r="AB51" t="str">
        <v>36233-EXPLOTAC RAMADERES CURIA SCP</v>
      </c>
    </row>
    <row r="52" spans="1:28" x14ac:dyDescent="0.25">
      <c r="A52" t="str">
        <v>2025-10-11</v>
      </c>
      <c r="B52" t="str">
        <v>36233-EXPLOTAC RAMADERES CURIA SCP-L:139-N:2-A:A13-POLLO AMARILLO MACHO</v>
      </c>
      <c r="C52" t="str">
        <v>POLLO AMARILLO MACHO</v>
      </c>
      <c r="D52" t="str">
        <v>3</v>
      </c>
      <c r="E52" t="str">
        <v>Broiler Amarillo</v>
      </c>
      <c r="F52" t="str">
        <v>44</v>
      </c>
      <c r="G52" t="str">
        <v>2025-08-28</v>
      </c>
      <c r="H52" t="str">
        <v>0</v>
      </c>
      <c r="I52" t="str">
        <v>Pre-Finalizado</v>
      </c>
      <c r="J52" t="str">
        <v>3.27126</v>
      </c>
      <c r="K52" t="str">
        <v>3.28440</v>
      </c>
      <c r="L52" t="str">
        <v>null</v>
      </c>
      <c r="M52" t="str">
        <v>null</v>
      </c>
      <c r="N52" t="str">
        <v>2.84900</v>
      </c>
      <c r="O52" t="str">
        <v>null</v>
      </c>
      <c r="P52" t="str">
        <v>8000.000</v>
      </c>
      <c r="Q52" t="str">
        <v>-4178.000</v>
      </c>
      <c r="R52" t="str">
        <v>-11912.000</v>
      </c>
      <c r="S52" t="str">
        <v>266.000</v>
      </c>
      <c r="T52" t="str">
        <v>266.000</v>
      </c>
      <c r="U52" t="str">
        <v>-8547.000</v>
      </c>
      <c r="V52" t="str">
        <v>-27638.600</v>
      </c>
      <c r="W52" t="str">
        <v>-0.53418750000000000000</v>
      </c>
      <c r="X52" t="str">
        <v>-26.3224761904761905</v>
      </c>
      <c r="Y52" t="str">
        <v>-26.3224761904761905</v>
      </c>
      <c r="Z52" t="str">
        <v>-0.53419</v>
      </c>
      <c r="AA52" t="str">
        <v>1050.00000</v>
      </c>
      <c r="AB52" t="str">
        <v>36233-EXPLOTAC RAMADERES CURIA SCP</v>
      </c>
    </row>
    <row r="53" spans="1:28" x14ac:dyDescent="0.25">
      <c r="A53" t="str">
        <v>2025-10-11</v>
      </c>
      <c r="B53" t="str">
        <v>36882-PONS TORRADES, JOSEP MA -villar--L:062-N:1-A:A15-POLLO AMARILLO MIXTO</v>
      </c>
      <c r="C53" t="str">
        <v>POLLO AMARILLO MIXTO</v>
      </c>
      <c r="D53" t="str">
        <v>3</v>
      </c>
      <c r="E53" t="str">
        <v>Broiler Amarillo</v>
      </c>
      <c r="F53" t="str">
        <v>45</v>
      </c>
      <c r="G53" t="str">
        <v>2025-08-27</v>
      </c>
      <c r="H53" t="str">
        <v>0</v>
      </c>
      <c r="I53" t="str">
        <v>Pre-Finalizado</v>
      </c>
      <c r="J53" t="str">
        <v>3.25948</v>
      </c>
      <c r="K53" t="str">
        <v>3.32889</v>
      </c>
      <c r="L53" t="str">
        <v>null</v>
      </c>
      <c r="M53" t="str">
        <v>null</v>
      </c>
      <c r="N53" t="str">
        <v>2.71500</v>
      </c>
      <c r="O53" t="str">
        <v>null</v>
      </c>
      <c r="P53" t="str">
        <v>16000.000</v>
      </c>
      <c r="Q53" t="str">
        <v>-134.000</v>
      </c>
      <c r="R53" t="str">
        <v>-15565.000</v>
      </c>
      <c r="S53" t="str">
        <v>569.000</v>
      </c>
      <c r="T53" t="str">
        <v>569.000</v>
      </c>
      <c r="U53" t="str">
        <v>-134.000</v>
      </c>
      <c r="V53" t="str">
        <v>-436.770</v>
      </c>
      <c r="W53" t="str">
        <v>-0.00788235294117647059</v>
      </c>
      <c r="X53" t="str">
        <v>-0.41597142857142857143</v>
      </c>
      <c r="Y53" t="str">
        <v>-0.41597142857142857143</v>
      </c>
      <c r="Z53" t="str">
        <v>-0.00788</v>
      </c>
      <c r="AA53" t="str">
        <v>1050.00000</v>
      </c>
      <c r="AB53" t="str">
        <v>36882-PONS TORRADES, JOSEP MA -villar-</v>
      </c>
    </row>
    <row r="54" spans="1:28" x14ac:dyDescent="0.25">
      <c r="A54" t="str">
        <v>2025-10-11</v>
      </c>
      <c r="B54" t="str">
        <v>36046-(poble) AGROAVICOLA SANTIAGO SL-L:018-N:2-A:A14-POLLO AMARILLO HEMBRAS</v>
      </c>
      <c r="C54" t="str">
        <v>POLLO AMARILLO HEMBRAS</v>
      </c>
      <c r="D54" t="str">
        <v>3</v>
      </c>
      <c r="E54" t="str">
        <v>Broiler Amarillo</v>
      </c>
      <c r="F54" t="str">
        <v>50</v>
      </c>
      <c r="G54" t="str">
        <v>2025-08-22</v>
      </c>
      <c r="H54" t="str">
        <v>0</v>
      </c>
      <c r="I54" t="str">
        <v>Pre-Finalizado</v>
      </c>
      <c r="J54" t="str">
        <v>3.25800</v>
      </c>
      <c r="K54" t="str">
        <v>3.31323</v>
      </c>
      <c r="L54" t="str">
        <v>null</v>
      </c>
      <c r="M54" t="str">
        <v>null</v>
      </c>
      <c r="N54" t="str">
        <v>2.79800</v>
      </c>
      <c r="O54" t="str">
        <v>null</v>
      </c>
      <c r="P54" t="str">
        <v>8500.000</v>
      </c>
      <c r="Q54" t="str">
        <v>36.000</v>
      </c>
      <c r="R54" t="str">
        <v>-8112.000</v>
      </c>
      <c r="S54" t="str">
        <v>300.000</v>
      </c>
      <c r="T54" t="str">
        <v>300.000</v>
      </c>
      <c r="U54" t="str">
        <v>473.000</v>
      </c>
      <c r="V54" t="str">
        <v>1666.453</v>
      </c>
      <c r="W54" t="str">
        <v>0.02702857142857142857</v>
      </c>
      <c r="X54" t="str">
        <v>1.6935497967479675</v>
      </c>
      <c r="Y54" t="str">
        <v>1.6935497967479675</v>
      </c>
      <c r="Z54" t="str">
        <v>0.02703</v>
      </c>
      <c r="AA54" t="str">
        <v>984.00000</v>
      </c>
      <c r="AB54" t="str">
        <v>36046-(poble) AGROAVICOLA SANTIAGO SL</v>
      </c>
    </row>
    <row r="55" spans="1:28" x14ac:dyDescent="0.25">
      <c r="A55" t="str">
        <v>2025-10-11</v>
      </c>
      <c r="B55" t="str">
        <v>36021-IGNACIO ABAD MELE E HIJOS SCP-1-L:028-N:1-A:A14-POLLO AMARILLO HEMBRAS</v>
      </c>
      <c r="C55" t="str">
        <v>POLLO AMARILLO HEMBRAS</v>
      </c>
      <c r="D55" t="str">
        <v>3</v>
      </c>
      <c r="E55" t="str">
        <v>Broiler Amarillo</v>
      </c>
      <c r="F55" t="str">
        <v>53</v>
      </c>
      <c r="G55" t="str">
        <v>2025-08-19</v>
      </c>
      <c r="H55" t="str">
        <v>0</v>
      </c>
      <c r="I55" t="str">
        <v>Pre-Finalizado</v>
      </c>
      <c r="J55" t="str">
        <v>3.25800</v>
      </c>
      <c r="K55" t="str">
        <v>3.33385</v>
      </c>
      <c r="L55" t="str">
        <v>null</v>
      </c>
      <c r="M55" t="str">
        <v>null</v>
      </c>
      <c r="N55" t="str">
        <v>2.95300</v>
      </c>
      <c r="O55" t="str">
        <v>null</v>
      </c>
      <c r="P55" t="str">
        <v>7500.000</v>
      </c>
      <c r="Q55" t="str">
        <v>157.000</v>
      </c>
      <c r="R55" t="str">
        <v>-6994.000</v>
      </c>
      <c r="S55" t="str">
        <v>274.000</v>
      </c>
      <c r="T55" t="str">
        <v>274.000</v>
      </c>
      <c r="U55" t="str">
        <v>157.000</v>
      </c>
      <c r="V55" t="str">
        <v>511.506</v>
      </c>
      <c r="W55" t="str">
        <v>0.01060667477367923254</v>
      </c>
      <c r="X55" t="str">
        <v>0.62684558823529411765</v>
      </c>
      <c r="Y55" t="str">
        <v>0.62684558823529411765</v>
      </c>
      <c r="Z55" t="str">
        <v>0.01061</v>
      </c>
      <c r="AA55" t="str">
        <v>816.00000</v>
      </c>
      <c r="AB55" t="str">
        <v>36021-IGNACIO ABAD MELE E HIJOS SCP-1</v>
      </c>
    </row>
    <row r="56" spans="1:28" x14ac:dyDescent="0.25">
      <c r="A56" t="str">
        <v>2025-10-11</v>
      </c>
      <c r="B56" t="str">
        <v>36840-AVICOLA NICOLAS SL-L:071-N:1-A:A13-POLLO AMARILLO MACHO</v>
      </c>
      <c r="C56" t="str">
        <v>POLLO AMARILLO MACHO</v>
      </c>
      <c r="D56" t="str">
        <v>3</v>
      </c>
      <c r="E56" t="str">
        <v>Broiler Amarillo</v>
      </c>
      <c r="F56" t="str">
        <v>44</v>
      </c>
      <c r="G56" t="str">
        <v>2025-08-28</v>
      </c>
      <c r="H56" t="str">
        <v>0</v>
      </c>
      <c r="I56" t="str">
        <v>Pre-Finalizado</v>
      </c>
      <c r="J56" t="str">
        <v>3.24486</v>
      </c>
      <c r="K56" t="str">
        <v>3.28479</v>
      </c>
      <c r="L56" t="str">
        <v>null</v>
      </c>
      <c r="M56" t="str">
        <v>null</v>
      </c>
      <c r="N56" t="str">
        <v>2.84900</v>
      </c>
      <c r="O56" t="str">
        <v>null</v>
      </c>
      <c r="P56" t="str">
        <v>16300.000</v>
      </c>
      <c r="Q56" t="str">
        <v>0.000</v>
      </c>
      <c r="R56" t="str">
        <v>-15652.000</v>
      </c>
      <c r="S56" t="str">
        <v>581.000</v>
      </c>
      <c r="T56" t="str">
        <v>581.000</v>
      </c>
      <c r="U56" t="str">
        <v>-1513.000</v>
      </c>
      <c r="V56" t="str">
        <v>-4285.346</v>
      </c>
      <c r="W56" t="str">
        <v>-0.04202777777777777778</v>
      </c>
      <c r="X56" t="str">
        <v>-2.3807477777777778</v>
      </c>
      <c r="Y56" t="str">
        <v>-2.3807477777777778</v>
      </c>
      <c r="Z56" t="str">
        <v>-0.04203</v>
      </c>
      <c r="AA56" t="str">
        <v>1800.00000</v>
      </c>
      <c r="AB56" t="str">
        <v>36840-AVICOLA NICOLAS SL</v>
      </c>
    </row>
    <row r="57" spans="1:28" x14ac:dyDescent="0.25">
      <c r="A57" t="str">
        <v>2025-10-11</v>
      </c>
      <c r="B57" t="str">
        <v>36642-GRANJA LA SAIRA (Vallpons 2011 SL)-L:131-N:1-A:A14-POLLO AMARILLO HEMBRAS</v>
      </c>
      <c r="C57" t="str">
        <v>POLLO AMARILLO HEMBRAS</v>
      </c>
      <c r="D57" t="str">
        <v>3</v>
      </c>
      <c r="E57" t="str">
        <v>Broiler Amarillo</v>
      </c>
      <c r="F57" t="str">
        <v>47</v>
      </c>
      <c r="G57" t="str">
        <v>2025-08-25</v>
      </c>
      <c r="H57" t="str">
        <v>0</v>
      </c>
      <c r="I57" t="str">
        <v>Pre-Finalizado</v>
      </c>
      <c r="J57" t="str">
        <v>3.23800</v>
      </c>
      <c r="K57" t="str">
        <v>3.30508</v>
      </c>
      <c r="L57" t="str">
        <v>null</v>
      </c>
      <c r="M57" t="str">
        <v>null</v>
      </c>
      <c r="N57" t="str">
        <v>2.62300</v>
      </c>
      <c r="O57" t="str">
        <v>null</v>
      </c>
      <c r="P57" t="str">
        <v>13600.000</v>
      </c>
      <c r="Q57" t="str">
        <v>19.000</v>
      </c>
      <c r="R57" t="str">
        <v>-13292.000</v>
      </c>
      <c r="S57" t="str">
        <v>234.000</v>
      </c>
      <c r="T57" t="str">
        <v>234.000</v>
      </c>
      <c r="U57" t="str">
        <v>884.000</v>
      </c>
      <c r="V57" t="str">
        <v>3009.191</v>
      </c>
      <c r="W57" t="str">
        <v>0.02946666666666666667</v>
      </c>
      <c r="X57" t="str">
        <v>2.0061273333333333</v>
      </c>
      <c r="Y57" t="str">
        <v>2.0061273333333333</v>
      </c>
      <c r="Z57" t="str">
        <v>0.02947</v>
      </c>
      <c r="AA57" t="str">
        <v>1500.00000</v>
      </c>
      <c r="AB57" t="str">
        <v>36642-GRANJA LA SAIRA (Vallpons 2011 SL)</v>
      </c>
    </row>
    <row r="58" spans="1:28" x14ac:dyDescent="0.25">
      <c r="A58" t="str">
        <v>2025-10-11</v>
      </c>
      <c r="B58" t="str">
        <v>36057-CRAVICOL, SL-L:007-N:1-A:A14-POLLO AMARILLO HEMBRAS</v>
      </c>
      <c r="C58" t="str">
        <v>POLLO AMARILLO HEMBRAS</v>
      </c>
      <c r="D58" t="str">
        <v>3</v>
      </c>
      <c r="E58" t="str">
        <v>Broiler Amarillo</v>
      </c>
      <c r="F58" t="str">
        <v>47</v>
      </c>
      <c r="G58" t="str">
        <v>2025-08-25</v>
      </c>
      <c r="H58" t="str">
        <v>0</v>
      </c>
      <c r="I58" t="str">
        <v>Pre-Finalizado</v>
      </c>
      <c r="J58" t="str">
        <v>3.22752</v>
      </c>
      <c r="K58" t="str">
        <v>3.31332</v>
      </c>
      <c r="L58" t="str">
        <v>null</v>
      </c>
      <c r="M58" t="str">
        <v>null</v>
      </c>
      <c r="N58" t="str">
        <v>2.62300</v>
      </c>
      <c r="O58" t="str">
        <v>null</v>
      </c>
      <c r="P58" t="str">
        <v>12600.000</v>
      </c>
      <c r="Q58" t="str">
        <v>162.000</v>
      </c>
      <c r="R58" t="str">
        <v>-12039.000</v>
      </c>
      <c r="S58" t="str">
        <v>366.000</v>
      </c>
      <c r="T58" t="str">
        <v>366.000</v>
      </c>
      <c r="U58" t="str">
        <v>989.000</v>
      </c>
      <c r="V58" t="str">
        <v>3424.098</v>
      </c>
      <c r="W58" t="str">
        <v>0.03498408206579412805</v>
      </c>
      <c r="X58" t="str">
        <v>2.2133794440853264</v>
      </c>
      <c r="Y58" t="str">
        <v>2.2133794440853264</v>
      </c>
      <c r="Z58" t="str">
        <v>0.03498</v>
      </c>
      <c r="AA58" t="str">
        <v>1547.00000</v>
      </c>
      <c r="AB58" t="str">
        <v>36057-CRAVICOL, SL</v>
      </c>
    </row>
    <row r="59" spans="1:28" x14ac:dyDescent="0.25">
      <c r="A59" t="str">
        <v>2025-10-11</v>
      </c>
      <c r="B59" t="str">
        <v>36840-AVICOLA NICOLAS SL-L:071-N:2-A:A13-POLLO AMARILLO MACHO</v>
      </c>
      <c r="C59" t="str">
        <v>POLLO AMARILLO MACHO</v>
      </c>
      <c r="D59" t="str">
        <v>3</v>
      </c>
      <c r="E59" t="str">
        <v>Broiler Amarillo</v>
      </c>
      <c r="F59" t="str">
        <v>44</v>
      </c>
      <c r="G59" t="str">
        <v>2025-08-28</v>
      </c>
      <c r="H59" t="str">
        <v>0</v>
      </c>
      <c r="I59" t="str">
        <v>Pre-Finalizado</v>
      </c>
      <c r="J59" t="str">
        <v>3.22706</v>
      </c>
      <c r="K59" t="str">
        <v>3.25150</v>
      </c>
      <c r="L59" t="str">
        <v>null</v>
      </c>
      <c r="M59" t="str">
        <v>null</v>
      </c>
      <c r="N59" t="str">
        <v>2.84900</v>
      </c>
      <c r="O59" t="str">
        <v>null</v>
      </c>
      <c r="P59" t="str">
        <v>16300.000</v>
      </c>
      <c r="Q59" t="str">
        <v>-11301.000</v>
      </c>
      <c r="R59" t="str">
        <v>-27020.000</v>
      </c>
      <c r="S59" t="str">
        <v>581.000</v>
      </c>
      <c r="T59" t="str">
        <v>581.000</v>
      </c>
      <c r="U59" t="str">
        <v>-17043.000</v>
      </c>
      <c r="V59" t="str">
        <v>-52517.723</v>
      </c>
      <c r="W59" t="str">
        <v>-0.47341666666666666667</v>
      </c>
      <c r="X59" t="str">
        <v>-29.1765127777777778</v>
      </c>
      <c r="Y59" t="str">
        <v>-29.1765127777777778</v>
      </c>
      <c r="Z59" t="str">
        <v>-0.47342</v>
      </c>
      <c r="AA59" t="str">
        <v>1800.00000</v>
      </c>
      <c r="AB59" t="str">
        <v>36840-AVICOLA NICOLAS SL</v>
      </c>
    </row>
    <row r="60" spans="1:28" x14ac:dyDescent="0.25">
      <c r="A60" t="str">
        <v>2025-10-11</v>
      </c>
      <c r="B60" t="str">
        <v>36233-EXPLOTAC RAMADERES CURIA SCP-L:139-N:2-A:A14-POLLO AMARILLO HEMBRAS</v>
      </c>
      <c r="C60" t="str">
        <v>POLLO AMARILLO HEMBRAS</v>
      </c>
      <c r="D60" t="str">
        <v>3</v>
      </c>
      <c r="E60" t="str">
        <v>Broiler Amarillo</v>
      </c>
      <c r="F60" t="str">
        <v>44</v>
      </c>
      <c r="G60" t="str">
        <v>2025-08-28</v>
      </c>
      <c r="H60" t="str">
        <v>0</v>
      </c>
      <c r="I60" t="str">
        <v>Pre-Finalizado</v>
      </c>
      <c r="J60" t="str">
        <v>3.19782</v>
      </c>
      <c r="K60" t="str">
        <v>3.24283</v>
      </c>
      <c r="L60" t="str">
        <v>null</v>
      </c>
      <c r="M60" t="str">
        <v>null</v>
      </c>
      <c r="N60" t="str">
        <v>2.43200</v>
      </c>
      <c r="O60" t="str">
        <v>null</v>
      </c>
      <c r="P60" t="str">
        <v>8000.000</v>
      </c>
      <c r="Q60" t="str">
        <v>-4369.000</v>
      </c>
      <c r="R60" t="str">
        <v>-12303.000</v>
      </c>
      <c r="S60" t="str">
        <v>66.000</v>
      </c>
      <c r="T60" t="str">
        <v>66.000</v>
      </c>
      <c r="U60" t="str">
        <v>-8547.000</v>
      </c>
      <c r="V60" t="str">
        <v>-27638.600</v>
      </c>
      <c r="W60" t="str">
        <v>-0.53418750000000000000</v>
      </c>
      <c r="X60" t="str">
        <v>-26.3224761904761905</v>
      </c>
      <c r="Y60" t="str">
        <v>-26.3224761904761905</v>
      </c>
      <c r="Z60" t="str">
        <v>-0.53419</v>
      </c>
      <c r="AA60" t="str">
        <v>1050.00000</v>
      </c>
      <c r="AB60" t="str">
        <v>36233-EXPLOTAC RAMADERES CURIA SCP</v>
      </c>
    </row>
    <row r="61" spans="1:28" x14ac:dyDescent="0.25">
      <c r="A61" t="str">
        <v>2025-10-11</v>
      </c>
      <c r="B61" t="str">
        <v>36022-IGNACI ABAD MELE E HIJOS SCP-2-L:028-N:2-A:A14-POLLO AMARILLO HEMBRAS</v>
      </c>
      <c r="C61" t="str">
        <v>POLLO AMARILLO HEMBRAS</v>
      </c>
      <c r="D61" t="str">
        <v>3</v>
      </c>
      <c r="E61" t="str">
        <v>Broiler Amarillo</v>
      </c>
      <c r="F61" t="str">
        <v>53</v>
      </c>
      <c r="G61" t="str">
        <v>2025-08-19</v>
      </c>
      <c r="H61" t="str">
        <v>0</v>
      </c>
      <c r="I61" t="str">
        <v>Finalizado</v>
      </c>
      <c r="J61" t="str">
        <v>3.18200</v>
      </c>
      <c r="K61" t="str">
        <v>3.22374</v>
      </c>
      <c r="L61" t="str">
        <v>null</v>
      </c>
      <c r="M61" t="str">
        <v>null</v>
      </c>
      <c r="N61" t="str">
        <v>2.95300</v>
      </c>
      <c r="O61" t="str">
        <v>null</v>
      </c>
      <c r="P61" t="str">
        <v>11000.000</v>
      </c>
      <c r="Q61" t="str">
        <v>0.000</v>
      </c>
      <c r="R61" t="str">
        <v>-10492.000</v>
      </c>
      <c r="S61" t="str">
        <v>388.000</v>
      </c>
      <c r="T61" t="str">
        <v>388.000</v>
      </c>
      <c r="U61" t="str">
        <v>0.000</v>
      </c>
      <c r="V61" t="str">
        <v>0.000</v>
      </c>
      <c r="W61" t="str">
        <v>0.000000000000000000000000</v>
      </c>
      <c r="X61" t="str">
        <v>0.00000000000000000000</v>
      </c>
      <c r="Y61" t="str">
        <v>0.00000000000000000000</v>
      </c>
      <c r="Z61" t="str">
        <v>0.00000</v>
      </c>
      <c r="AA61" t="str">
        <v>1190.00000</v>
      </c>
      <c r="AB61" t="str">
        <v>36022-IGNACI ABAD MELE E HIJOS SCP-2</v>
      </c>
    </row>
    <row r="62" spans="1:28" x14ac:dyDescent="0.25">
      <c r="A62" t="str">
        <v>2025-10-11</v>
      </c>
      <c r="B62" t="str">
        <v>36046-(poble) AGROAVICOLA SANTIAGO SL-L:018-N:1-A:A14-POLLO AMARILLO HEMBRAS</v>
      </c>
      <c r="C62" t="str">
        <v>POLLO AMARILLO HEMBRAS</v>
      </c>
      <c r="D62" t="str">
        <v>3</v>
      </c>
      <c r="E62" t="str">
        <v>Broiler Amarillo</v>
      </c>
      <c r="F62" t="str">
        <v>50</v>
      </c>
      <c r="G62" t="str">
        <v>2025-08-22</v>
      </c>
      <c r="H62" t="str">
        <v>0</v>
      </c>
      <c r="I62" t="str">
        <v>Pre-Finalizado</v>
      </c>
      <c r="J62" t="str">
        <v>2.98300</v>
      </c>
      <c r="K62" t="str">
        <v>3.05487</v>
      </c>
      <c r="L62" t="str">
        <v>null</v>
      </c>
      <c r="M62" t="str">
        <v>null</v>
      </c>
      <c r="N62" t="str">
        <v>2.79800</v>
      </c>
      <c r="O62" t="str">
        <v>null</v>
      </c>
      <c r="P62" t="str">
        <v>8500.000</v>
      </c>
      <c r="Q62" t="str">
        <v>-101.000</v>
      </c>
      <c r="R62" t="str">
        <v>-8301.000</v>
      </c>
      <c r="S62" t="str">
        <v>300.000</v>
      </c>
      <c r="T62" t="str">
        <v>300.000</v>
      </c>
      <c r="U62" t="str">
        <v>-43.000</v>
      </c>
      <c r="V62" t="str">
        <v>-104.373</v>
      </c>
      <c r="W62" t="str">
        <v>-0.00245714285714285714</v>
      </c>
      <c r="X62" t="str">
        <v>-0.10607012195121951220</v>
      </c>
      <c r="Y62" t="str">
        <v>-0.10607012195121951220</v>
      </c>
      <c r="Z62" t="str">
        <v>-0.00246</v>
      </c>
      <c r="AA62" t="str">
        <v>984.00000</v>
      </c>
      <c r="AB62" t="str">
        <v>36046-(poble) AGROAVICOLA SANTIAGO SL</v>
      </c>
    </row>
    <row r="63" spans="1:28" x14ac:dyDescent="0.25">
      <c r="A63" t="str">
        <v>2025-10-11</v>
      </c>
      <c r="B63" t="str">
        <v>36001-RIERA CONDAL, JOSEP-L:031-N:1-A:A13-POLLO AMARILLO MACHO</v>
      </c>
      <c r="C63" t="str">
        <v>POLLO AMARILLO MACHO</v>
      </c>
      <c r="D63" t="str">
        <v>3</v>
      </c>
      <c r="E63" t="str">
        <v>Broiler Amarillo</v>
      </c>
      <c r="F63" t="str">
        <v>40</v>
      </c>
      <c r="G63" t="str">
        <v>2025-09-01</v>
      </c>
      <c r="H63" t="str">
        <v>0</v>
      </c>
      <c r="I63" t="str">
        <v>Abierto</v>
      </c>
      <c r="J63" t="str">
        <v>2.86400</v>
      </c>
      <c r="K63" t="str">
        <v>2.92604</v>
      </c>
      <c r="L63" t="str">
        <v>null</v>
      </c>
      <c r="M63" t="str">
        <v>null</v>
      </c>
      <c r="N63" t="str">
        <v>2.50000</v>
      </c>
      <c r="O63" t="str">
        <v>null</v>
      </c>
      <c r="P63" t="str">
        <v>18000.000</v>
      </c>
      <c r="Q63" t="str">
        <v>17363.000</v>
      </c>
      <c r="R63" t="str">
        <v>0.000</v>
      </c>
      <c r="S63" t="str">
        <v>622.000</v>
      </c>
      <c r="T63" t="str">
        <v>622.000</v>
      </c>
      <c r="U63" t="str">
        <v>20711.000</v>
      </c>
      <c r="V63" t="str">
        <v>58486.000</v>
      </c>
      <c r="W63" t="str">
        <v>0.62951367781155015198</v>
      </c>
      <c r="X63" t="str">
        <v>28.6696078431372549</v>
      </c>
      <c r="Y63" t="str">
        <v>28.6696078431372549</v>
      </c>
      <c r="Z63" t="str">
        <v>0.62951</v>
      </c>
      <c r="AA63" t="str">
        <v>2040.00000</v>
      </c>
      <c r="AB63" t="str">
        <v>36001-RIERA CONDAL, JOSEP</v>
      </c>
    </row>
    <row r="64" spans="1:28" x14ac:dyDescent="0.25">
      <c r="A64" t="str">
        <v>2025-10-11</v>
      </c>
      <c r="B64" t="str">
        <v>36233-EXPLOTAC RAMADERES CURIA SCP-L:139-N:4-A:A13-POLLO AMARILLO MACHO</v>
      </c>
      <c r="C64" t="str">
        <v>POLLO AMARILLO MACHO</v>
      </c>
      <c r="D64" t="str">
        <v>3</v>
      </c>
      <c r="E64" t="str">
        <v>Broiler Amarillo</v>
      </c>
      <c r="F64" t="str">
        <v>44</v>
      </c>
      <c r="G64" t="str">
        <v>2025-08-28</v>
      </c>
      <c r="H64" t="str">
        <v>0</v>
      </c>
      <c r="I64" t="str">
        <v>Abierto</v>
      </c>
      <c r="J64" t="str">
        <v>2.84900</v>
      </c>
      <c r="K64" t="str">
        <v>2.84900</v>
      </c>
      <c r="L64" t="str">
        <v>2.84900</v>
      </c>
      <c r="M64" t="str">
        <v>null</v>
      </c>
      <c r="N64" t="str">
        <v>2.84900</v>
      </c>
      <c r="O64" t="str">
        <v>null</v>
      </c>
      <c r="P64" t="str">
        <v>14000.000</v>
      </c>
      <c r="Q64" t="str">
        <v>5743.000</v>
      </c>
      <c r="R64" t="str">
        <v>-7947.000</v>
      </c>
      <c r="S64" t="str">
        <v>175.000</v>
      </c>
      <c r="T64" t="str">
        <v>175.000</v>
      </c>
      <c r="U64" t="str">
        <v>6925.000</v>
      </c>
      <c r="V64" t="str">
        <v>19546.115</v>
      </c>
      <c r="W64" t="str">
        <v>0.27553415827796124617</v>
      </c>
      <c r="X64" t="str">
        <v>11.8461303030303030</v>
      </c>
      <c r="Y64" t="str">
        <v>11.8461303030303030</v>
      </c>
      <c r="Z64" t="str">
        <v>0.27553</v>
      </c>
      <c r="AA64" t="str">
        <v>1650.00000</v>
      </c>
      <c r="AB64" t="str">
        <v>36233-EXPLOTAC RAMADERES CURIA SCP</v>
      </c>
    </row>
    <row r="65" spans="1:28" x14ac:dyDescent="0.25">
      <c r="A65" t="str">
        <v>2025-10-11</v>
      </c>
      <c r="B65" t="str">
        <v>36840-AVICOLA NICOLAS SL-L:071-N:1-A:A14-POLLO AMARILLO HEMBRAS</v>
      </c>
      <c r="C65" t="str">
        <v>POLLO AMARILLO HEMBRAS</v>
      </c>
      <c r="D65" t="str">
        <v>3</v>
      </c>
      <c r="E65" t="str">
        <v>Broiler Amarillo</v>
      </c>
      <c r="F65" t="str">
        <v>44</v>
      </c>
      <c r="G65" t="str">
        <v>2025-08-28</v>
      </c>
      <c r="H65" t="str">
        <v>0</v>
      </c>
      <c r="I65" t="str">
        <v>Pre-Finalizado</v>
      </c>
      <c r="J65" t="str">
        <v>2.83235</v>
      </c>
      <c r="K65" t="str">
        <v>2.86901</v>
      </c>
      <c r="L65" t="str">
        <v>null</v>
      </c>
      <c r="M65" t="str">
        <v>null</v>
      </c>
      <c r="N65" t="str">
        <v>2.43200</v>
      </c>
      <c r="O65" t="str">
        <v>null</v>
      </c>
      <c r="P65" t="str">
        <v>16200.000</v>
      </c>
      <c r="Q65" t="str">
        <v>-1513.000</v>
      </c>
      <c r="R65" t="str">
        <v>-17138.000</v>
      </c>
      <c r="S65" t="str">
        <v>575.000</v>
      </c>
      <c r="T65" t="str">
        <v>575.000</v>
      </c>
      <c r="U65" t="str">
        <v>-1513.000</v>
      </c>
      <c r="V65" t="str">
        <v>-4285.346</v>
      </c>
      <c r="W65" t="str">
        <v>-0.04202777777777777778</v>
      </c>
      <c r="X65" t="str">
        <v>-2.3807477777777778</v>
      </c>
      <c r="Y65" t="str">
        <v>-2.3807477777777778</v>
      </c>
      <c r="Z65" t="str">
        <v>-0.04203</v>
      </c>
      <c r="AA65" t="str">
        <v>1800.00000</v>
      </c>
      <c r="AB65" t="str">
        <v>36840-AVICOLA NICOLAS SL</v>
      </c>
    </row>
    <row r="66" spans="1:28" x14ac:dyDescent="0.25">
      <c r="A66" t="str">
        <v>2025-10-11</v>
      </c>
      <c r="B66" t="str">
        <v>36233-EXPLOTAC RAMADERES CURIA SCP-L:139-N:1-A:A14-POLLO AMARILLO HEMBRAS</v>
      </c>
      <c r="C66" t="str">
        <v>POLLO AMARILLO HEMBRAS</v>
      </c>
      <c r="D66" t="str">
        <v>3</v>
      </c>
      <c r="E66" t="str">
        <v>Broiler Amarillo</v>
      </c>
      <c r="F66" t="str">
        <v>44</v>
      </c>
      <c r="G66" t="str">
        <v>2025-08-28</v>
      </c>
      <c r="H66" t="str">
        <v>0</v>
      </c>
      <c r="I66" t="str">
        <v>Pre-Finalizado</v>
      </c>
      <c r="J66" t="str">
        <v>2.80838</v>
      </c>
      <c r="K66" t="str">
        <v>2.83051</v>
      </c>
      <c r="L66" t="str">
        <v>null</v>
      </c>
      <c r="M66" t="str">
        <v>null</v>
      </c>
      <c r="N66" t="str">
        <v>2.43200</v>
      </c>
      <c r="O66" t="str">
        <v>null</v>
      </c>
      <c r="P66" t="str">
        <v>10500.000</v>
      </c>
      <c r="Q66" t="str">
        <v>-1492.000</v>
      </c>
      <c r="R66" t="str">
        <v>-11617.000</v>
      </c>
      <c r="S66" t="str">
        <v>375.000</v>
      </c>
      <c r="T66" t="str">
        <v>375.000</v>
      </c>
      <c r="U66" t="str">
        <v>-484.000</v>
      </c>
      <c r="V66" t="str">
        <v>-872.211</v>
      </c>
      <c r="W66" t="str">
        <v>-0.02520833333333333333</v>
      </c>
      <c r="X66" t="str">
        <v>-0.69223095238095238095</v>
      </c>
      <c r="Y66" t="str">
        <v>-0.69223095238095238095</v>
      </c>
      <c r="Z66" t="str">
        <v>-0.02521</v>
      </c>
      <c r="AA66" t="str">
        <v>1260.00000</v>
      </c>
      <c r="AB66" t="str">
        <v>36233-EXPLOTAC RAMADERES CURIA SCP</v>
      </c>
    </row>
    <row r="67" spans="1:28" x14ac:dyDescent="0.25">
      <c r="A67" t="str">
        <v>2025-10-11</v>
      </c>
      <c r="B67" t="str">
        <v>36840-AVICOLA NICOLAS SL-L:071-N:2-A:A14-POLLO AMARILLO HEMBRAS</v>
      </c>
      <c r="C67" t="str">
        <v>POLLO AMARILLO HEMBRAS</v>
      </c>
      <c r="D67" t="str">
        <v>3</v>
      </c>
      <c r="E67" t="str">
        <v>Broiler Amarillo</v>
      </c>
      <c r="F67" t="str">
        <v>44</v>
      </c>
      <c r="G67" t="str">
        <v>2025-08-28</v>
      </c>
      <c r="H67" t="str">
        <v>0</v>
      </c>
      <c r="I67" t="str">
        <v>Pre-Finalizado</v>
      </c>
      <c r="J67" t="str">
        <v>2.79497</v>
      </c>
      <c r="K67" t="str">
        <v>2.81630</v>
      </c>
      <c r="L67" t="str">
        <v>null</v>
      </c>
      <c r="M67" t="str">
        <v>null</v>
      </c>
      <c r="N67" t="str">
        <v>2.43200</v>
      </c>
      <c r="O67" t="str">
        <v>null</v>
      </c>
      <c r="P67" t="str">
        <v>16200.000</v>
      </c>
      <c r="Q67" t="str">
        <v>-5742.000</v>
      </c>
      <c r="R67" t="str">
        <v>-21367.000</v>
      </c>
      <c r="S67" t="str">
        <v>575.000</v>
      </c>
      <c r="T67" t="str">
        <v>575.000</v>
      </c>
      <c r="U67" t="str">
        <v>-17043.000</v>
      </c>
      <c r="V67" t="str">
        <v>-52517.723</v>
      </c>
      <c r="W67" t="str">
        <v>-0.47341666666666666667</v>
      </c>
      <c r="X67" t="str">
        <v>-29.1765127777777778</v>
      </c>
      <c r="Y67" t="str">
        <v>-29.1765127777777778</v>
      </c>
      <c r="Z67" t="str">
        <v>-0.47342</v>
      </c>
      <c r="AA67" t="str">
        <v>1800.00000</v>
      </c>
      <c r="AB67" t="str">
        <v>36840-AVICOLA NICOLAS SL</v>
      </c>
    </row>
    <row r="68" spans="1:28" x14ac:dyDescent="0.25">
      <c r="A68" t="str">
        <v>2025-10-11</v>
      </c>
      <c r="B68" t="str">
        <v>36233-EXPLOTAC RAMADERES CURIA SCP-L:139-N:4-A:A14-POLLO AMARILLO HEMBRAS</v>
      </c>
      <c r="C68" t="str">
        <v>POLLO AMARILLO HEMBRAS</v>
      </c>
      <c r="D68" t="str">
        <v>3</v>
      </c>
      <c r="E68" t="str">
        <v>Broiler Amarillo</v>
      </c>
      <c r="F68" t="str">
        <v>44</v>
      </c>
      <c r="G68" t="str">
        <v>2025-08-28</v>
      </c>
      <c r="H68" t="str">
        <v>0</v>
      </c>
      <c r="I68" t="str">
        <v>Abierto</v>
      </c>
      <c r="J68" t="str">
        <v>2.69400</v>
      </c>
      <c r="K68" t="str">
        <v>2.74821</v>
      </c>
      <c r="L68" t="str">
        <v>null</v>
      </c>
      <c r="M68" t="str">
        <v>null</v>
      </c>
      <c r="N68" t="str">
        <v>2.43200</v>
      </c>
      <c r="O68" t="str">
        <v>null</v>
      </c>
      <c r="P68" t="str">
        <v>14000.000</v>
      </c>
      <c r="Q68" t="str">
        <v>1182.000</v>
      </c>
      <c r="R68" t="str">
        <v>-12666.000</v>
      </c>
      <c r="S68" t="str">
        <v>107.000</v>
      </c>
      <c r="T68" t="str">
        <v>107.000</v>
      </c>
      <c r="U68" t="str">
        <v>6925.000</v>
      </c>
      <c r="V68" t="str">
        <v>19546.115</v>
      </c>
      <c r="W68" t="str">
        <v>0.27553415827796124617</v>
      </c>
      <c r="X68" t="str">
        <v>11.8461303030303030</v>
      </c>
      <c r="Y68" t="str">
        <v>11.8461303030303030</v>
      </c>
      <c r="Z68" t="str">
        <v>0.27553</v>
      </c>
      <c r="AA68" t="str">
        <v>1650.00000</v>
      </c>
      <c r="AB68" t="str">
        <v>36233-EXPLOTAC RAMADERES CURIA SCP</v>
      </c>
    </row>
    <row r="69" spans="1:28" x14ac:dyDescent="0.25">
      <c r="A69" t="str">
        <v>2025-10-11</v>
      </c>
      <c r="B69" t="str">
        <v>36001-RIERA CONDAL, JOSEP-L:031-N:1-A:A14-POLLO AMARILLO HEMBRAS</v>
      </c>
      <c r="C69" t="str">
        <v>POLLO AMARILLO HEMBRAS</v>
      </c>
      <c r="D69" t="str">
        <v>3</v>
      </c>
      <c r="E69" t="str">
        <v>Broiler Amarillo</v>
      </c>
      <c r="F69" t="str">
        <v>40</v>
      </c>
      <c r="G69" t="str">
        <v>2025-09-01</v>
      </c>
      <c r="H69" t="str">
        <v>0</v>
      </c>
      <c r="I69" t="str">
        <v>Abierto</v>
      </c>
      <c r="J69" t="str">
        <v>2.61600</v>
      </c>
      <c r="K69" t="str">
        <v>2.68653</v>
      </c>
      <c r="L69" t="str">
        <v>null</v>
      </c>
      <c r="M69" t="str">
        <v>null</v>
      </c>
      <c r="N69" t="str">
        <v>2.15800</v>
      </c>
      <c r="O69" t="str">
        <v>null</v>
      </c>
      <c r="P69" t="str">
        <v>18000.000</v>
      </c>
      <c r="Q69" t="str">
        <v>3348.000</v>
      </c>
      <c r="R69" t="str">
        <v>-13997.000</v>
      </c>
      <c r="S69" t="str">
        <v>622.000</v>
      </c>
      <c r="T69" t="str">
        <v>622.000</v>
      </c>
      <c r="U69" t="str">
        <v>20711.000</v>
      </c>
      <c r="V69" t="str">
        <v>58486.000</v>
      </c>
      <c r="W69" t="str">
        <v>0.62951367781155015198</v>
      </c>
      <c r="X69" t="str">
        <v>28.6696078431372549</v>
      </c>
      <c r="Y69" t="str">
        <v>28.6696078431372549</v>
      </c>
      <c r="Z69" t="str">
        <v>0.62951</v>
      </c>
      <c r="AA69" t="str">
        <v>2040.00000</v>
      </c>
      <c r="AB69" t="str">
        <v>36001-RIERA CONDAL, JOSEP</v>
      </c>
    </row>
    <row r="70" spans="1:28" x14ac:dyDescent="0.25">
      <c r="A70" t="str">
        <v>2025-10-11</v>
      </c>
      <c r="B70" t="str">
        <v>36865-LA TORRETA PECUARIA SLU-L:074-N:6-A:A13-POLLO AMARILLO MACHO</v>
      </c>
      <c r="C70" t="str">
        <v>POLLO AMARILLO MACHO</v>
      </c>
      <c r="D70" t="str">
        <v>3</v>
      </c>
      <c r="E70" t="str">
        <v>Broiler Amarillo</v>
      </c>
      <c r="F70" t="str">
        <v>36</v>
      </c>
      <c r="G70" t="str">
        <v>2025-09-05</v>
      </c>
      <c r="H70" t="str">
        <v>0</v>
      </c>
      <c r="I70" t="str">
        <v>Abierto</v>
      </c>
      <c r="J70" t="str">
        <v>2.33000</v>
      </c>
      <c r="K70" t="str">
        <v>2.33000</v>
      </c>
      <c r="L70" t="str">
        <v>null</v>
      </c>
      <c r="M70" t="str">
        <v>2.33000</v>
      </c>
      <c r="N70" t="str">
        <v>2.13600</v>
      </c>
      <c r="O70" t="str">
        <v>null</v>
      </c>
      <c r="P70" t="str">
        <v>16700.000</v>
      </c>
      <c r="Q70" t="str">
        <v>8378.000</v>
      </c>
      <c r="R70" t="str">
        <v>-8069.000</v>
      </c>
      <c r="S70" t="str">
        <v>250.000</v>
      </c>
      <c r="T70" t="str">
        <v>570.000</v>
      </c>
      <c r="U70" t="str">
        <v>24825.000</v>
      </c>
      <c r="V70" t="str">
        <v>54388.380</v>
      </c>
      <c r="W70" t="str">
        <v>0.75384895690990252346</v>
      </c>
      <c r="X70" t="str">
        <v>30.2157666666666667</v>
      </c>
      <c r="Y70" t="str">
        <v>30.2157666666666667</v>
      </c>
      <c r="Z70" t="str">
        <v>0.75385</v>
      </c>
      <c r="AA70" t="str">
        <v>1800.00000</v>
      </c>
      <c r="AB70" t="str">
        <v>36865-LA TORRETA PECUARIA SLU</v>
      </c>
    </row>
    <row r="71" spans="1:28" x14ac:dyDescent="0.25">
      <c r="A71" t="str">
        <v>2025-10-11</v>
      </c>
      <c r="B71" t="str">
        <v>36865-LA TORRETA PECUARIA SLU-L:074-N:5-A:A13-POLLO AMARILLO MACHO</v>
      </c>
      <c r="C71" t="str">
        <v>POLLO AMARILLO MACHO</v>
      </c>
      <c r="D71" t="str">
        <v>3</v>
      </c>
      <c r="E71" t="str">
        <v>Broiler Amarillo</v>
      </c>
      <c r="F71" t="str">
        <v>36</v>
      </c>
      <c r="G71" t="str">
        <v>2025-09-05</v>
      </c>
      <c r="H71" t="str">
        <v>0</v>
      </c>
      <c r="I71" t="str">
        <v>Abierto</v>
      </c>
      <c r="J71" t="str">
        <v>2.31000</v>
      </c>
      <c r="K71" t="str">
        <v>2.31000</v>
      </c>
      <c r="L71" t="str">
        <v>null</v>
      </c>
      <c r="M71" t="str">
        <v>2.31000</v>
      </c>
      <c r="N71" t="str">
        <v>2.13600</v>
      </c>
      <c r="O71" t="str">
        <v>null</v>
      </c>
      <c r="P71" t="str">
        <v>16700.000</v>
      </c>
      <c r="Q71" t="str">
        <v>8442.000</v>
      </c>
      <c r="R71" t="str">
        <v>-7925.000</v>
      </c>
      <c r="S71" t="str">
        <v>330.000</v>
      </c>
      <c r="T71" t="str">
        <v>570.000</v>
      </c>
      <c r="U71" t="str">
        <v>17961.000</v>
      </c>
      <c r="V71" t="str">
        <v>39586.110</v>
      </c>
      <c r="W71" t="str">
        <v>0.54541313655825817619</v>
      </c>
      <c r="X71" t="str">
        <v>21.9922833333333333</v>
      </c>
      <c r="Y71" t="str">
        <v>21.9922833333333333</v>
      </c>
      <c r="Z71" t="str">
        <v>0.54541</v>
      </c>
      <c r="AA71" t="str">
        <v>1800.00000</v>
      </c>
      <c r="AB71" t="str">
        <v>36865-LA TORRETA PECUARIA SLU</v>
      </c>
    </row>
    <row r="72" spans="1:28" x14ac:dyDescent="0.25">
      <c r="A72" t="str">
        <v>2025-10-11</v>
      </c>
      <c r="B72" t="str">
        <v>36865-LA TORRETA PECUARIA SLU-L:074-N:4-A:A13-POLLO AMARILLO MACHO</v>
      </c>
      <c r="C72" t="str">
        <v>POLLO AMARILLO MACHO</v>
      </c>
      <c r="D72" t="str">
        <v>3</v>
      </c>
      <c r="E72" t="str">
        <v>Broiler Amarillo</v>
      </c>
      <c r="F72" t="str">
        <v>37</v>
      </c>
      <c r="G72" t="str">
        <v>2025-09-04</v>
      </c>
      <c r="H72" t="str">
        <v>0</v>
      </c>
      <c r="I72" t="str">
        <v>Abierto</v>
      </c>
      <c r="J72" t="str">
        <v>2.24000</v>
      </c>
      <c r="K72" t="str">
        <v>2.32090</v>
      </c>
      <c r="L72" t="str">
        <v>null</v>
      </c>
      <c r="M72" t="str">
        <v>null</v>
      </c>
      <c r="N72" t="str">
        <v>2.22800</v>
      </c>
      <c r="O72" t="str">
        <v>null</v>
      </c>
      <c r="P72" t="str">
        <v>16300.000</v>
      </c>
      <c r="Q72" t="str">
        <v>0.000</v>
      </c>
      <c r="R72" t="str">
        <v>0.000</v>
      </c>
      <c r="S72" t="str">
        <v>410.000</v>
      </c>
      <c r="T72" t="str">
        <v>410.000</v>
      </c>
      <c r="U72" t="str">
        <v>15975.000</v>
      </c>
      <c r="V72" t="str">
        <v>31039.425</v>
      </c>
      <c r="W72" t="str">
        <v>0.48510522000546597431</v>
      </c>
      <c r="X72" t="str">
        <v>17.2441250000000000</v>
      </c>
      <c r="Y72" t="str">
        <v>17.2441250000000000</v>
      </c>
      <c r="Z72" t="str">
        <v>0.48511</v>
      </c>
      <c r="AA72" t="str">
        <v>1800.00000</v>
      </c>
      <c r="AB72" t="str">
        <v>36865-LA TORRETA PECUARIA SLU</v>
      </c>
    </row>
    <row r="73" spans="1:28" x14ac:dyDescent="0.25">
      <c r="A73" t="str">
        <v>2025-10-11</v>
      </c>
      <c r="B73" t="str">
        <v>36865-LA TORRETA PECUARIA SLU-L:074-N:6-A:A14-POLLO AMARILLO HEMBRAS</v>
      </c>
      <c r="C73" t="str">
        <v>POLLO AMARILLO HEMBRAS</v>
      </c>
      <c r="D73" t="str">
        <v>3</v>
      </c>
      <c r="E73" t="str">
        <v>Broiler Amarillo</v>
      </c>
      <c r="F73" t="str">
        <v>36</v>
      </c>
      <c r="G73" t="str">
        <v>2025-09-05</v>
      </c>
      <c r="H73" t="str">
        <v>0</v>
      </c>
      <c r="I73" t="str">
        <v>Abierto</v>
      </c>
      <c r="J73" t="str">
        <v>2.12000</v>
      </c>
      <c r="K73" t="str">
        <v>2.12000</v>
      </c>
      <c r="L73" t="str">
        <v>null</v>
      </c>
      <c r="M73" t="str">
        <v>2.12000</v>
      </c>
      <c r="N73" t="str">
        <v>1.87000</v>
      </c>
      <c r="O73" t="str">
        <v>null</v>
      </c>
      <c r="P73" t="str">
        <v>16700.000</v>
      </c>
      <c r="Q73" t="str">
        <v>16447.000</v>
      </c>
      <c r="R73" t="str">
        <v>0.000</v>
      </c>
      <c r="S73" t="str">
        <v>250.000</v>
      </c>
      <c r="T73" t="str">
        <v>570.000</v>
      </c>
      <c r="U73" t="str">
        <v>24825.000</v>
      </c>
      <c r="V73" t="str">
        <v>54388.380</v>
      </c>
      <c r="W73" t="str">
        <v>0.75384895690990252346</v>
      </c>
      <c r="X73" t="str">
        <v>30.2157666666666667</v>
      </c>
      <c r="Y73" t="str">
        <v>30.2157666666666667</v>
      </c>
      <c r="Z73" t="str">
        <v>0.75385</v>
      </c>
      <c r="AA73" t="str">
        <v>1800.00000</v>
      </c>
      <c r="AB73" t="str">
        <v>36865-LA TORRETA PECUARIA SLU</v>
      </c>
    </row>
    <row r="74" spans="1:28" x14ac:dyDescent="0.25">
      <c r="A74" t="str">
        <v>2025-10-11</v>
      </c>
      <c r="B74" t="str">
        <v>36865-LA TORRETA PECUARIA SLU-L:074-N:5-A:A14-POLLO AMARILLO HEMBRAS</v>
      </c>
      <c r="C74" t="str">
        <v>POLLO AMARILLO HEMBRAS</v>
      </c>
      <c r="D74" t="str">
        <v>3</v>
      </c>
      <c r="E74" t="str">
        <v>Broiler Amarillo</v>
      </c>
      <c r="F74" t="str">
        <v>36</v>
      </c>
      <c r="G74" t="str">
        <v>2025-09-05</v>
      </c>
      <c r="H74" t="str">
        <v>0</v>
      </c>
      <c r="I74" t="str">
        <v>Abierto</v>
      </c>
      <c r="J74" t="str">
        <v>2.11000</v>
      </c>
      <c r="K74" t="str">
        <v>2.11000</v>
      </c>
      <c r="L74" t="str">
        <v>null</v>
      </c>
      <c r="M74" t="str">
        <v>2.11000</v>
      </c>
      <c r="N74" t="str">
        <v>1.87000</v>
      </c>
      <c r="O74" t="str">
        <v>null</v>
      </c>
      <c r="P74" t="str">
        <v>16700.000</v>
      </c>
      <c r="Q74" t="str">
        <v>9519.000</v>
      </c>
      <c r="R74" t="str">
        <v>-6858.000</v>
      </c>
      <c r="S74" t="str">
        <v>320.000</v>
      </c>
      <c r="T74" t="str">
        <v>570.000</v>
      </c>
      <c r="U74" t="str">
        <v>17961.000</v>
      </c>
      <c r="V74" t="str">
        <v>39586.110</v>
      </c>
      <c r="W74" t="str">
        <v>0.54541313655825817619</v>
      </c>
      <c r="X74" t="str">
        <v>21.9922833333333333</v>
      </c>
      <c r="Y74" t="str">
        <v>21.9922833333333333</v>
      </c>
      <c r="Z74" t="str">
        <v>0.54541</v>
      </c>
      <c r="AA74" t="str">
        <v>1800.00000</v>
      </c>
      <c r="AB74" t="str">
        <v>36865-LA TORRETA PECUARIA SLU</v>
      </c>
    </row>
    <row r="75" spans="1:28" x14ac:dyDescent="0.25">
      <c r="A75" t="str">
        <v>2025-10-11</v>
      </c>
      <c r="B75" t="str">
        <v>36029-CAMÍ DE FLIX - MATEU JOVE LLUIS-2-L:029-N:1-A:A13-POLLO AMARILLO MACHO</v>
      </c>
      <c r="C75" t="str">
        <v>POLLO AMARILLO MACHO</v>
      </c>
      <c r="D75" t="str">
        <v>3</v>
      </c>
      <c r="E75" t="str">
        <v>Broiler Amarillo</v>
      </c>
      <c r="F75" t="str">
        <v>32</v>
      </c>
      <c r="G75" t="str">
        <v>2025-09-09</v>
      </c>
      <c r="H75" t="str">
        <v>0</v>
      </c>
      <c r="I75" t="str">
        <v>Abierto</v>
      </c>
      <c r="J75" t="str">
        <v>2.01900</v>
      </c>
      <c r="K75" t="str">
        <v>2.04676</v>
      </c>
      <c r="L75" t="str">
        <v>null</v>
      </c>
      <c r="M75" t="str">
        <v>null</v>
      </c>
      <c r="N75" t="str">
        <v>1.77200</v>
      </c>
      <c r="O75" t="str">
        <v>null</v>
      </c>
      <c r="P75" t="str">
        <v>8800.000</v>
      </c>
      <c r="Q75" t="str">
        <v>8784.000</v>
      </c>
      <c r="R75" t="str">
        <v>0.000</v>
      </c>
      <c r="S75" t="str">
        <v>7.000</v>
      </c>
      <c r="T75" t="str">
        <v>7.000</v>
      </c>
      <c r="U75" t="str">
        <v>17392.000</v>
      </c>
      <c r="V75" t="str">
        <v>33461.712</v>
      </c>
      <c r="W75" t="str">
        <v>0.96622222222222222222</v>
      </c>
      <c r="X75" t="str">
        <v>31.8682971428571429</v>
      </c>
      <c r="Y75" t="str">
        <v>31.8682971428571429</v>
      </c>
      <c r="Z75" t="str">
        <v>0.96622</v>
      </c>
      <c r="AA75" t="str">
        <v>1050.00000</v>
      </c>
      <c r="AB75" t="str">
        <v>36029-CAMÍ DE FLIX - MATEU JOVE LLUIS-2</v>
      </c>
    </row>
    <row r="76" spans="1:28" x14ac:dyDescent="0.25">
      <c r="A76" t="str">
        <v>2025-10-11</v>
      </c>
      <c r="B76" t="str">
        <v>36015-GJA BAIGET - MATEU JOVE, LLUIS-1-L:030-N:1-A:A13-POLLO AMARILLO MACHO</v>
      </c>
      <c r="C76" t="str">
        <v>POLLO AMARILLO MACHO</v>
      </c>
      <c r="D76" t="str">
        <v>3</v>
      </c>
      <c r="E76" t="str">
        <v>Broiler Amarillo</v>
      </c>
      <c r="F76" t="str">
        <v>32</v>
      </c>
      <c r="G76" t="str">
        <v>2025-09-09</v>
      </c>
      <c r="H76" t="str">
        <v>0</v>
      </c>
      <c r="I76" t="str">
        <v>Abierto</v>
      </c>
      <c r="J76" t="str">
        <v>2.01811</v>
      </c>
      <c r="K76" t="str">
        <v>2.03128</v>
      </c>
      <c r="L76" t="str">
        <v>null</v>
      </c>
      <c r="M76" t="str">
        <v>null</v>
      </c>
      <c r="N76" t="str">
        <v>1.77200</v>
      </c>
      <c r="O76" t="str">
        <v>null</v>
      </c>
      <c r="P76" t="str">
        <v>11600.000</v>
      </c>
      <c r="Q76" t="str">
        <v>9470.000</v>
      </c>
      <c r="R76" t="str">
        <v>-1924.000</v>
      </c>
      <c r="S76" t="str">
        <v>203.000</v>
      </c>
      <c r="T76" t="str">
        <v>205.000</v>
      </c>
      <c r="U76" t="str">
        <v>14965.000</v>
      </c>
      <c r="V76" t="str">
        <v>28519.107</v>
      </c>
      <c r="W76" t="str">
        <v>0.59860000000000000000</v>
      </c>
      <c r="X76" t="str">
        <v>20.3707907142857143</v>
      </c>
      <c r="Y76" t="str">
        <v>20.3707907142857143</v>
      </c>
      <c r="Z76" t="str">
        <v>0.59860</v>
      </c>
      <c r="AA76" t="str">
        <v>1400.00000</v>
      </c>
      <c r="AB76" t="str">
        <v>36015-GJA BAIGET - MATEU JOVE, LLUIS-1</v>
      </c>
    </row>
    <row r="77" spans="1:28" x14ac:dyDescent="0.25">
      <c r="A77" t="str">
        <v>2025-10-11</v>
      </c>
      <c r="B77" t="str">
        <v>36865-LA TORRETA PECUARIA SLU-L:074-N:4-A:A14-POLLO AMARILLO HEMBRAS</v>
      </c>
      <c r="C77" t="str">
        <v>POLLO AMARILLO HEMBRAS</v>
      </c>
      <c r="D77" t="str">
        <v>3</v>
      </c>
      <c r="E77" t="str">
        <v>Broiler Amarillo</v>
      </c>
      <c r="F77" t="str">
        <v>37</v>
      </c>
      <c r="G77" t="str">
        <v>2025-09-04</v>
      </c>
      <c r="H77" t="str">
        <v>0</v>
      </c>
      <c r="I77" t="str">
        <v>Abierto</v>
      </c>
      <c r="J77" t="str">
        <v>1.94300</v>
      </c>
      <c r="K77" t="str">
        <v>1.94300</v>
      </c>
      <c r="L77" t="str">
        <v>null</v>
      </c>
      <c r="M77" t="str">
        <v>null</v>
      </c>
      <c r="N77" t="str">
        <v>1.94300</v>
      </c>
      <c r="O77" t="str">
        <v>null</v>
      </c>
      <c r="P77" t="str">
        <v>16300.000</v>
      </c>
      <c r="Q77" t="str">
        <v>15975.000</v>
      </c>
      <c r="R77" t="str">
        <v>0.000</v>
      </c>
      <c r="S77" t="str">
        <v>325.000</v>
      </c>
      <c r="T77" t="str">
        <v>325.000</v>
      </c>
      <c r="U77" t="str">
        <v>15975.000</v>
      </c>
      <c r="V77" t="str">
        <v>31039.425</v>
      </c>
      <c r="W77" t="str">
        <v>0.48510522000546597431</v>
      </c>
      <c r="X77" t="str">
        <v>17.2441250000000000</v>
      </c>
      <c r="Y77" t="str">
        <v>17.2441250000000000</v>
      </c>
      <c r="Z77" t="str">
        <v>0.48511</v>
      </c>
      <c r="AA77" t="str">
        <v>1800.00000</v>
      </c>
      <c r="AB77" t="str">
        <v>36865-LA TORRETA PECUARIA SLU</v>
      </c>
    </row>
    <row r="78" spans="1:28" x14ac:dyDescent="0.25">
      <c r="A78" t="str">
        <v>2025-10-11</v>
      </c>
      <c r="B78" t="str">
        <v>36786-BONFILL SABATE JOAQUIN-L:089-N:2-A:A13-POLLO AMARILLO MACHO</v>
      </c>
      <c r="C78" t="str">
        <v>POLLO AMARILLO MACHO</v>
      </c>
      <c r="D78" t="str">
        <v>3</v>
      </c>
      <c r="E78" t="str">
        <v>Broiler Amarillo</v>
      </c>
      <c r="F78" t="str">
        <v>33</v>
      </c>
      <c r="G78" t="str">
        <v>2025-09-08</v>
      </c>
      <c r="H78" t="str">
        <v>0</v>
      </c>
      <c r="I78" t="str">
        <v>Abierto</v>
      </c>
      <c r="J78" t="str">
        <v>1.92300</v>
      </c>
      <c r="K78" t="str">
        <v>1.93728</v>
      </c>
      <c r="L78" t="str">
        <v>null</v>
      </c>
      <c r="M78" t="str">
        <v>null</v>
      </c>
      <c r="N78" t="str">
        <v>1.86300</v>
      </c>
      <c r="O78" t="str">
        <v>null</v>
      </c>
      <c r="P78" t="str">
        <v>21000.000</v>
      </c>
      <c r="Q78" t="str">
        <v>20893.000</v>
      </c>
      <c r="R78" t="str">
        <v>0.000</v>
      </c>
      <c r="S78" t="str">
        <v>87.000</v>
      </c>
      <c r="T78" t="str">
        <v>87.000</v>
      </c>
      <c r="U78" t="str">
        <v>41724.000</v>
      </c>
      <c r="V78" t="str">
        <v>76485.672</v>
      </c>
      <c r="W78" t="str">
        <v>3.3114285714285714</v>
      </c>
      <c r="X78" t="str">
        <v>95.1314328358208955</v>
      </c>
      <c r="Y78" t="str">
        <v>95.1314328358208955</v>
      </c>
      <c r="Z78" t="str">
        <v>3.31143</v>
      </c>
      <c r="AA78" t="str">
        <v>804.00000</v>
      </c>
      <c r="AB78" t="str">
        <v>36786-BONFILL SABATE JOAQUIN</v>
      </c>
    </row>
    <row r="79" spans="1:28" x14ac:dyDescent="0.25">
      <c r="A79" t="str">
        <v>2025-10-11</v>
      </c>
      <c r="B79" t="str">
        <v>36786-BONFILL SABATE JOAQUIN-L:089-N:1-A:A13-POLLO AMARILLO MACHO</v>
      </c>
      <c r="C79" t="str">
        <v>POLLO AMARILLO MACHO</v>
      </c>
      <c r="D79" t="str">
        <v>3</v>
      </c>
      <c r="E79" t="str">
        <v>Broiler Amarillo</v>
      </c>
      <c r="F79" t="str">
        <v>33</v>
      </c>
      <c r="G79" t="str">
        <v>2025-09-08</v>
      </c>
      <c r="H79" t="str">
        <v>0</v>
      </c>
      <c r="I79" t="str">
        <v>Abierto</v>
      </c>
      <c r="J79" t="str">
        <v>1.90800</v>
      </c>
      <c r="K79" t="str">
        <v>1.91870</v>
      </c>
      <c r="L79" t="str">
        <v>null</v>
      </c>
      <c r="M79" t="str">
        <v>null</v>
      </c>
      <c r="N79" t="str">
        <v>1.86300</v>
      </c>
      <c r="O79" t="str">
        <v>null</v>
      </c>
      <c r="P79" t="str">
        <v>6500.000</v>
      </c>
      <c r="Q79" t="str">
        <v>6263.000</v>
      </c>
      <c r="R79" t="str">
        <v>0.000</v>
      </c>
      <c r="S79" t="str">
        <v>207.000</v>
      </c>
      <c r="T79" t="str">
        <v>207.000</v>
      </c>
      <c r="U79" t="str">
        <v>12556.000</v>
      </c>
      <c r="V79" t="str">
        <v>22855.573</v>
      </c>
      <c r="W79" t="str">
        <v>0.29683215130023640662</v>
      </c>
      <c r="X79" t="str">
        <v>8.4650270370370370</v>
      </c>
      <c r="Y79" t="str">
        <v>8.4650270370370370</v>
      </c>
      <c r="Z79" t="str">
        <v>0.29683</v>
      </c>
      <c r="AA79" t="str">
        <v>2700.00000</v>
      </c>
      <c r="AB79" t="str">
        <v>36786-BONFILL SABATE JOAQUIN</v>
      </c>
    </row>
    <row r="80" spans="1:28" x14ac:dyDescent="0.25">
      <c r="A80" t="str">
        <v>2025-10-11</v>
      </c>
      <c r="B80" t="str">
        <v>36843-ESPINET SOLE, JOSEP MARIA-L:081-N:1-A:A13-POLLO AMARILLO MACHO</v>
      </c>
      <c r="C80" t="str">
        <v>POLLO AMARILLO MACHO</v>
      </c>
      <c r="D80" t="str">
        <v>3</v>
      </c>
      <c r="E80" t="str">
        <v>Broiler Amarillo</v>
      </c>
      <c r="F80" t="str">
        <v>33</v>
      </c>
      <c r="G80" t="str">
        <v>2025-09-08</v>
      </c>
      <c r="H80" t="str">
        <v>0</v>
      </c>
      <c r="I80" t="str">
        <v>Abierto</v>
      </c>
      <c r="J80" t="str">
        <v>1.85800</v>
      </c>
      <c r="K80" t="str">
        <v>1.85682</v>
      </c>
      <c r="L80" t="str">
        <v>null</v>
      </c>
      <c r="M80" t="str">
        <v>null</v>
      </c>
      <c r="N80" t="str">
        <v>1.86300</v>
      </c>
      <c r="O80" t="str">
        <v>null</v>
      </c>
      <c r="P80" t="str">
        <v>7000.000</v>
      </c>
      <c r="Q80" t="str">
        <v>6753.000</v>
      </c>
      <c r="R80" t="str">
        <v>0.000</v>
      </c>
      <c r="S80" t="str">
        <v>222.000</v>
      </c>
      <c r="T80" t="str">
        <v>222.000</v>
      </c>
      <c r="U80" t="str">
        <v>13521.000</v>
      </c>
      <c r="V80" t="str">
        <v>24005.298</v>
      </c>
      <c r="W80" t="str">
        <v>1.00007396449704142012</v>
      </c>
      <c r="X80" t="str">
        <v>26.3794483516483516</v>
      </c>
      <c r="Y80" t="str">
        <v>26.3794483516483516</v>
      </c>
      <c r="Z80" t="str">
        <v>1.00007</v>
      </c>
      <c r="AA80" t="str">
        <v>910.00000</v>
      </c>
      <c r="AB80" t="str">
        <v>36843-ESPINET SOLE, JOSEP MARIA</v>
      </c>
    </row>
    <row r="81" spans="1:28" x14ac:dyDescent="0.25">
      <c r="A81" t="str">
        <v>2025-10-11</v>
      </c>
      <c r="B81" t="str">
        <v>36843-ESPINET SOLE, JOSEP MARIA-L:081-N:2-A:A13-POLLO AMARILLO MACHO</v>
      </c>
      <c r="C81" t="str">
        <v>POLLO AMARILLO MACHO</v>
      </c>
      <c r="D81" t="str">
        <v>3</v>
      </c>
      <c r="E81" t="str">
        <v>Broiler Amarillo</v>
      </c>
      <c r="F81" t="str">
        <v>33</v>
      </c>
      <c r="G81" t="str">
        <v>2025-09-08</v>
      </c>
      <c r="H81" t="str">
        <v>0</v>
      </c>
      <c r="I81" t="str">
        <v>Abierto</v>
      </c>
      <c r="J81" t="str">
        <v>1.85800</v>
      </c>
      <c r="K81" t="str">
        <v>1.85682</v>
      </c>
      <c r="L81" t="str">
        <v>null</v>
      </c>
      <c r="M81" t="str">
        <v>null</v>
      </c>
      <c r="N81" t="str">
        <v>1.86300</v>
      </c>
      <c r="O81" t="str">
        <v>null</v>
      </c>
      <c r="P81" t="str">
        <v>7500.000</v>
      </c>
      <c r="Q81" t="str">
        <v>7356.000</v>
      </c>
      <c r="R81" t="str">
        <v>0.000</v>
      </c>
      <c r="S81" t="str">
        <v>119.000</v>
      </c>
      <c r="T81" t="str">
        <v>119.000</v>
      </c>
      <c r="U81" t="str">
        <v>10723.000</v>
      </c>
      <c r="V81" t="str">
        <v>19219.631</v>
      </c>
      <c r="W81" t="str">
        <v>0.75191080569385036112</v>
      </c>
      <c r="X81" t="str">
        <v>20.0204489583333333</v>
      </c>
      <c r="Y81" t="str">
        <v>20.0204489583333333</v>
      </c>
      <c r="Z81" t="str">
        <v>0.75191</v>
      </c>
      <c r="AA81" t="str">
        <v>960.00000</v>
      </c>
      <c r="AB81" t="str">
        <v>36843-ESPINET SOLE, JOSEP MARIA</v>
      </c>
    </row>
    <row r="82" spans="1:28" x14ac:dyDescent="0.25">
      <c r="A82" t="str">
        <v>2025-10-11</v>
      </c>
      <c r="B82" t="str">
        <v>36843-ESPINET SOLE, JOSEP MARIA-L:081-N:3-A:A13-POLLO AMARILLO MACHO</v>
      </c>
      <c r="C82" t="str">
        <v>POLLO AMARILLO MACHO</v>
      </c>
      <c r="D82" t="str">
        <v>3</v>
      </c>
      <c r="E82" t="str">
        <v>Broiler Amarillo</v>
      </c>
      <c r="F82" t="str">
        <v>33</v>
      </c>
      <c r="G82" t="str">
        <v>2025-09-08</v>
      </c>
      <c r="H82" t="str">
        <v>0</v>
      </c>
      <c r="I82" t="str">
        <v>Abierto</v>
      </c>
      <c r="J82" t="str">
        <v>1.85800</v>
      </c>
      <c r="K82" t="str">
        <v>1.85682</v>
      </c>
      <c r="L82" t="str">
        <v>null</v>
      </c>
      <c r="M82" t="str">
        <v>null</v>
      </c>
      <c r="N82" t="str">
        <v>1.86300</v>
      </c>
      <c r="O82" t="str">
        <v>null</v>
      </c>
      <c r="P82" t="str">
        <v>7000.000</v>
      </c>
      <c r="Q82" t="str">
        <v>6893.000</v>
      </c>
      <c r="R82" t="str">
        <v>0.000</v>
      </c>
      <c r="S82" t="str">
        <v>87.000</v>
      </c>
      <c r="T82" t="str">
        <v>87.000</v>
      </c>
      <c r="U82" t="str">
        <v>13796.000</v>
      </c>
      <c r="V82" t="str">
        <v>24355.913</v>
      </c>
      <c r="W82" t="str">
        <v>1.02048968118943708854</v>
      </c>
      <c r="X82" t="str">
        <v>26.7647395604395604</v>
      </c>
      <c r="Y82" t="str">
        <v>26.7647395604395604</v>
      </c>
      <c r="Z82" t="str">
        <v>1.02049</v>
      </c>
      <c r="AA82" t="str">
        <v>910.00000</v>
      </c>
      <c r="AB82" t="str">
        <v>36843-ESPINET SOLE, JOSEP MARIA</v>
      </c>
    </row>
    <row r="83" spans="1:28" x14ac:dyDescent="0.25">
      <c r="A83" t="str">
        <v>2025-10-11</v>
      </c>
      <c r="B83" t="str">
        <v>36843-ESPINET SOLE, JOSEP MARIA-L:081-N:4-A:A13-POLLO AMARILLO MACHO</v>
      </c>
      <c r="C83" t="str">
        <v>POLLO AMARILLO MACHO</v>
      </c>
      <c r="D83" t="str">
        <v>3</v>
      </c>
      <c r="E83" t="str">
        <v>Broiler Amarillo</v>
      </c>
      <c r="F83" t="str">
        <v>33</v>
      </c>
      <c r="G83" t="str">
        <v>2025-09-08</v>
      </c>
      <c r="H83" t="str">
        <v>0</v>
      </c>
      <c r="I83" t="str">
        <v>Abierto</v>
      </c>
      <c r="J83" t="str">
        <v>1.85800</v>
      </c>
      <c r="K83" t="str">
        <v>1.85682</v>
      </c>
      <c r="L83" t="str">
        <v>null</v>
      </c>
      <c r="M83" t="str">
        <v>null</v>
      </c>
      <c r="N83" t="str">
        <v>1.86300</v>
      </c>
      <c r="O83" t="str">
        <v>null</v>
      </c>
      <c r="P83" t="str">
        <v>7500.000</v>
      </c>
      <c r="Q83" t="str">
        <v>7229.000</v>
      </c>
      <c r="R83" t="str">
        <v>0.000</v>
      </c>
      <c r="S83" t="str">
        <v>256.000</v>
      </c>
      <c r="T83" t="str">
        <v>256.000</v>
      </c>
      <c r="U83" t="str">
        <v>10403.000</v>
      </c>
      <c r="V83" t="str">
        <v>18665.408</v>
      </c>
      <c r="W83" t="str">
        <v>0.72494773519163763066</v>
      </c>
      <c r="X83" t="str">
        <v>19.3223685300207039</v>
      </c>
      <c r="Y83" t="str">
        <v>19.3223685300207039</v>
      </c>
      <c r="Z83" t="str">
        <v>0.72495</v>
      </c>
      <c r="AA83" t="str">
        <v>966.00000</v>
      </c>
      <c r="AB83" t="str">
        <v>36843-ESPINET SOLE, JOSEP MARIA</v>
      </c>
    </row>
    <row r="84" spans="1:28" x14ac:dyDescent="0.25">
      <c r="A84" t="str">
        <v>2025-10-11</v>
      </c>
      <c r="B84" t="str">
        <v>36029-CAMÍ DE FLIX - MATEU JOVE LLUIS-2-L:029-N:1-A:A14-POLLO AMARILLO HEMBRAS</v>
      </c>
      <c r="C84" t="str">
        <v>POLLO AMARILLO HEMBRAS</v>
      </c>
      <c r="D84" t="str">
        <v>3</v>
      </c>
      <c r="E84" t="str">
        <v>Broiler Amarillo</v>
      </c>
      <c r="F84" t="str">
        <v>32</v>
      </c>
      <c r="G84" t="str">
        <v>2025-09-09</v>
      </c>
      <c r="H84" t="str">
        <v>0</v>
      </c>
      <c r="I84" t="str">
        <v>Abierto</v>
      </c>
      <c r="J84" t="str">
        <v>1.82700</v>
      </c>
      <c r="K84" t="str">
        <v>1.85281</v>
      </c>
      <c r="L84" t="str">
        <v>null</v>
      </c>
      <c r="M84" t="str">
        <v>null</v>
      </c>
      <c r="N84" t="str">
        <v>1.57600</v>
      </c>
      <c r="O84" t="str">
        <v>null</v>
      </c>
      <c r="P84" t="str">
        <v>8800.000</v>
      </c>
      <c r="Q84" t="str">
        <v>8608.000</v>
      </c>
      <c r="R84" t="str">
        <v>0.000</v>
      </c>
      <c r="S84" t="str">
        <v>186.000</v>
      </c>
      <c r="T84" t="str">
        <v>186.000</v>
      </c>
      <c r="U84" t="str">
        <v>17392.000</v>
      </c>
      <c r="V84" t="str">
        <v>33461.712</v>
      </c>
      <c r="W84" t="str">
        <v>0.96622222222222222222</v>
      </c>
      <c r="X84" t="str">
        <v>31.8682971428571429</v>
      </c>
      <c r="Y84" t="str">
        <v>31.8682971428571429</v>
      </c>
      <c r="Z84" t="str">
        <v>0.96622</v>
      </c>
      <c r="AA84" t="str">
        <v>1050.00000</v>
      </c>
      <c r="AB84" t="str">
        <v>36029-CAMÍ DE FLIX - MATEU JOVE LLUIS-2</v>
      </c>
    </row>
    <row r="85" spans="1:28" x14ac:dyDescent="0.25">
      <c r="A85" t="str">
        <v>2025-10-11</v>
      </c>
      <c r="B85" t="str">
        <v>36786-BONFILL SABATE JOAQUIN-L:089-N:2-A:A14-POLLO AMARILLO HEMBRAS</v>
      </c>
      <c r="C85" t="str">
        <v>POLLO AMARILLO HEMBRAS</v>
      </c>
      <c r="D85" t="str">
        <v>3</v>
      </c>
      <c r="E85" t="str">
        <v>Broiler Amarillo</v>
      </c>
      <c r="F85" t="str">
        <v>33</v>
      </c>
      <c r="G85" t="str">
        <v>2025-09-08</v>
      </c>
      <c r="H85" t="str">
        <v>0</v>
      </c>
      <c r="I85" t="str">
        <v>Abierto</v>
      </c>
      <c r="J85" t="str">
        <v>1.74300</v>
      </c>
      <c r="K85" t="str">
        <v>1.76331</v>
      </c>
      <c r="L85" t="str">
        <v>null</v>
      </c>
      <c r="M85" t="str">
        <v>null</v>
      </c>
      <c r="N85" t="str">
        <v>1.64900</v>
      </c>
      <c r="O85" t="str">
        <v>null</v>
      </c>
      <c r="P85" t="str">
        <v>21000.000</v>
      </c>
      <c r="Q85" t="str">
        <v>20831.000</v>
      </c>
      <c r="R85" t="str">
        <v>0.000</v>
      </c>
      <c r="S85" t="str">
        <v>169.000</v>
      </c>
      <c r="T85" t="str">
        <v>169.000</v>
      </c>
      <c r="U85" t="str">
        <v>41724.000</v>
      </c>
      <c r="V85" t="str">
        <v>76485.672</v>
      </c>
      <c r="W85" t="str">
        <v>3.3114285714285714</v>
      </c>
      <c r="X85" t="str">
        <v>95.1314328358208955</v>
      </c>
      <c r="Y85" t="str">
        <v>95.1314328358208955</v>
      </c>
      <c r="Z85" t="str">
        <v>3.31143</v>
      </c>
      <c r="AA85" t="str">
        <v>804.00000</v>
      </c>
      <c r="AB85" t="str">
        <v>36786-BONFILL SABATE JOAQUIN</v>
      </c>
    </row>
    <row r="86" spans="1:28" x14ac:dyDescent="0.25">
      <c r="A86" t="str">
        <v>2025-10-11</v>
      </c>
      <c r="B86" t="str">
        <v>36786-BONFILL SABATE JOAQUIN-L:089-N:1-A:A14-POLLO AMARILLO HEMBRAS</v>
      </c>
      <c r="C86" t="str">
        <v>POLLO AMARILLO HEMBRAS</v>
      </c>
      <c r="D86" t="str">
        <v>3</v>
      </c>
      <c r="E86" t="str">
        <v>Broiler Amarillo</v>
      </c>
      <c r="F86" t="str">
        <v>33</v>
      </c>
      <c r="G86" t="str">
        <v>2025-09-08</v>
      </c>
      <c r="H86" t="str">
        <v>0</v>
      </c>
      <c r="I86" t="str">
        <v>Abierto</v>
      </c>
      <c r="J86" t="str">
        <v>1.73300</v>
      </c>
      <c r="K86" t="str">
        <v>1.75114</v>
      </c>
      <c r="L86" t="str">
        <v>null</v>
      </c>
      <c r="M86" t="str">
        <v>null</v>
      </c>
      <c r="N86" t="str">
        <v>1.64900</v>
      </c>
      <c r="O86" t="str">
        <v>null</v>
      </c>
      <c r="P86" t="str">
        <v>6500.000</v>
      </c>
      <c r="Q86" t="str">
        <v>6293.000</v>
      </c>
      <c r="R86" t="str">
        <v>0.000</v>
      </c>
      <c r="S86" t="str">
        <v>207.000</v>
      </c>
      <c r="T86" t="str">
        <v>207.000</v>
      </c>
      <c r="U86" t="str">
        <v>12556.000</v>
      </c>
      <c r="V86" t="str">
        <v>22855.573</v>
      </c>
      <c r="W86" t="str">
        <v>0.29683215130023640662</v>
      </c>
      <c r="X86" t="str">
        <v>8.4650270370370370</v>
      </c>
      <c r="Y86" t="str">
        <v>8.4650270370370370</v>
      </c>
      <c r="Z86" t="str">
        <v>0.29683</v>
      </c>
      <c r="AA86" t="str">
        <v>2700.00000</v>
      </c>
      <c r="AB86" t="str">
        <v>36786-BONFILL SABATE JOAQUIN</v>
      </c>
    </row>
    <row r="87" spans="1:28" x14ac:dyDescent="0.25">
      <c r="A87" t="str">
        <v>2025-10-11</v>
      </c>
      <c r="B87" t="str">
        <v>36015-GJA BAIGET - MATEU JOVE, LLUIS-1-L:030-N:1-A:A14-POLLO AMARILLO HEMBRAS</v>
      </c>
      <c r="C87" t="str">
        <v>POLLO AMARILLO HEMBRAS</v>
      </c>
      <c r="D87" t="str">
        <v>3</v>
      </c>
      <c r="E87" t="str">
        <v>Broiler Amarillo</v>
      </c>
      <c r="F87" t="str">
        <v>32</v>
      </c>
      <c r="G87" t="str">
        <v>2025-09-09</v>
      </c>
      <c r="H87" t="str">
        <v>0</v>
      </c>
      <c r="I87" t="str">
        <v>Abierto</v>
      </c>
      <c r="J87" t="str">
        <v>1.71203</v>
      </c>
      <c r="K87" t="str">
        <v>1.71873</v>
      </c>
      <c r="L87" t="str">
        <v>null</v>
      </c>
      <c r="M87" t="str">
        <v>null</v>
      </c>
      <c r="N87" t="str">
        <v>1.57600</v>
      </c>
      <c r="O87" t="str">
        <v>null</v>
      </c>
      <c r="P87" t="str">
        <v>11700.000</v>
      </c>
      <c r="Q87" t="str">
        <v>5495.000</v>
      </c>
      <c r="R87" t="str">
        <v>-5867.000</v>
      </c>
      <c r="S87" t="str">
        <v>337.000</v>
      </c>
      <c r="T87" t="str">
        <v>341.000</v>
      </c>
      <c r="U87" t="str">
        <v>14965.000</v>
      </c>
      <c r="V87" t="str">
        <v>28519.107</v>
      </c>
      <c r="W87" t="str">
        <v>0.59860000000000000000</v>
      </c>
      <c r="X87" t="str">
        <v>20.3707907142857143</v>
      </c>
      <c r="Y87" t="str">
        <v>20.3707907142857143</v>
      </c>
      <c r="Z87" t="str">
        <v>0.59860</v>
      </c>
      <c r="AA87" t="str">
        <v>1400.00000</v>
      </c>
      <c r="AB87" t="str">
        <v>36015-GJA BAIGET - MATEU JOVE, LLUIS-1</v>
      </c>
    </row>
    <row r="88" spans="1:28" x14ac:dyDescent="0.25">
      <c r="A88" t="str">
        <v>2025-10-11</v>
      </c>
      <c r="B88" t="str">
        <v>36843-ESPINET SOLE, JOSEP MARIA-L:081-N:1-A:A14-POLLO AMARILLO HEMBRAS</v>
      </c>
      <c r="C88" t="str">
        <v>POLLO AMARILLO HEMBRAS</v>
      </c>
      <c r="D88" t="str">
        <v>3</v>
      </c>
      <c r="E88" t="str">
        <v>Broiler Amarillo</v>
      </c>
      <c r="F88" t="str">
        <v>33</v>
      </c>
      <c r="G88" t="str">
        <v>2025-09-08</v>
      </c>
      <c r="H88" t="str">
        <v>0</v>
      </c>
      <c r="I88" t="str">
        <v>Abierto</v>
      </c>
      <c r="J88" t="str">
        <v>1.69300</v>
      </c>
      <c r="K88" t="str">
        <v>1.70251</v>
      </c>
      <c r="L88" t="str">
        <v>null</v>
      </c>
      <c r="M88" t="str">
        <v>null</v>
      </c>
      <c r="N88" t="str">
        <v>1.64900</v>
      </c>
      <c r="O88" t="str">
        <v>null</v>
      </c>
      <c r="P88" t="str">
        <v>7000.000</v>
      </c>
      <c r="Q88" t="str">
        <v>6768.000</v>
      </c>
      <c r="R88" t="str">
        <v>0.000</v>
      </c>
      <c r="S88" t="str">
        <v>222.000</v>
      </c>
      <c r="T88" t="str">
        <v>222.000</v>
      </c>
      <c r="U88" t="str">
        <v>13521.000</v>
      </c>
      <c r="V88" t="str">
        <v>24005.298</v>
      </c>
      <c r="W88" t="str">
        <v>1.00007396449704142012</v>
      </c>
      <c r="X88" t="str">
        <v>26.3794483516483516</v>
      </c>
      <c r="Y88" t="str">
        <v>26.3794483516483516</v>
      </c>
      <c r="Z88" t="str">
        <v>1.00007</v>
      </c>
      <c r="AA88" t="str">
        <v>910.00000</v>
      </c>
      <c r="AB88" t="str">
        <v>36843-ESPINET SOLE, JOSEP MARIA</v>
      </c>
    </row>
    <row r="89" spans="1:28" x14ac:dyDescent="0.25">
      <c r="A89" t="str">
        <v>2025-10-11</v>
      </c>
      <c r="B89" t="str">
        <v>36843-ESPINET SOLE, JOSEP MARIA-L:081-N:3-A:A14-POLLO AMARILLO HEMBRAS</v>
      </c>
      <c r="C89" t="str">
        <v>POLLO AMARILLO HEMBRAS</v>
      </c>
      <c r="D89" t="str">
        <v>3</v>
      </c>
      <c r="E89" t="str">
        <v>Broiler Amarillo</v>
      </c>
      <c r="F89" t="str">
        <v>33</v>
      </c>
      <c r="G89" t="str">
        <v>2025-09-08</v>
      </c>
      <c r="H89" t="str">
        <v>0</v>
      </c>
      <c r="I89" t="str">
        <v>Abierto</v>
      </c>
      <c r="J89" t="str">
        <v>1.67300</v>
      </c>
      <c r="K89" t="str">
        <v>1.67818</v>
      </c>
      <c r="L89" t="str">
        <v>null</v>
      </c>
      <c r="M89" t="str">
        <v>null</v>
      </c>
      <c r="N89" t="str">
        <v>1.64900</v>
      </c>
      <c r="O89" t="str">
        <v>null</v>
      </c>
      <c r="P89" t="str">
        <v>7000.000</v>
      </c>
      <c r="Q89" t="str">
        <v>6903.000</v>
      </c>
      <c r="R89" t="str">
        <v>0.000</v>
      </c>
      <c r="S89" t="str">
        <v>87.000</v>
      </c>
      <c r="T89" t="str">
        <v>87.000</v>
      </c>
      <c r="U89" t="str">
        <v>13796.000</v>
      </c>
      <c r="V89" t="str">
        <v>24355.913</v>
      </c>
      <c r="W89" t="str">
        <v>1.02048968118943708854</v>
      </c>
      <c r="X89" t="str">
        <v>26.7647395604395604</v>
      </c>
      <c r="Y89" t="str">
        <v>26.7647395604395604</v>
      </c>
      <c r="Z89" t="str">
        <v>1.02049</v>
      </c>
      <c r="AA89" t="str">
        <v>910.00000</v>
      </c>
      <c r="AB89" t="str">
        <v>36843-ESPINET SOLE, JOSEP MARIA</v>
      </c>
    </row>
    <row r="90" spans="1:28" x14ac:dyDescent="0.25">
      <c r="A90" t="str">
        <v>2025-10-11</v>
      </c>
      <c r="B90" t="str">
        <v>36990-SOLER SURIOL SCP-2-L:034-N:2-A:A13-POLLO AMARILLO MACHO</v>
      </c>
      <c r="C90" t="str">
        <v>POLLO AMARILLO MACHO</v>
      </c>
      <c r="D90" t="str">
        <v>3</v>
      </c>
      <c r="E90" t="str">
        <v>Broiler Amarillo</v>
      </c>
      <c r="F90" t="str">
        <v>29</v>
      </c>
      <c r="G90" t="str">
        <v>2025-09-12</v>
      </c>
      <c r="H90" t="str">
        <v>0</v>
      </c>
      <c r="I90" t="str">
        <v>Abierto</v>
      </c>
      <c r="J90" t="str">
        <v>1.65600</v>
      </c>
      <c r="K90" t="str">
        <v>1.68696</v>
      </c>
      <c r="L90" t="str">
        <v>null</v>
      </c>
      <c r="M90" t="str">
        <v>null</v>
      </c>
      <c r="N90" t="str">
        <v>1.50500</v>
      </c>
      <c r="O90" t="str">
        <v>null</v>
      </c>
      <c r="P90" t="str">
        <v>13400.000</v>
      </c>
      <c r="Q90" t="str">
        <v>12940.000</v>
      </c>
      <c r="R90" t="str">
        <v>0.000</v>
      </c>
      <c r="S90" t="str">
        <v>428.000</v>
      </c>
      <c r="T90" t="str">
        <v>428.000</v>
      </c>
      <c r="U90" t="str">
        <v>25799.000</v>
      </c>
      <c r="V90" t="str">
        <v>39495.535</v>
      </c>
      <c r="W90" t="str">
        <v>0.88808950086058519793</v>
      </c>
      <c r="X90" t="str">
        <v>26.8677108843537415</v>
      </c>
      <c r="Y90" t="str">
        <v>26.8677108843537415</v>
      </c>
      <c r="Z90" t="str">
        <v>0.88809</v>
      </c>
      <c r="AA90" t="str">
        <v>1470.00000</v>
      </c>
      <c r="AB90" t="str">
        <v>36990-SOLER SURIOL SCP-2</v>
      </c>
    </row>
    <row r="91" spans="1:28" x14ac:dyDescent="0.25">
      <c r="A91" t="str">
        <v>2025-10-11</v>
      </c>
      <c r="B91" t="str">
        <v>36843-ESPINET SOLE, JOSEP MARIA-L:081-N:4-A:A14-POLLO AMARILLO HEMBRAS</v>
      </c>
      <c r="C91" t="str">
        <v>POLLO AMARILLO HEMBRAS</v>
      </c>
      <c r="D91" t="str">
        <v>3</v>
      </c>
      <c r="E91" t="str">
        <v>Broiler Amarillo</v>
      </c>
      <c r="F91" t="str">
        <v>33</v>
      </c>
      <c r="G91" t="str">
        <v>2025-09-08</v>
      </c>
      <c r="H91" t="str">
        <v>0</v>
      </c>
      <c r="I91" t="str">
        <v>Abierto</v>
      </c>
      <c r="J91" t="str">
        <v>1.64900</v>
      </c>
      <c r="K91" t="str">
        <v>1.64900</v>
      </c>
      <c r="L91" t="str">
        <v>1.64900</v>
      </c>
      <c r="M91" t="str">
        <v>null</v>
      </c>
      <c r="N91" t="str">
        <v>1.64900</v>
      </c>
      <c r="O91" t="str">
        <v>null</v>
      </c>
      <c r="P91" t="str">
        <v>7500.000</v>
      </c>
      <c r="Q91" t="str">
        <v>3174.000</v>
      </c>
      <c r="R91" t="str">
        <v>-4050.000</v>
      </c>
      <c r="S91" t="str">
        <v>256.000</v>
      </c>
      <c r="T91" t="str">
        <v>256.000</v>
      </c>
      <c r="U91" t="str">
        <v>10403.000</v>
      </c>
      <c r="V91" t="str">
        <v>18665.408</v>
      </c>
      <c r="W91" t="str">
        <v>0.72494773519163763066</v>
      </c>
      <c r="X91" t="str">
        <v>19.3223685300207039</v>
      </c>
      <c r="Y91" t="str">
        <v>19.3223685300207039</v>
      </c>
      <c r="Z91" t="str">
        <v>0.72495</v>
      </c>
      <c r="AA91" t="str">
        <v>966.00000</v>
      </c>
      <c r="AB91" t="str">
        <v>36843-ESPINET SOLE, JOSEP MARIA</v>
      </c>
    </row>
    <row r="92" spans="1:28" x14ac:dyDescent="0.25">
      <c r="A92" t="str">
        <v>2025-10-11</v>
      </c>
      <c r="B92" t="str">
        <v>36843-ESPINET SOLE, JOSEP MARIA-L:081-N:2-A:A14-POLLO AMARILLO HEMBRAS</v>
      </c>
      <c r="C92" t="str">
        <v>POLLO AMARILLO HEMBRAS</v>
      </c>
      <c r="D92" t="str">
        <v>3</v>
      </c>
      <c r="E92" t="str">
        <v>Broiler Amarillo</v>
      </c>
      <c r="F92" t="str">
        <v>33</v>
      </c>
      <c r="G92" t="str">
        <v>2025-09-08</v>
      </c>
      <c r="H92" t="str">
        <v>0</v>
      </c>
      <c r="I92" t="str">
        <v>Abierto</v>
      </c>
      <c r="J92" t="str">
        <v>1.64900</v>
      </c>
      <c r="K92" t="str">
        <v>1.64900</v>
      </c>
      <c r="L92" t="str">
        <v>1.64900</v>
      </c>
      <c r="M92" t="str">
        <v>null</v>
      </c>
      <c r="N92" t="str">
        <v>1.64900</v>
      </c>
      <c r="O92" t="str">
        <v>null</v>
      </c>
      <c r="P92" t="str">
        <v>7500.000</v>
      </c>
      <c r="Q92" t="str">
        <v>3367.000</v>
      </c>
      <c r="R92" t="str">
        <v>-4050.000</v>
      </c>
      <c r="S92" t="str">
        <v>68.000</v>
      </c>
      <c r="T92" t="str">
        <v>68.000</v>
      </c>
      <c r="U92" t="str">
        <v>10723.000</v>
      </c>
      <c r="V92" t="str">
        <v>19219.631</v>
      </c>
      <c r="W92" t="str">
        <v>0.75191080569385036112</v>
      </c>
      <c r="X92" t="str">
        <v>20.0204489583333333</v>
      </c>
      <c r="Y92" t="str">
        <v>20.0204489583333333</v>
      </c>
      <c r="Z92" t="str">
        <v>0.75191</v>
      </c>
      <c r="AA92" t="str">
        <v>960.00000</v>
      </c>
      <c r="AB92" t="str">
        <v>36843-ESPINET SOLE, JOSEP MARIA</v>
      </c>
    </row>
    <row r="93" spans="1:28" x14ac:dyDescent="0.25">
      <c r="A93" t="str">
        <v>2025-10-11</v>
      </c>
      <c r="B93" t="str">
        <v>36990-SOLER SURIOL SCP-2-L:034-N:3-A:A13-POLLO AMARILLO MACHO</v>
      </c>
      <c r="C93" t="str">
        <v>POLLO AMARILLO MACHO</v>
      </c>
      <c r="D93" t="str">
        <v>3</v>
      </c>
      <c r="E93" t="str">
        <v>Broiler Amarillo</v>
      </c>
      <c r="F93" t="str">
        <v>29</v>
      </c>
      <c r="G93" t="str">
        <v>2025-09-12</v>
      </c>
      <c r="H93" t="str">
        <v>0</v>
      </c>
      <c r="I93" t="str">
        <v>Abierto</v>
      </c>
      <c r="J93" t="str">
        <v>1.63600</v>
      </c>
      <c r="K93" t="str">
        <v>1.66285</v>
      </c>
      <c r="L93" t="str">
        <v>null</v>
      </c>
      <c r="M93" t="str">
        <v>null</v>
      </c>
      <c r="N93" t="str">
        <v>1.50500</v>
      </c>
      <c r="O93" t="str">
        <v>null</v>
      </c>
      <c r="P93" t="str">
        <v>13300.000</v>
      </c>
      <c r="Q93" t="str">
        <v>12958.000</v>
      </c>
      <c r="R93" t="str">
        <v>0.000</v>
      </c>
      <c r="S93" t="str">
        <v>326.000</v>
      </c>
      <c r="T93" t="str">
        <v>326.000</v>
      </c>
      <c r="U93" t="str">
        <v>26009.000</v>
      </c>
      <c r="V93" t="str">
        <v>40841.043</v>
      </c>
      <c r="W93" t="str">
        <v>0.89531841652323580034</v>
      </c>
      <c r="X93" t="str">
        <v>27.7830224489795918</v>
      </c>
      <c r="Y93" t="str">
        <v>27.7830224489795918</v>
      </c>
      <c r="Z93" t="str">
        <v>0.89532</v>
      </c>
      <c r="AA93" t="str">
        <v>1470.00000</v>
      </c>
      <c r="AB93" t="str">
        <v>36990-SOLER SURIOL SCP-2</v>
      </c>
    </row>
    <row r="94" spans="1:28" x14ac:dyDescent="0.25">
      <c r="A94" t="str">
        <v>2025-10-11</v>
      </c>
      <c r="B94" t="str">
        <v>36990-SOLER SURIOL SCP-2-L:034-N:1-A:A13-POLLO AMARILLO MACHO</v>
      </c>
      <c r="C94" t="str">
        <v>POLLO AMARILLO MACHO</v>
      </c>
      <c r="D94" t="str">
        <v>3</v>
      </c>
      <c r="E94" t="str">
        <v>Broiler Amarillo</v>
      </c>
      <c r="F94" t="str">
        <v>29</v>
      </c>
      <c r="G94" t="str">
        <v>2025-09-12</v>
      </c>
      <c r="H94" t="str">
        <v>0</v>
      </c>
      <c r="I94" t="str">
        <v>Abierto</v>
      </c>
      <c r="J94" t="str">
        <v>1.55600</v>
      </c>
      <c r="K94" t="str">
        <v>1.56645</v>
      </c>
      <c r="L94" t="str">
        <v>null</v>
      </c>
      <c r="M94" t="str">
        <v>null</v>
      </c>
      <c r="N94" t="str">
        <v>1.50500</v>
      </c>
      <c r="O94" t="str">
        <v>null</v>
      </c>
      <c r="P94" t="str">
        <v>6700.000</v>
      </c>
      <c r="Q94" t="str">
        <v>6479.000</v>
      </c>
      <c r="R94" t="str">
        <v>0.000</v>
      </c>
      <c r="S94" t="str">
        <v>205.000</v>
      </c>
      <c r="T94" t="str">
        <v>205.000</v>
      </c>
      <c r="U94" t="str">
        <v>12966.000</v>
      </c>
      <c r="V94" t="str">
        <v>19455.039</v>
      </c>
      <c r="W94" t="str">
        <v>0.93684971098265895954</v>
      </c>
      <c r="X94" t="str">
        <v>27.7929128571428571</v>
      </c>
      <c r="Y94" t="str">
        <v>27.7929128571428571</v>
      </c>
      <c r="Z94" t="str">
        <v>0.93685</v>
      </c>
      <c r="AA94" t="str">
        <v>700.00000</v>
      </c>
      <c r="AB94" t="str">
        <v>36990-SOLER SURIOL SCP-2</v>
      </c>
    </row>
    <row r="95" spans="1:28" x14ac:dyDescent="0.25">
      <c r="A95" t="str">
        <v>2025-10-11</v>
      </c>
      <c r="B95" t="str">
        <v>36967-BLAI PONS COLL (Culleré)-L:037-N:3-A:A13-POLLO AMARILLO MACHO</v>
      </c>
      <c r="C95" t="str">
        <v>POLLO AMARILLO MACHO</v>
      </c>
      <c r="D95" t="str">
        <v>3</v>
      </c>
      <c r="E95" t="str">
        <v>Broiler Amarillo</v>
      </c>
      <c r="F95" t="str">
        <v>29</v>
      </c>
      <c r="G95" t="str">
        <v>2025-09-12</v>
      </c>
      <c r="H95" t="str">
        <v>0</v>
      </c>
      <c r="I95" t="str">
        <v>Abierto</v>
      </c>
      <c r="J95" t="str">
        <v>1.55500</v>
      </c>
      <c r="K95" t="str">
        <v>1.80600</v>
      </c>
      <c r="L95" t="str">
        <v>null</v>
      </c>
      <c r="M95" t="str">
        <v>null</v>
      </c>
      <c r="N95" t="str">
        <v>1.50500</v>
      </c>
      <c r="O95" t="str">
        <v>null</v>
      </c>
      <c r="P95" t="str">
        <v>15400.000</v>
      </c>
      <c r="Q95" t="str">
        <v>15039.000</v>
      </c>
      <c r="R95" t="str">
        <v>0.000</v>
      </c>
      <c r="S95" t="str">
        <v>301.000</v>
      </c>
      <c r="T95" t="str">
        <v>301.000</v>
      </c>
      <c r="U95" t="str">
        <v>30143.000</v>
      </c>
      <c r="V95" t="str">
        <v>43866.669</v>
      </c>
      <c r="W95" t="str">
        <v>0.94196875000000000000</v>
      </c>
      <c r="X95" t="str">
        <v>24.3703716666666667</v>
      </c>
      <c r="Y95" t="str">
        <v>24.3703716666666667</v>
      </c>
      <c r="Z95" t="str">
        <v>0.94197</v>
      </c>
      <c r="AA95" t="str">
        <v>1800.00000</v>
      </c>
      <c r="AB95" t="str">
        <v>36967-BLAI PONS COLL (Culleré)</v>
      </c>
    </row>
    <row r="96" spans="1:28" x14ac:dyDescent="0.25">
      <c r="A96" t="str">
        <v>2025-10-11</v>
      </c>
      <c r="B96" t="str">
        <v>36967-BLAI PONS COLL (Culleré)-L:037-N:2-A:A15-POLLO AMARILLO MIXTO</v>
      </c>
      <c r="C96" t="str">
        <v>POLLO AMARILLO MIXTO</v>
      </c>
      <c r="D96" t="str">
        <v>3</v>
      </c>
      <c r="E96" t="str">
        <v>Broiler Amarillo</v>
      </c>
      <c r="F96" t="str">
        <v>29</v>
      </c>
      <c r="G96" t="str">
        <v>2025-09-12</v>
      </c>
      <c r="H96" t="str">
        <v>0</v>
      </c>
      <c r="I96" t="str">
        <v>Abierto</v>
      </c>
      <c r="J96" t="str">
        <v>1.51500</v>
      </c>
      <c r="K96" t="str">
        <v>1.98750</v>
      </c>
      <c r="L96" t="str">
        <v>null</v>
      </c>
      <c r="M96" t="str">
        <v>null</v>
      </c>
      <c r="N96" t="str">
        <v>1.43100</v>
      </c>
      <c r="O96" t="str">
        <v>null</v>
      </c>
      <c r="P96" t="str">
        <v>22000.000</v>
      </c>
      <c r="Q96" t="str">
        <v>21236.000</v>
      </c>
      <c r="R96" t="str">
        <v>0.000</v>
      </c>
      <c r="S96" t="str">
        <v>701.000</v>
      </c>
      <c r="T96" t="str">
        <v>701.000</v>
      </c>
      <c r="U96" t="str">
        <v>21236.000</v>
      </c>
      <c r="V96" t="str">
        <v>32172.540</v>
      </c>
      <c r="W96" t="str">
        <v>1.06180000000000000000</v>
      </c>
      <c r="X96" t="str">
        <v>26.8104500000000000</v>
      </c>
      <c r="Y96" t="str">
        <v>26.8104500000000000</v>
      </c>
      <c r="Z96" t="str">
        <v>1.06180</v>
      </c>
      <c r="AA96" t="str">
        <v>1200.00000</v>
      </c>
      <c r="AB96" t="str">
        <v>36967-BLAI PONS COLL (Culleré)</v>
      </c>
    </row>
    <row r="97" spans="1:28" x14ac:dyDescent="0.25">
      <c r="A97" t="str">
        <v>2025-10-11</v>
      </c>
      <c r="B97" t="str">
        <v>36967-BLAI PONS COLL (Culleré)-L:037-N:1-A:A15-POLLO AMARILLO MIXTO</v>
      </c>
      <c r="C97" t="str">
        <v>POLLO AMARILLO MIXTO</v>
      </c>
      <c r="D97" t="str">
        <v>3</v>
      </c>
      <c r="E97" t="str">
        <v>Broiler Amarillo</v>
      </c>
      <c r="F97" t="str">
        <v>29</v>
      </c>
      <c r="G97" t="str">
        <v>2025-09-12</v>
      </c>
      <c r="H97" t="str">
        <v>0</v>
      </c>
      <c r="I97" t="str">
        <v>Abierto</v>
      </c>
      <c r="J97" t="str">
        <v>1.51500</v>
      </c>
      <c r="K97" t="str">
        <v>1.98750</v>
      </c>
      <c r="L97" t="str">
        <v>null</v>
      </c>
      <c r="M97" t="str">
        <v>null</v>
      </c>
      <c r="N97" t="str">
        <v>1.43100</v>
      </c>
      <c r="O97" t="str">
        <v>null</v>
      </c>
      <c r="P97" t="str">
        <v>22000.000</v>
      </c>
      <c r="Q97" t="str">
        <v>21912.000</v>
      </c>
      <c r="R97" t="str">
        <v>0.000</v>
      </c>
      <c r="S97" t="str">
        <v>25.000</v>
      </c>
      <c r="T97" t="str">
        <v>25.000</v>
      </c>
      <c r="U97" t="str">
        <v>21912.000</v>
      </c>
      <c r="V97" t="str">
        <v>33196.680</v>
      </c>
      <c r="W97" t="str">
        <v>1.09560000000000000000</v>
      </c>
      <c r="X97" t="str">
        <v>27.6639000000000000</v>
      </c>
      <c r="Y97" t="str">
        <v>27.6639000000000000</v>
      </c>
      <c r="Z97" t="str">
        <v>1.09560</v>
      </c>
      <c r="AA97" t="str">
        <v>1200.00000</v>
      </c>
      <c r="AB97" t="str">
        <v>36967-BLAI PONS COLL (Culleré)</v>
      </c>
    </row>
    <row r="98" spans="1:28" x14ac:dyDescent="0.25">
      <c r="A98" t="str">
        <v>2025-10-11</v>
      </c>
      <c r="B98" t="str">
        <v>36990-SOLER SURIOL SCP-2-L:034-N:3-A:A14-POLLO AMARILLO HEMBRAS</v>
      </c>
      <c r="C98" t="str">
        <v>POLLO AMARILLO HEMBRAS</v>
      </c>
      <c r="D98" t="str">
        <v>3</v>
      </c>
      <c r="E98" t="str">
        <v>Broiler Amarillo</v>
      </c>
      <c r="F98" t="str">
        <v>29</v>
      </c>
      <c r="G98" t="str">
        <v>2025-09-12</v>
      </c>
      <c r="H98" t="str">
        <v>0</v>
      </c>
      <c r="I98" t="str">
        <v>Abierto</v>
      </c>
      <c r="J98" t="str">
        <v>1.50500</v>
      </c>
      <c r="K98" t="str">
        <v>1.53307</v>
      </c>
      <c r="L98" t="str">
        <v>null</v>
      </c>
      <c r="M98" t="str">
        <v>null</v>
      </c>
      <c r="N98" t="str">
        <v>1.35600</v>
      </c>
      <c r="O98" t="str">
        <v>null</v>
      </c>
      <c r="P98" t="str">
        <v>13400.000</v>
      </c>
      <c r="Q98" t="str">
        <v>13051.000</v>
      </c>
      <c r="R98" t="str">
        <v>0.000</v>
      </c>
      <c r="S98" t="str">
        <v>341.000</v>
      </c>
      <c r="T98" t="str">
        <v>341.000</v>
      </c>
      <c r="U98" t="str">
        <v>26009.000</v>
      </c>
      <c r="V98" t="str">
        <v>40841.043</v>
      </c>
      <c r="W98" t="str">
        <v>0.89531841652323580034</v>
      </c>
      <c r="X98" t="str">
        <v>27.7830224489795918</v>
      </c>
      <c r="Y98" t="str">
        <v>27.7830224489795918</v>
      </c>
      <c r="Z98" t="str">
        <v>0.89532</v>
      </c>
      <c r="AA98" t="str">
        <v>1470.00000</v>
      </c>
      <c r="AB98" t="str">
        <v>36990-SOLER SURIOL SCP-2</v>
      </c>
    </row>
    <row r="99" spans="1:28" x14ac:dyDescent="0.25">
      <c r="A99" t="str">
        <v>2025-10-11</v>
      </c>
      <c r="B99" t="str">
        <v>36990-SOLER SURIOL SCP-2-L:034-N:1-A:A14-POLLO AMARILLO HEMBRAS</v>
      </c>
      <c r="C99" t="str">
        <v>POLLO AMARILLO HEMBRAS</v>
      </c>
      <c r="D99" t="str">
        <v>3</v>
      </c>
      <c r="E99" t="str">
        <v>Broiler Amarillo</v>
      </c>
      <c r="F99" t="str">
        <v>29</v>
      </c>
      <c r="G99" t="str">
        <v>2025-09-12</v>
      </c>
      <c r="H99" t="str">
        <v>0</v>
      </c>
      <c r="I99" t="str">
        <v>Abierto</v>
      </c>
      <c r="J99" t="str">
        <v>1.44500</v>
      </c>
      <c r="K99" t="str">
        <v>1.46178</v>
      </c>
      <c r="L99" t="str">
        <v>null</v>
      </c>
      <c r="M99" t="str">
        <v>null</v>
      </c>
      <c r="N99" t="str">
        <v>1.35600</v>
      </c>
      <c r="O99" t="str">
        <v>null</v>
      </c>
      <c r="P99" t="str">
        <v>6700.000</v>
      </c>
      <c r="Q99" t="str">
        <v>6487.000</v>
      </c>
      <c r="R99" t="str">
        <v>0.000</v>
      </c>
      <c r="S99" t="str">
        <v>205.000</v>
      </c>
      <c r="T99" t="str">
        <v>205.000</v>
      </c>
      <c r="U99" t="str">
        <v>12966.000</v>
      </c>
      <c r="V99" t="str">
        <v>19455.039</v>
      </c>
      <c r="W99" t="str">
        <v>0.93684971098265895954</v>
      </c>
      <c r="X99" t="str">
        <v>27.7929128571428571</v>
      </c>
      <c r="Y99" t="str">
        <v>27.7929128571428571</v>
      </c>
      <c r="Z99" t="str">
        <v>0.93685</v>
      </c>
      <c r="AA99" t="str">
        <v>700.00000</v>
      </c>
      <c r="AB99" t="str">
        <v>36990-SOLER SURIOL SCP-2</v>
      </c>
    </row>
    <row r="100" spans="1:28" x14ac:dyDescent="0.25">
      <c r="A100" t="str">
        <v>2025-10-11</v>
      </c>
      <c r="B100" t="str">
        <v>36990-SOLER SURIOL SCP-2-L:034-N:2-A:A14-POLLO AMARILLO HEMBRAS</v>
      </c>
      <c r="C100" t="str">
        <v>POLLO AMARILLO HEMBRAS</v>
      </c>
      <c r="D100" t="str">
        <v>3</v>
      </c>
      <c r="E100" t="str">
        <v>Broiler Amarillo</v>
      </c>
      <c r="F100" t="str">
        <v>29</v>
      </c>
      <c r="G100" t="str">
        <v>2025-09-12</v>
      </c>
      <c r="H100" t="str">
        <v>0</v>
      </c>
      <c r="I100" t="str">
        <v>Abierto</v>
      </c>
      <c r="J100" t="str">
        <v>1.40500</v>
      </c>
      <c r="K100" t="str">
        <v>1.41423</v>
      </c>
      <c r="L100" t="str">
        <v>null</v>
      </c>
      <c r="M100" t="str">
        <v>null</v>
      </c>
      <c r="N100" t="str">
        <v>1.35600</v>
      </c>
      <c r="O100" t="str">
        <v>null</v>
      </c>
      <c r="P100" t="str">
        <v>13300.000</v>
      </c>
      <c r="Q100" t="str">
        <v>12859.000</v>
      </c>
      <c r="R100" t="str">
        <v>0.000</v>
      </c>
      <c r="S100" t="str">
        <v>425.000</v>
      </c>
      <c r="T100" t="str">
        <v>425.000</v>
      </c>
      <c r="U100" t="str">
        <v>25799.000</v>
      </c>
      <c r="V100" t="str">
        <v>39495.535</v>
      </c>
      <c r="W100" t="str">
        <v>0.88808950086058519793</v>
      </c>
      <c r="X100" t="str">
        <v>26.8677108843537415</v>
      </c>
      <c r="Y100" t="str">
        <v>26.8677108843537415</v>
      </c>
      <c r="Z100" t="str">
        <v>0.88809</v>
      </c>
      <c r="AA100" t="str">
        <v>1470.00000</v>
      </c>
      <c r="AB100" t="str">
        <v>36990-SOLER SURIOL SCP-2</v>
      </c>
    </row>
    <row r="101" spans="1:28" x14ac:dyDescent="0.25">
      <c r="A101" t="str">
        <v>2025-10-11</v>
      </c>
      <c r="B101" t="str">
        <v>36736-RIBELLES SEGURA SCP-L:117-N:2-A:A13-POLLO AMARILLO MACHO</v>
      </c>
      <c r="C101" t="str">
        <v>POLLO AMARILLO MACHO</v>
      </c>
      <c r="D101" t="str">
        <v>3</v>
      </c>
      <c r="E101" t="str">
        <v>Broiler Amarillo</v>
      </c>
      <c r="F101" t="str">
        <v>25</v>
      </c>
      <c r="G101" t="str">
        <v>2025-09-16</v>
      </c>
      <c r="H101" t="str">
        <v>0</v>
      </c>
      <c r="I101" t="str">
        <v>Abierto</v>
      </c>
      <c r="J101" t="str">
        <v>1.38400</v>
      </c>
      <c r="K101" t="str">
        <v>1.43843</v>
      </c>
      <c r="L101" t="str">
        <v>null</v>
      </c>
      <c r="M101" t="str">
        <v>null</v>
      </c>
      <c r="N101" t="str">
        <v>1.16700</v>
      </c>
      <c r="O101" t="str">
        <v>null</v>
      </c>
      <c r="P101" t="str">
        <v>10500.000</v>
      </c>
      <c r="Q101" t="str">
        <v>10169.000</v>
      </c>
      <c r="R101" t="str">
        <v>0.000</v>
      </c>
      <c r="S101" t="str">
        <v>319.000</v>
      </c>
      <c r="T101" t="str">
        <v>319.000</v>
      </c>
      <c r="U101" t="str">
        <v>20239.000</v>
      </c>
      <c r="V101" t="str">
        <v>26188.106</v>
      </c>
      <c r="W101" t="str">
        <v>0.89951111111111111111</v>
      </c>
      <c r="X101" t="str">
        <v>20.7020600790513834</v>
      </c>
      <c r="Y101" t="str">
        <v>20.7020600790513834</v>
      </c>
      <c r="Z101" t="str">
        <v>0.89951</v>
      </c>
      <c r="AA101" t="str">
        <v>1265.00000</v>
      </c>
      <c r="AB101" t="str">
        <v>36736-RIBELLES SEGURA SCP</v>
      </c>
    </row>
    <row r="102" spans="1:28" x14ac:dyDescent="0.25">
      <c r="A102" t="str">
        <v>2025-10-11</v>
      </c>
      <c r="B102" t="str">
        <v>36967-BLAI PONS COLL (Culleré)-L:037-N:3-A:A14-POLLO AMARILLO HEMBRAS</v>
      </c>
      <c r="C102" t="str">
        <v>POLLO AMARILLO HEMBRAS</v>
      </c>
      <c r="D102" t="str">
        <v>3</v>
      </c>
      <c r="E102" t="str">
        <v>Broiler Amarillo</v>
      </c>
      <c r="F102" t="str">
        <v>29</v>
      </c>
      <c r="G102" t="str">
        <v>2025-09-12</v>
      </c>
      <c r="H102" t="str">
        <v>0</v>
      </c>
      <c r="I102" t="str">
        <v>Abierto</v>
      </c>
      <c r="J102" t="str">
        <v>1.35600</v>
      </c>
      <c r="K102" t="str">
        <v>1.35600</v>
      </c>
      <c r="L102" t="str">
        <v>null</v>
      </c>
      <c r="M102" t="str">
        <v>null</v>
      </c>
      <c r="N102" t="str">
        <v>1.35600</v>
      </c>
      <c r="O102" t="str">
        <v>null</v>
      </c>
      <c r="P102" t="str">
        <v>15400.000</v>
      </c>
      <c r="Q102" t="str">
        <v>15104.000</v>
      </c>
      <c r="R102" t="str">
        <v>0.000</v>
      </c>
      <c r="S102" t="str">
        <v>296.000</v>
      </c>
      <c r="T102" t="str">
        <v>296.000</v>
      </c>
      <c r="U102" t="str">
        <v>30143.000</v>
      </c>
      <c r="V102" t="str">
        <v>43866.669</v>
      </c>
      <c r="W102" t="str">
        <v>0.94196875000000000000</v>
      </c>
      <c r="X102" t="str">
        <v>24.3703716666666667</v>
      </c>
      <c r="Y102" t="str">
        <v>24.3703716666666667</v>
      </c>
      <c r="Z102" t="str">
        <v>0.94197</v>
      </c>
      <c r="AA102" t="str">
        <v>1800.00000</v>
      </c>
      <c r="AB102" t="str">
        <v>36967-BLAI PONS COLL (Culleré)</v>
      </c>
    </row>
    <row r="103" spans="1:28" x14ac:dyDescent="0.25">
      <c r="A103" t="str">
        <v>2025-10-11</v>
      </c>
      <c r="B103" t="str">
        <v>36016-SANFELIU IBAÑEZ EUGENI-L:030-N:2-A:A15-POLLO AMARILLO MIXTO</v>
      </c>
      <c r="C103" t="str">
        <v>POLLO AMARILLO MIXTO</v>
      </c>
      <c r="D103" t="str">
        <v>3</v>
      </c>
      <c r="E103" t="str">
        <v>Broiler Amarillo</v>
      </c>
      <c r="F103" t="str">
        <v>26</v>
      </c>
      <c r="G103" t="str">
        <v>2025-09-15</v>
      </c>
      <c r="H103" t="str">
        <v>0</v>
      </c>
      <c r="I103" t="str">
        <v>Abierto</v>
      </c>
      <c r="J103" t="str">
        <v>1.34400</v>
      </c>
      <c r="K103" t="str">
        <v>1.39262</v>
      </c>
      <c r="L103" t="str">
        <v>null</v>
      </c>
      <c r="M103" t="str">
        <v>null</v>
      </c>
      <c r="N103" t="str">
        <v>1.19500</v>
      </c>
      <c r="O103" t="str">
        <v>null</v>
      </c>
      <c r="P103" t="str">
        <v>30000.000</v>
      </c>
      <c r="Q103" t="str">
        <v>29062.000</v>
      </c>
      <c r="R103" t="str">
        <v>0.000</v>
      </c>
      <c r="S103" t="str">
        <v>923.000</v>
      </c>
      <c r="T103" t="str">
        <v>923.000</v>
      </c>
      <c r="U103" t="str">
        <v>29062.000</v>
      </c>
      <c r="V103" t="str">
        <v>39059.328</v>
      </c>
      <c r="W103" t="str">
        <v>1.05680000000000000000</v>
      </c>
      <c r="X103" t="str">
        <v>24.4120800000000000</v>
      </c>
      <c r="Y103" t="str">
        <v>24.4120800000000000</v>
      </c>
      <c r="Z103" t="str">
        <v>1.05680</v>
      </c>
      <c r="AA103" t="str">
        <v>1600.00000</v>
      </c>
      <c r="AB103" t="str">
        <v>36016-SANFELIU IBAÑEZ EUGENI</v>
      </c>
    </row>
    <row r="104" spans="1:28" x14ac:dyDescent="0.25">
      <c r="A104" t="str">
        <v>2025-10-11</v>
      </c>
      <c r="B104" t="str">
        <v>36387-AGROPECUARIA SAUS-L:090-N:3-A:A13-POLLO AMARILLO MACHO</v>
      </c>
      <c r="C104" t="str">
        <v>POLLO AMARILLO MACHO</v>
      </c>
      <c r="D104" t="str">
        <v>3</v>
      </c>
      <c r="E104" t="str">
        <v>Broiler Amarillo</v>
      </c>
      <c r="F104" t="str">
        <v>26</v>
      </c>
      <c r="G104" t="str">
        <v>2025-09-15</v>
      </c>
      <c r="H104" t="str">
        <v>0</v>
      </c>
      <c r="I104" t="str">
        <v>Abierto</v>
      </c>
      <c r="J104" t="str">
        <v>1.34000</v>
      </c>
      <c r="K104" t="str">
        <v>1.36166</v>
      </c>
      <c r="L104" t="str">
        <v>null</v>
      </c>
      <c r="M104" t="str">
        <v>null</v>
      </c>
      <c r="N104" t="str">
        <v>1.24900</v>
      </c>
      <c r="O104" t="str">
        <v>null</v>
      </c>
      <c r="P104" t="str">
        <v>9100.000</v>
      </c>
      <c r="Q104" t="str">
        <v>8895.000</v>
      </c>
      <c r="R104" t="str">
        <v>0.000</v>
      </c>
      <c r="S104" t="str">
        <v>200.000</v>
      </c>
      <c r="T104" t="str">
        <v>276.000</v>
      </c>
      <c r="U104" t="str">
        <v>17776.000</v>
      </c>
      <c r="V104" t="str">
        <v>22629.786</v>
      </c>
      <c r="W104" t="str">
        <v>0.96661228928765633496</v>
      </c>
      <c r="X104" t="str">
        <v>17.9601476190476190</v>
      </c>
      <c r="Y104" t="str">
        <v>17.9601476190476190</v>
      </c>
      <c r="Z104" t="str">
        <v>0.96661</v>
      </c>
      <c r="AA104" t="str">
        <v>1260.00000</v>
      </c>
      <c r="AB104" t="str">
        <v>36387-AGROPECUARIA SAUS</v>
      </c>
    </row>
    <row r="105" spans="1:28" x14ac:dyDescent="0.25">
      <c r="A105" t="str">
        <v>2025-10-11</v>
      </c>
      <c r="B105" t="str">
        <v>36387-AGROPECUARIA SAUS-L:090-N:4-A:A13-POLLO AMARILLO MACHO</v>
      </c>
      <c r="C105" t="str">
        <v>POLLO AMARILLO MACHO</v>
      </c>
      <c r="D105" t="str">
        <v>3</v>
      </c>
      <c r="E105" t="str">
        <v>Broiler Amarillo</v>
      </c>
      <c r="F105" t="str">
        <v>26</v>
      </c>
      <c r="G105" t="str">
        <v>2025-09-15</v>
      </c>
      <c r="H105" t="str">
        <v>0</v>
      </c>
      <c r="I105" t="str">
        <v>Abierto</v>
      </c>
      <c r="J105" t="str">
        <v>1.34000</v>
      </c>
      <c r="K105" t="str">
        <v>1.36166</v>
      </c>
      <c r="L105" t="str">
        <v>null</v>
      </c>
      <c r="M105" t="str">
        <v>null</v>
      </c>
      <c r="N105" t="str">
        <v>1.24900</v>
      </c>
      <c r="O105" t="str">
        <v>null</v>
      </c>
      <c r="P105" t="str">
        <v>9200.000</v>
      </c>
      <c r="Q105" t="str">
        <v>9042.000</v>
      </c>
      <c r="R105" t="str">
        <v>0.000</v>
      </c>
      <c r="S105" t="str">
        <v>150.000</v>
      </c>
      <c r="T105" t="str">
        <v>280.000</v>
      </c>
      <c r="U105" t="str">
        <v>17929.000</v>
      </c>
      <c r="V105" t="str">
        <v>22834.002</v>
      </c>
      <c r="W105" t="str">
        <v>0.97493202827623708537</v>
      </c>
      <c r="X105" t="str">
        <v>18.1222238095238095</v>
      </c>
      <c r="Y105" t="str">
        <v>18.1222238095238095</v>
      </c>
      <c r="Z105" t="str">
        <v>0.97493</v>
      </c>
      <c r="AA105" t="str">
        <v>1260.00000</v>
      </c>
      <c r="AB105" t="str">
        <v>36387-AGROPECUARIA SAUS</v>
      </c>
    </row>
    <row r="106" spans="1:28" x14ac:dyDescent="0.25">
      <c r="A106" t="str">
        <v>2025-10-11</v>
      </c>
      <c r="B106" t="str">
        <v>36736-RIBELLES SEGURA SCP-L:117-N:1-A:A13-POLLO AMARILLO MACHO</v>
      </c>
      <c r="C106" t="str">
        <v>POLLO AMARILLO MACHO</v>
      </c>
      <c r="D106" t="str">
        <v>3</v>
      </c>
      <c r="E106" t="str">
        <v>Broiler Amarillo</v>
      </c>
      <c r="F106" t="str">
        <v>25</v>
      </c>
      <c r="G106" t="str">
        <v>2025-09-16</v>
      </c>
      <c r="H106" t="str">
        <v>0</v>
      </c>
      <c r="I106" t="str">
        <v>Abierto</v>
      </c>
      <c r="J106" t="str">
        <v>1.33400</v>
      </c>
      <c r="K106" t="str">
        <v>1.37588</v>
      </c>
      <c r="L106" t="str">
        <v>null</v>
      </c>
      <c r="M106" t="str">
        <v>null</v>
      </c>
      <c r="N106" t="str">
        <v>1.16700</v>
      </c>
      <c r="O106" t="str">
        <v>null</v>
      </c>
      <c r="P106" t="str">
        <v>8300.000</v>
      </c>
      <c r="Q106" t="str">
        <v>8034.000</v>
      </c>
      <c r="R106" t="str">
        <v>0.000</v>
      </c>
      <c r="S106" t="str">
        <v>254.000</v>
      </c>
      <c r="T106" t="str">
        <v>254.000</v>
      </c>
      <c r="U106" t="str">
        <v>20247.000</v>
      </c>
      <c r="V106" t="str">
        <v>25409.595</v>
      </c>
      <c r="W106" t="str">
        <v>0.89986666666666666667</v>
      </c>
      <c r="X106" t="str">
        <v>20.0866363636363636</v>
      </c>
      <c r="Y106" t="str">
        <v>20.0866363636363636</v>
      </c>
      <c r="Z106" t="str">
        <v>0.89987</v>
      </c>
      <c r="AA106" t="str">
        <v>1265.00000</v>
      </c>
      <c r="AB106" t="str">
        <v>36736-RIBELLES SEGURA SCP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C521-3A74-4627-A20E-7BE4D77B4CF5}">
  <sheetPr codeName="Hoja4"/>
  <dimension ref="A1:AB106"/>
  <sheetViews>
    <sheetView workbookViewId="0">
      <selection activeCell="A7" sqref="A7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1.7109375" bestFit="1" customWidth="1"/>
    <col min="12" max="12" width="15.42578125" customWidth="1"/>
    <col min="13" max="13" width="33.5703125" bestFit="1" customWidth="1"/>
  </cols>
  <sheetData>
    <row r="1" spans="1:28" ht="30.75" thickBot="1" x14ac:dyDescent="0.3">
      <c r="A1" s="21"/>
      <c r="B1" s="22" t="s">
        <v>64</v>
      </c>
      <c r="C1" s="22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22" t="s">
        <v>71</v>
      </c>
      <c r="J1" s="22" t="s">
        <v>72</v>
      </c>
      <c r="K1" s="22" t="s">
        <v>62</v>
      </c>
      <c r="L1" s="22" t="s">
        <v>5</v>
      </c>
    </row>
    <row r="2" spans="1:28" ht="15.75" thickTop="1" x14ac:dyDescent="0.25">
      <c r="A2" s="23" t="s">
        <v>73</v>
      </c>
      <c r="B2" s="24" t="s">
        <v>74</v>
      </c>
      <c r="C2" s="24" t="s">
        <v>1</v>
      </c>
      <c r="D2" s="25"/>
      <c r="E2" s="25">
        <v>45931</v>
      </c>
      <c r="F2" s="25">
        <v>45941</v>
      </c>
      <c r="G2" s="24"/>
      <c r="H2" s="24"/>
      <c r="I2" s="24"/>
      <c r="J2" s="24"/>
      <c r="K2" s="24"/>
      <c r="L2" s="24" t="s">
        <v>45</v>
      </c>
    </row>
    <row r="5" spans="1:28" x14ac:dyDescent="0.25">
      <c r="A5" t="str" cm="1">
        <f t="array" ref="A5:AB106">GetSetEntradaAvi(A2,B2,C2,E2,F2)</f>
        <v>fecha_stock</v>
      </c>
      <c r="B5" t="str">
        <v>granja_lote_nave_art</v>
      </c>
      <c r="C5" t="str">
        <v>articulo</v>
      </c>
      <c r="D5" t="str">
        <v>gst_codave</v>
      </c>
      <c r="E5" t="str">
        <v>producto_venta</v>
      </c>
      <c r="F5" t="str">
        <v>dias_vida</v>
      </c>
      <c r="G5" t="str">
        <v>fecha_entrada</v>
      </c>
      <c r="H5" t="str">
        <v>cantidad_entrada</v>
      </c>
      <c r="I5" t="str">
        <v>estado</v>
      </c>
      <c r="J5" t="str">
        <v>peso_real</v>
      </c>
      <c r="K5" t="str">
        <v>peso_real_rev</v>
      </c>
      <c r="L5" t="str">
        <v>peso_matadero</v>
      </c>
      <c r="M5" t="str">
        <v>peso_granja</v>
      </c>
      <c r="N5" t="str">
        <v>peso_teorico</v>
      </c>
      <c r="O5" t="str">
        <v>peso_avicontrol</v>
      </c>
      <c r="P5" t="str">
        <v>cantidad_entrada</v>
      </c>
      <c r="Q5" t="str">
        <v>stock_inicial</v>
      </c>
      <c r="R5" t="str">
        <v>ventas_acumuladas</v>
      </c>
      <c r="S5" t="str">
        <v>bajas_acumuladas</v>
      </c>
      <c r="T5" t="str">
        <v>bajas_teoricas</v>
      </c>
      <c r="U5" t="str">
        <v>stock_nave</v>
      </c>
      <c r="V5" t="str">
        <v>kilos_nave</v>
      </c>
      <c r="W5" t="str">
        <v>capacidad_nave</v>
      </c>
      <c r="X5" t="str">
        <v>densidad_nave</v>
      </c>
      <c r="Y5" t="str">
        <v>kgm2_nave</v>
      </c>
      <c r="Z5" t="str">
        <v>capacidad_nave</v>
      </c>
      <c r="AA5" t="str">
        <v>m2_nave</v>
      </c>
      <c r="AB5" t="str">
        <v>granja</v>
      </c>
    </row>
    <row r="6" spans="1:28" x14ac:dyDescent="0.25">
      <c r="A6" t="str">
        <v>2025-10-16</v>
      </c>
      <c r="B6" t="str">
        <v>20399T-GRANJA TONIC-L:39-N:1-A:3001-POLLO AMARILLO MACHO</v>
      </c>
      <c r="C6" t="str">
        <v>POLLO AMARILLO MACHO</v>
      </c>
      <c r="D6" t="str">
        <v>5</v>
      </c>
      <c r="E6" t="str">
        <v>Broiler Amarillo</v>
      </c>
      <c r="F6" t="str">
        <v>51</v>
      </c>
      <c r="G6" t="str">
        <v>2025-08-26</v>
      </c>
      <c r="H6" t="str">
        <v>0</v>
      </c>
      <c r="I6" t="str">
        <v>Pre-Finalizado</v>
      </c>
      <c r="J6" t="str">
        <v>4.12103</v>
      </c>
      <c r="K6" t="str">
        <v>4.19291</v>
      </c>
      <c r="L6" t="str">
        <v>null</v>
      </c>
      <c r="M6" t="str">
        <v>null</v>
      </c>
      <c r="N6" t="str">
        <v>3.83400</v>
      </c>
      <c r="O6" t="str">
        <v>null</v>
      </c>
      <c r="P6" t="str">
        <v>14600.000</v>
      </c>
      <c r="Q6" t="str">
        <v>-5806.000</v>
      </c>
      <c r="R6" t="str">
        <v>-19940.000</v>
      </c>
      <c r="S6" t="str">
        <v>466.000</v>
      </c>
      <c r="T6" t="str">
        <v>466.000</v>
      </c>
      <c r="U6" t="str">
        <v>-4632.000</v>
      </c>
      <c r="V6" t="str">
        <v>-20023.690</v>
      </c>
      <c r="W6" t="str">
        <v>-1</v>
      </c>
      <c r="X6" t="str">
        <v>-12.4525435323383085</v>
      </c>
      <c r="Y6" t="str">
        <v>-12.4525435323383085</v>
      </c>
      <c r="Z6" t="str">
        <v>0.00000</v>
      </c>
      <c r="AA6" t="str">
        <v>1608.00000</v>
      </c>
      <c r="AB6" t="str">
        <v>20399T-GRANJA TONIC</v>
      </c>
    </row>
    <row r="7" spans="1:28" x14ac:dyDescent="0.25">
      <c r="A7" t="str">
        <v>2025-10-16</v>
      </c>
      <c r="B7" t="str">
        <v>20388T-GRANJA CAMAR-L:38-N:2-A:3001-POLLO AMARILLO MACHO</v>
      </c>
      <c r="C7" t="str">
        <v>POLLO AMARILLO MACHO</v>
      </c>
      <c r="D7" t="str">
        <v>5</v>
      </c>
      <c r="E7" t="str">
        <v>Broiler Amarillo</v>
      </c>
      <c r="F7" t="str">
        <v>52</v>
      </c>
      <c r="G7" t="str">
        <v>2025-08-25</v>
      </c>
      <c r="H7" t="str">
        <v>0</v>
      </c>
      <c r="I7" t="str">
        <v>Pre-Finalizado</v>
      </c>
      <c r="J7" t="str">
        <v>4.07691</v>
      </c>
      <c r="K7" t="str">
        <v>4.11921</v>
      </c>
      <c r="L7" t="str">
        <v>null</v>
      </c>
      <c r="M7" t="str">
        <v>null</v>
      </c>
      <c r="N7" t="str">
        <v>3.92600</v>
      </c>
      <c r="O7" t="str">
        <v>null</v>
      </c>
      <c r="P7" t="str">
        <v>16000.000</v>
      </c>
      <c r="Q7" t="str">
        <v>-13156.000</v>
      </c>
      <c r="R7" t="str">
        <v>-28632.000</v>
      </c>
      <c r="S7" t="str">
        <v>524.000</v>
      </c>
      <c r="T7" t="str">
        <v>524.000</v>
      </c>
      <c r="U7" t="str">
        <v>-9939.000</v>
      </c>
      <c r="V7" t="str">
        <v>-42703.593</v>
      </c>
      <c r="W7" t="str">
        <v>-0.30118181818181818182</v>
      </c>
      <c r="X7" t="str">
        <v>-22.0690403100775194</v>
      </c>
      <c r="Y7" t="str">
        <v>-22.0690403100775194</v>
      </c>
      <c r="Z7" t="str">
        <v>-0.30118</v>
      </c>
      <c r="AA7" t="str">
        <v>1935.00000</v>
      </c>
      <c r="AB7" t="str">
        <v>20388T-GRANJA CAMAR</v>
      </c>
    </row>
    <row r="8" spans="1:28" x14ac:dyDescent="0.25">
      <c r="A8" t="str">
        <v>2025-10-16</v>
      </c>
      <c r="B8" t="str">
        <v>20260T-DUARRI-MANONELLES SCP naus 1,2,3,4-L:38-N:1-A:3001-POLLO AMARILLO MACHO</v>
      </c>
      <c r="C8" t="str">
        <v>POLLO AMARILLO MACHO</v>
      </c>
      <c r="D8" t="str">
        <v>5</v>
      </c>
      <c r="E8" t="str">
        <v>Broiler Amarillo</v>
      </c>
      <c r="F8" t="str">
        <v>48</v>
      </c>
      <c r="G8" t="str">
        <v>2025-08-29</v>
      </c>
      <c r="H8" t="str">
        <v>0</v>
      </c>
      <c r="I8" t="str">
        <v>Pre-Finalizado</v>
      </c>
      <c r="J8" t="str">
        <v>4.04626</v>
      </c>
      <c r="K8" t="str">
        <v>4.09019</v>
      </c>
      <c r="L8" t="str">
        <v>null</v>
      </c>
      <c r="M8" t="str">
        <v>null</v>
      </c>
      <c r="N8" t="str">
        <v>3.55200</v>
      </c>
      <c r="O8" t="str">
        <v>null</v>
      </c>
      <c r="P8" t="str">
        <v>9000.000</v>
      </c>
      <c r="Q8" t="str">
        <v>120.000</v>
      </c>
      <c r="R8" t="str">
        <v>-8593.000</v>
      </c>
      <c r="S8" t="str">
        <v>287.000</v>
      </c>
      <c r="T8" t="str">
        <v>287.000</v>
      </c>
      <c r="U8" t="str">
        <v>363.000</v>
      </c>
      <c r="V8" t="str">
        <v>1246.646</v>
      </c>
      <c r="W8" t="str">
        <v>0.02268750000000000000</v>
      </c>
      <c r="X8" t="str">
        <v>1.0493653198653199</v>
      </c>
      <c r="Y8" t="str">
        <v>1.0493653198653199</v>
      </c>
      <c r="Z8" t="str">
        <v>0.02269</v>
      </c>
      <c r="AA8" t="str">
        <v>1188.00000</v>
      </c>
      <c r="AB8" t="str">
        <v>20260T-DUARRI-MANONELLES SCP naus 1,2,3,4</v>
      </c>
    </row>
    <row r="9" spans="1:28" x14ac:dyDescent="0.25">
      <c r="A9" t="str">
        <v>2025-10-16</v>
      </c>
      <c r="B9" t="str">
        <v>20358T-CA L.IGNASI-L:38-N:2-A:3001-POLLO AMARILLO MACHO</v>
      </c>
      <c r="C9" t="str">
        <v>POLLO AMARILLO MACHO</v>
      </c>
      <c r="D9" t="str">
        <v>5</v>
      </c>
      <c r="E9" t="str">
        <v>Broiler Amarillo</v>
      </c>
      <c r="F9" t="str">
        <v>51</v>
      </c>
      <c r="G9" t="str">
        <v>2025-08-26</v>
      </c>
      <c r="H9" t="str">
        <v>0</v>
      </c>
      <c r="I9" t="str">
        <v>Pre-Finalizado</v>
      </c>
      <c r="J9" t="str">
        <v>3.92142</v>
      </c>
      <c r="K9" t="str">
        <v>3.94701</v>
      </c>
      <c r="L9" t="str">
        <v>null</v>
      </c>
      <c r="M9" t="str">
        <v>null</v>
      </c>
      <c r="N9" t="str">
        <v>3.83400</v>
      </c>
      <c r="O9" t="str">
        <v>null</v>
      </c>
      <c r="P9" t="str">
        <v>17200.000</v>
      </c>
      <c r="Q9" t="str">
        <v>-4621.000</v>
      </c>
      <c r="R9" t="str">
        <v>-21269.000</v>
      </c>
      <c r="S9" t="str">
        <v>552.000</v>
      </c>
      <c r="T9" t="str">
        <v>552.000</v>
      </c>
      <c r="U9" t="str">
        <v>-6975.000</v>
      </c>
      <c r="V9" t="str">
        <v>-25763.425</v>
      </c>
      <c r="W9" t="str">
        <v>-0.18355263157894736842</v>
      </c>
      <c r="X9" t="str">
        <v>-13.1714851738241309</v>
      </c>
      <c r="Y9" t="str">
        <v>-13.1714851738241309</v>
      </c>
      <c r="Z9" t="str">
        <v>-0.18355</v>
      </c>
      <c r="AA9" t="str">
        <v>1956.00000</v>
      </c>
      <c r="AB9" t="str">
        <v>20358T-CA L.IGNASI</v>
      </c>
    </row>
    <row r="10" spans="1:28" x14ac:dyDescent="0.25">
      <c r="A10" t="str">
        <v>2025-10-16</v>
      </c>
      <c r="B10" t="str">
        <v>20416T-PUJANTELL-AVICOLA-L:31-N:1-A:3001-POLLO AMARILLO MACHO</v>
      </c>
      <c r="C10" t="str">
        <v>POLLO AMARILLO MACHO</v>
      </c>
      <c r="D10" t="str">
        <v>5</v>
      </c>
      <c r="E10" t="str">
        <v>Broiler Amarillo</v>
      </c>
      <c r="F10" t="str">
        <v>49</v>
      </c>
      <c r="G10" t="str">
        <v>2025-08-28</v>
      </c>
      <c r="H10" t="str">
        <v>0</v>
      </c>
      <c r="I10" t="str">
        <v>Pre-Finalizado</v>
      </c>
      <c r="J10" t="str">
        <v>3.89229</v>
      </c>
      <c r="K10" t="str">
        <v>3.90586</v>
      </c>
      <c r="L10" t="str">
        <v>null</v>
      </c>
      <c r="M10" t="str">
        <v>null</v>
      </c>
      <c r="N10" t="str">
        <v>3.64700</v>
      </c>
      <c r="O10" t="str">
        <v>null</v>
      </c>
      <c r="P10" t="str">
        <v>22000.000</v>
      </c>
      <c r="Q10" t="str">
        <v>385.000</v>
      </c>
      <c r="R10" t="str">
        <v>-20728.000</v>
      </c>
      <c r="S10" t="str">
        <v>719.000</v>
      </c>
      <c r="T10" t="str">
        <v>719.000</v>
      </c>
      <c r="U10" t="str">
        <v>275.000</v>
      </c>
      <c r="V10" t="str">
        <v>1164.761</v>
      </c>
      <c r="W10" t="str">
        <v>0.00639534883720930233</v>
      </c>
      <c r="X10" t="str">
        <v>0.49146033755274261603</v>
      </c>
      <c r="Y10" t="str">
        <v>0.49146033755274261603</v>
      </c>
      <c r="Z10" t="str">
        <v>0.00640</v>
      </c>
      <c r="AA10" t="str">
        <v>2370.00000</v>
      </c>
      <c r="AB10" t="str">
        <v>20416T-PUJANTELL-AVICOLA</v>
      </c>
    </row>
    <row r="11" spans="1:28" x14ac:dyDescent="0.25">
      <c r="A11" t="str">
        <v>2025-10-16</v>
      </c>
      <c r="B11" t="str">
        <v>20260T-DUARRI-MANONELLES SCP naus 1,2,3,4-L:38-N:4-A:3001-POLLO AMARILLO MACHO</v>
      </c>
      <c r="C11" t="str">
        <v>POLLO AMARILLO MACHO</v>
      </c>
      <c r="D11" t="str">
        <v>5</v>
      </c>
      <c r="E11" t="str">
        <v>Broiler Amarillo</v>
      </c>
      <c r="F11" t="str">
        <v>48</v>
      </c>
      <c r="G11" t="str">
        <v>2025-08-29</v>
      </c>
      <c r="H11" t="str">
        <v>0</v>
      </c>
      <c r="I11" t="str">
        <v>Pre-Finalizado</v>
      </c>
      <c r="J11" t="str">
        <v>3.88245</v>
      </c>
      <c r="K11" t="str">
        <v>3.90133</v>
      </c>
      <c r="L11" t="str">
        <v>null</v>
      </c>
      <c r="M11" t="str">
        <v>null</v>
      </c>
      <c r="N11" t="str">
        <v>3.55200</v>
      </c>
      <c r="O11" t="str">
        <v>null</v>
      </c>
      <c r="P11" t="str">
        <v>4700.000</v>
      </c>
      <c r="Q11" t="str">
        <v>0.000</v>
      </c>
      <c r="R11" t="str">
        <v>-4471.000</v>
      </c>
      <c r="S11" t="str">
        <v>109.000</v>
      </c>
      <c r="T11" t="str">
        <v>109.000</v>
      </c>
      <c r="U11" t="str">
        <v>0.000</v>
      </c>
      <c r="V11" t="str">
        <v>0.000</v>
      </c>
      <c r="W11" t="str">
        <v>0.00000000000000000000</v>
      </c>
      <c r="X11" t="str">
        <v>0.00000000000000000000</v>
      </c>
      <c r="Y11" t="str">
        <v>0.00000000000000000000</v>
      </c>
      <c r="Z11" t="str">
        <v>0.00000</v>
      </c>
      <c r="AA11" t="str">
        <v>407.00000</v>
      </c>
      <c r="AB11" t="str">
        <v>20260T-DUARRI-MANONELLES SCP naus 1,2,3,4</v>
      </c>
    </row>
    <row r="12" spans="1:28" x14ac:dyDescent="0.25">
      <c r="A12" t="str">
        <v>2025-10-16</v>
      </c>
      <c r="B12" t="str">
        <v>20260T-DUARRI-MANONELLES SCP naus 1,2,3,4-L:38-N:2-A:3001-POLLO AMARILLO MACHO</v>
      </c>
      <c r="C12" t="str">
        <v>POLLO AMARILLO MACHO</v>
      </c>
      <c r="D12" t="str">
        <v>5</v>
      </c>
      <c r="E12" t="str">
        <v>Broiler Amarillo</v>
      </c>
      <c r="F12" t="str">
        <v>48</v>
      </c>
      <c r="G12" t="str">
        <v>2025-08-29</v>
      </c>
      <c r="H12" t="str">
        <v>0</v>
      </c>
      <c r="I12" t="str">
        <v>Pre-Finalizado</v>
      </c>
      <c r="J12" t="str">
        <v>3.85944</v>
      </c>
      <c r="K12" t="str">
        <v>3.86798</v>
      </c>
      <c r="L12" t="str">
        <v>null</v>
      </c>
      <c r="M12" t="str">
        <v>null</v>
      </c>
      <c r="N12" t="str">
        <v>3.55200</v>
      </c>
      <c r="O12" t="str">
        <v>null</v>
      </c>
      <c r="P12" t="str">
        <v>16500.000</v>
      </c>
      <c r="Q12" t="str">
        <v>1530.000</v>
      </c>
      <c r="R12" t="str">
        <v>-14427.000</v>
      </c>
      <c r="S12" t="str">
        <v>535.000</v>
      </c>
      <c r="T12" t="str">
        <v>535.000</v>
      </c>
      <c r="U12" t="str">
        <v>727.000</v>
      </c>
      <c r="V12" t="str">
        <v>3090.243</v>
      </c>
      <c r="W12" t="str">
        <v>0.02203030303030303030</v>
      </c>
      <c r="X12" t="str">
        <v>1.5170559646539028</v>
      </c>
      <c r="Y12" t="str">
        <v>1.5170559646539028</v>
      </c>
      <c r="Z12" t="str">
        <v>0.02203</v>
      </c>
      <c r="AA12" t="str">
        <v>2037.00000</v>
      </c>
      <c r="AB12" t="str">
        <v>20260T-DUARRI-MANONELLES SCP naus 1,2,3,4</v>
      </c>
    </row>
    <row r="13" spans="1:28" x14ac:dyDescent="0.25">
      <c r="A13" t="str">
        <v>2025-10-16</v>
      </c>
      <c r="B13" t="str">
        <v>20358T-CA L.IGNASI-L:38-N:1-A:3001-POLLO AMARILLO MACHO</v>
      </c>
      <c r="C13" t="str">
        <v>POLLO AMARILLO MACHO</v>
      </c>
      <c r="D13" t="str">
        <v>5</v>
      </c>
      <c r="E13" t="str">
        <v>Broiler Amarillo</v>
      </c>
      <c r="F13" t="str">
        <v>51</v>
      </c>
      <c r="G13" t="str">
        <v>2025-08-26</v>
      </c>
      <c r="H13" t="str">
        <v>0</v>
      </c>
      <c r="I13" t="str">
        <v>Abierto</v>
      </c>
      <c r="J13" t="str">
        <v>3.66413</v>
      </c>
      <c r="K13" t="str">
        <v>3.48776</v>
      </c>
      <c r="L13" t="str">
        <v>null</v>
      </c>
      <c r="M13" t="str">
        <v>null</v>
      </c>
      <c r="N13" t="str">
        <v>3.83400</v>
      </c>
      <c r="O13" t="str">
        <v>null</v>
      </c>
      <c r="P13" t="str">
        <v>16800.000</v>
      </c>
      <c r="Q13" t="str">
        <v>-1157.000</v>
      </c>
      <c r="R13" t="str">
        <v>-17762.000</v>
      </c>
      <c r="S13" t="str">
        <v>195.000</v>
      </c>
      <c r="T13" t="str">
        <v>195.000</v>
      </c>
      <c r="U13" t="str">
        <v>4344.000</v>
      </c>
      <c r="V13" t="str">
        <v>14355.687</v>
      </c>
      <c r="W13" t="str">
        <v>0.12066666666666666667</v>
      </c>
      <c r="X13" t="str">
        <v>7.6197914012738854</v>
      </c>
      <c r="Y13" t="str">
        <v>7.6197914012738854</v>
      </c>
      <c r="Z13" t="str">
        <v>0.12067</v>
      </c>
      <c r="AA13" t="str">
        <v>1884.00000</v>
      </c>
      <c r="AB13" t="str">
        <v>20358T-CA L.IGNASI</v>
      </c>
    </row>
    <row r="14" spans="1:28" x14ac:dyDescent="0.25">
      <c r="A14" t="str">
        <v>2025-10-16</v>
      </c>
      <c r="B14" t="str">
        <v>20388T-GRANJA CAMAR-L:38-N:1-A:3001-POLLO AMARILLO MACHO</v>
      </c>
      <c r="C14" t="str">
        <v>POLLO AMARILLO MACHO</v>
      </c>
      <c r="D14" t="str">
        <v>5</v>
      </c>
      <c r="E14" t="str">
        <v>Broiler Amarillo</v>
      </c>
      <c r="F14" t="str">
        <v>52</v>
      </c>
      <c r="G14" t="str">
        <v>2025-08-25</v>
      </c>
      <c r="H14" t="str">
        <v>0</v>
      </c>
      <c r="I14" t="str">
        <v>Pre-Finalizado</v>
      </c>
      <c r="J14" t="str">
        <v>3.63802</v>
      </c>
      <c r="K14" t="str">
        <v>3.58951</v>
      </c>
      <c r="L14" t="str">
        <v>null</v>
      </c>
      <c r="M14" t="str">
        <v>null</v>
      </c>
      <c r="N14" t="str">
        <v>3.92600</v>
      </c>
      <c r="O14" t="str">
        <v>null</v>
      </c>
      <c r="P14" t="str">
        <v>15500.000</v>
      </c>
      <c r="Q14" t="str">
        <v>-11813.000</v>
      </c>
      <c r="R14" t="str">
        <v>-26825.000</v>
      </c>
      <c r="S14" t="str">
        <v>488.000</v>
      </c>
      <c r="T14" t="str">
        <v>488.000</v>
      </c>
      <c r="U14" t="str">
        <v>-23239.000</v>
      </c>
      <c r="V14" t="str">
        <v>-82672.711</v>
      </c>
      <c r="W14" t="str">
        <v>-0.72621875000000000000</v>
      </c>
      <c r="X14" t="str">
        <v>-44.9308211956521739</v>
      </c>
      <c r="Y14" t="str">
        <v>-44.9308211956521739</v>
      </c>
      <c r="Z14" t="str">
        <v>-0.72622</v>
      </c>
      <c r="AA14" t="str">
        <v>1840.00000</v>
      </c>
      <c r="AB14" t="str">
        <v>20388T-GRANJA CAMAR</v>
      </c>
    </row>
    <row r="15" spans="1:28" x14ac:dyDescent="0.25">
      <c r="A15" t="str">
        <v>2025-10-16</v>
      </c>
      <c r="B15" t="str">
        <v>20268T-CIRERA-L:37-N:3-A:3001-POLLO AMARILLO MACHO</v>
      </c>
      <c r="C15" t="str">
        <v>POLLO AMARILLO MACHO</v>
      </c>
      <c r="D15" t="str">
        <v>5</v>
      </c>
      <c r="E15" t="str">
        <v>Broiler Amarillo</v>
      </c>
      <c r="F15" t="str">
        <v>49</v>
      </c>
      <c r="G15" t="str">
        <v>2025-08-28</v>
      </c>
      <c r="H15" t="str">
        <v>0</v>
      </c>
      <c r="I15" t="str">
        <v>Pre-Finalizado</v>
      </c>
      <c r="J15" t="str">
        <v>3.61606</v>
      </c>
      <c r="K15" t="str">
        <v>3.61343</v>
      </c>
      <c r="L15" t="str">
        <v>null</v>
      </c>
      <c r="M15" t="str">
        <v>null</v>
      </c>
      <c r="N15" t="str">
        <v>3.64700</v>
      </c>
      <c r="O15" t="str">
        <v>null</v>
      </c>
      <c r="P15" t="str">
        <v>15000.000</v>
      </c>
      <c r="Q15" t="str">
        <v>-258.000</v>
      </c>
      <c r="R15" t="str">
        <v>-14450.000</v>
      </c>
      <c r="S15" t="str">
        <v>808.000</v>
      </c>
      <c r="T15" t="str">
        <v>477.000</v>
      </c>
      <c r="U15" t="str">
        <v>-825.000</v>
      </c>
      <c r="V15" t="str">
        <v>-2650.692</v>
      </c>
      <c r="W15" t="str">
        <v>-0.02844827586206896552</v>
      </c>
      <c r="X15" t="str">
        <v>-1.6241985294117647</v>
      </c>
      <c r="Y15" t="str">
        <v>-1.6241985294117647</v>
      </c>
      <c r="Z15" t="str">
        <v>-0.02845</v>
      </c>
      <c r="AA15" t="str">
        <v>1632.00000</v>
      </c>
      <c r="AB15" t="str">
        <v>20268T-CIRERA</v>
      </c>
    </row>
    <row r="16" spans="1:28" x14ac:dyDescent="0.25">
      <c r="A16" t="str">
        <v>2025-10-16</v>
      </c>
      <c r="B16" t="str">
        <v>20260T-DUARRI-MANONELLES SCP naus 1,2,3,4-L:38-N:3-A:3001-POLLO AMARILLO MACHO</v>
      </c>
      <c r="C16" t="str">
        <v>POLLO AMARILLO MACHO</v>
      </c>
      <c r="D16" t="str">
        <v>5</v>
      </c>
      <c r="E16" t="str">
        <v>Broiler Amarillo</v>
      </c>
      <c r="F16" t="str">
        <v>48</v>
      </c>
      <c r="G16" t="str">
        <v>2025-08-29</v>
      </c>
      <c r="H16" t="str">
        <v>0</v>
      </c>
      <c r="I16" t="str">
        <v>Pre-Finalizado</v>
      </c>
      <c r="J16" t="str">
        <v>3.51988</v>
      </c>
      <c r="K16" t="str">
        <v>3.51804</v>
      </c>
      <c r="L16" t="str">
        <v>null</v>
      </c>
      <c r="M16" t="str">
        <v>null</v>
      </c>
      <c r="N16" t="str">
        <v>3.55200</v>
      </c>
      <c r="O16" t="str">
        <v>null</v>
      </c>
      <c r="P16" t="str">
        <v>9800.000</v>
      </c>
      <c r="Q16" t="str">
        <v>0.000</v>
      </c>
      <c r="R16" t="str">
        <v>-9421.000</v>
      </c>
      <c r="S16" t="str">
        <v>304.000</v>
      </c>
      <c r="T16" t="str">
        <v>304.000</v>
      </c>
      <c r="U16" t="str">
        <v>431.000</v>
      </c>
      <c r="V16" t="str">
        <v>1378.709</v>
      </c>
      <c r="W16" t="str">
        <v>0.02155000000000000000</v>
      </c>
      <c r="X16" t="str">
        <v>1.1723715986394558</v>
      </c>
      <c r="Y16" t="str">
        <v>1.1723715986394558</v>
      </c>
      <c r="Z16" t="str">
        <v>0.02155</v>
      </c>
      <c r="AA16" t="str">
        <v>1176.00000</v>
      </c>
      <c r="AB16" t="str">
        <v>20260T-DUARRI-MANONELLES SCP naus 1,2,3,4</v>
      </c>
    </row>
    <row r="17" spans="1:28" x14ac:dyDescent="0.25">
      <c r="A17" t="str">
        <v>2025-10-16</v>
      </c>
      <c r="B17" t="str">
        <v>20268T-CIRERA-L:37-N:1-A:3003-POLLO AMARILLO MIXTO</v>
      </c>
      <c r="C17" t="str">
        <v>POLLO AMARILLO MIXTO</v>
      </c>
      <c r="D17" t="str">
        <v>5</v>
      </c>
      <c r="E17" t="str">
        <v>Broiler Amarillo</v>
      </c>
      <c r="F17" t="str">
        <v>49</v>
      </c>
      <c r="G17" t="str">
        <v>2025-08-28</v>
      </c>
      <c r="H17" t="str">
        <v>0</v>
      </c>
      <c r="I17" t="str">
        <v>Pre-Finalizado</v>
      </c>
      <c r="J17" t="str">
        <v>3.51455</v>
      </c>
      <c r="K17" t="str">
        <v>3.53188</v>
      </c>
      <c r="L17" t="str">
        <v>null</v>
      </c>
      <c r="M17" t="str">
        <v>null</v>
      </c>
      <c r="N17" t="str">
        <v>3.36100</v>
      </c>
      <c r="O17" t="str">
        <v>null</v>
      </c>
      <c r="P17" t="str">
        <v>27000.000</v>
      </c>
      <c r="Q17" t="str">
        <v>294.000</v>
      </c>
      <c r="R17" t="str">
        <v>-25848.000</v>
      </c>
      <c r="S17" t="str">
        <v>858.000</v>
      </c>
      <c r="T17" t="str">
        <v>858.000</v>
      </c>
      <c r="U17" t="str">
        <v>294.000</v>
      </c>
      <c r="V17" t="str">
        <v>1033.278</v>
      </c>
      <c r="W17" t="str">
        <v>0.01013793103448275862</v>
      </c>
      <c r="X17" t="str">
        <v>0.63313602941176470588</v>
      </c>
      <c r="Y17" t="str">
        <v>0.63313602941176470588</v>
      </c>
      <c r="Z17" t="str">
        <v>0.01014</v>
      </c>
      <c r="AA17" t="str">
        <v>1632.00000</v>
      </c>
      <c r="AB17" t="str">
        <v>20268T-CIRERA</v>
      </c>
    </row>
    <row r="18" spans="1:28" x14ac:dyDescent="0.25">
      <c r="A18" t="str">
        <v>2025-10-16</v>
      </c>
      <c r="B18" t="str">
        <v>20260T-DUARRI-MANONELLES SCP naus 1,2,3,4-L:38-N:2-A:3002-POLLO AMARILLO HEMBRAS</v>
      </c>
      <c r="C18" t="str">
        <v>POLLO AMARILLO HEMBRAS</v>
      </c>
      <c r="D18" t="str">
        <v>5</v>
      </c>
      <c r="E18" t="str">
        <v>Broiler Amarillo</v>
      </c>
      <c r="F18" t="str">
        <v>48</v>
      </c>
      <c r="G18" t="str">
        <v>2025-08-29</v>
      </c>
      <c r="H18" t="str">
        <v>0</v>
      </c>
      <c r="I18" t="str">
        <v>Pre-Finalizado</v>
      </c>
      <c r="J18" t="str">
        <v>3.50523</v>
      </c>
      <c r="K18" t="str">
        <v>3.54979</v>
      </c>
      <c r="L18" t="str">
        <v>null</v>
      </c>
      <c r="M18" t="str">
        <v>null</v>
      </c>
      <c r="N18" t="str">
        <v>2.95200</v>
      </c>
      <c r="O18" t="str">
        <v>null</v>
      </c>
      <c r="P18" t="str">
        <v>16200.000</v>
      </c>
      <c r="Q18" t="str">
        <v>-803.000</v>
      </c>
      <c r="R18" t="str">
        <v>-16467.000</v>
      </c>
      <c r="S18" t="str">
        <v>536.000</v>
      </c>
      <c r="T18" t="str">
        <v>536.000</v>
      </c>
      <c r="U18" t="str">
        <v>727.000</v>
      </c>
      <c r="V18" t="str">
        <v>3090.243</v>
      </c>
      <c r="W18" t="str">
        <v>0.02203030303030303030</v>
      </c>
      <c r="X18" t="str">
        <v>1.5170559646539028</v>
      </c>
      <c r="Y18" t="str">
        <v>1.5170559646539028</v>
      </c>
      <c r="Z18" t="str">
        <v>0.02203</v>
      </c>
      <c r="AA18" t="str">
        <v>2037.00000</v>
      </c>
      <c r="AB18" t="str">
        <v>20260T-DUARRI-MANONELLES SCP naus 1,2,3,4</v>
      </c>
    </row>
    <row r="19" spans="1:28" x14ac:dyDescent="0.25">
      <c r="A19" t="str">
        <v>2025-10-16</v>
      </c>
      <c r="B19" t="str">
        <v>20427T-MARIA PRAT NOGUERA-L:23-N:3-A:3002-POLLO AMARILLO HEMBRAS</v>
      </c>
      <c r="C19" t="str">
        <v>POLLO AMARILLO HEMBRAS</v>
      </c>
      <c r="D19" t="str">
        <v>5</v>
      </c>
      <c r="E19" t="str">
        <v>Broiler Amarillo</v>
      </c>
      <c r="F19" t="str">
        <v>55</v>
      </c>
      <c r="G19" t="str">
        <v>2025-08-22</v>
      </c>
      <c r="H19" t="str">
        <v>0</v>
      </c>
      <c r="I19" t="str">
        <v>Pre-Finalizado</v>
      </c>
      <c r="J19" t="str">
        <v>3.48322</v>
      </c>
      <c r="K19" t="str">
        <v>3.45074</v>
      </c>
      <c r="L19" t="str">
        <v>null</v>
      </c>
      <c r="M19" t="str">
        <v>null</v>
      </c>
      <c r="N19" t="str">
        <v>3.43500</v>
      </c>
      <c r="O19" t="str">
        <v>null</v>
      </c>
      <c r="P19" t="str">
        <v>13500.000</v>
      </c>
      <c r="Q19" t="str">
        <v>190.000</v>
      </c>
      <c r="R19" t="str">
        <v>-13109.000</v>
      </c>
      <c r="S19" t="str">
        <v>448.000</v>
      </c>
      <c r="T19" t="str">
        <v>448.000</v>
      </c>
      <c r="U19" t="str">
        <v>190.000</v>
      </c>
      <c r="V19" t="str">
        <v>661.812</v>
      </c>
      <c r="W19" t="str">
        <v>0.00703703703703703704</v>
      </c>
      <c r="X19" t="str">
        <v>0.41966518706404565631</v>
      </c>
      <c r="Y19" t="str">
        <v>0.41966518706404565631</v>
      </c>
      <c r="Z19" t="str">
        <v>-0.01126</v>
      </c>
      <c r="AA19" t="str">
        <v>1577.00000</v>
      </c>
      <c r="AB19" t="str">
        <v>20427T-MARIA PRAT NOGUERA</v>
      </c>
    </row>
    <row r="20" spans="1:28" x14ac:dyDescent="0.25">
      <c r="A20" t="str">
        <v>2025-10-16</v>
      </c>
      <c r="B20" t="str">
        <v>20388T-GRANJA CAMAR-L:38-N:1-A:3002-POLLO AMARILLO HEMBRAS</v>
      </c>
      <c r="C20" t="str">
        <v>POLLO AMARILLO HEMBRAS</v>
      </c>
      <c r="D20" t="str">
        <v>5</v>
      </c>
      <c r="E20" t="str">
        <v>Broiler Amarillo</v>
      </c>
      <c r="F20" t="str">
        <v>52</v>
      </c>
      <c r="G20" t="str">
        <v>2025-08-25</v>
      </c>
      <c r="H20" t="str">
        <v>0</v>
      </c>
      <c r="I20" t="str">
        <v>Pre-Finalizado</v>
      </c>
      <c r="J20" t="str">
        <v>3.47425</v>
      </c>
      <c r="K20" t="str">
        <v>3.51088</v>
      </c>
      <c r="L20" t="str">
        <v>null</v>
      </c>
      <c r="M20" t="str">
        <v>null</v>
      </c>
      <c r="N20" t="str">
        <v>3.23400</v>
      </c>
      <c r="O20" t="str">
        <v>null</v>
      </c>
      <c r="P20" t="str">
        <v>15500.000</v>
      </c>
      <c r="Q20" t="str">
        <v>-11426.000</v>
      </c>
      <c r="R20" t="str">
        <v>-26433.000</v>
      </c>
      <c r="S20" t="str">
        <v>493.000</v>
      </c>
      <c r="T20" t="str">
        <v>493.000</v>
      </c>
      <c r="U20" t="str">
        <v>-23239.000</v>
      </c>
      <c r="V20" t="str">
        <v>-82672.711</v>
      </c>
      <c r="W20" t="str">
        <v>-0.72621875000000000000</v>
      </c>
      <c r="X20" t="str">
        <v>-44.9308211956521739</v>
      </c>
      <c r="Y20" t="str">
        <v>-44.9308211956521739</v>
      </c>
      <c r="Z20" t="str">
        <v>-0.72622</v>
      </c>
      <c r="AA20" t="str">
        <v>1840.00000</v>
      </c>
      <c r="AB20" t="str">
        <v>20388T-GRANJA CAMAR</v>
      </c>
    </row>
    <row r="21" spans="1:28" x14ac:dyDescent="0.25">
      <c r="A21" t="str">
        <v>2025-10-16</v>
      </c>
      <c r="B21" t="str">
        <v>20388T-GRANJA CAMAR-L:38-N:2-A:3002-POLLO AMARILLO HEMBRAS</v>
      </c>
      <c r="C21" t="str">
        <v>POLLO AMARILLO HEMBRAS</v>
      </c>
      <c r="D21" t="str">
        <v>5</v>
      </c>
      <c r="E21" t="str">
        <v>Broiler Amarillo</v>
      </c>
      <c r="F21" t="str">
        <v>52</v>
      </c>
      <c r="G21" t="str">
        <v>2025-08-25</v>
      </c>
      <c r="H21" t="str">
        <v>0</v>
      </c>
      <c r="I21" t="str">
        <v>Pre-Finalizado</v>
      </c>
      <c r="J21" t="str">
        <v>3.39827</v>
      </c>
      <c r="K21" t="str">
        <v>3.42331</v>
      </c>
      <c r="L21" t="str">
        <v>null</v>
      </c>
      <c r="M21" t="str">
        <v>null</v>
      </c>
      <c r="N21" t="str">
        <v>3.23400</v>
      </c>
      <c r="O21" t="str">
        <v>null</v>
      </c>
      <c r="P21" t="str">
        <v>16000.000</v>
      </c>
      <c r="Q21" t="str">
        <v>3217.000</v>
      </c>
      <c r="R21" t="str">
        <v>-12253.000</v>
      </c>
      <c r="S21" t="str">
        <v>530.000</v>
      </c>
      <c r="T21" t="str">
        <v>530.000</v>
      </c>
      <c r="U21" t="str">
        <v>-9939.000</v>
      </c>
      <c r="V21" t="str">
        <v>-42703.593</v>
      </c>
      <c r="W21" t="str">
        <v>-0.30118181818181818182</v>
      </c>
      <c r="X21" t="str">
        <v>-22.0690403100775194</v>
      </c>
      <c r="Y21" t="str">
        <v>-22.0690403100775194</v>
      </c>
      <c r="Z21" t="str">
        <v>-0.30118</v>
      </c>
      <c r="AA21" t="str">
        <v>1935.00000</v>
      </c>
      <c r="AB21" t="str">
        <v>20388T-GRANJA CAMAR</v>
      </c>
    </row>
    <row r="22" spans="1:28" x14ac:dyDescent="0.25">
      <c r="A22" t="str">
        <v>2025-10-16</v>
      </c>
      <c r="B22" t="str">
        <v>20358T-CA L.IGNASI-L:38-N:4-A:3002-POLLO AMARILLO HEMBRAS</v>
      </c>
      <c r="C22" t="str">
        <v>POLLO AMARILLO HEMBRAS</v>
      </c>
      <c r="D22" t="str">
        <v>5</v>
      </c>
      <c r="E22" t="str">
        <v>Broiler Amarillo</v>
      </c>
      <c r="F22" t="str">
        <v>55</v>
      </c>
      <c r="G22" t="str">
        <v>2025-08-22</v>
      </c>
      <c r="H22" t="str">
        <v>0</v>
      </c>
      <c r="I22" t="str">
        <v>Pre-Finalizado</v>
      </c>
      <c r="J22" t="str">
        <v>3.39611</v>
      </c>
      <c r="K22" t="str">
        <v>3.28483</v>
      </c>
      <c r="L22" t="str">
        <v>null</v>
      </c>
      <c r="M22" t="str">
        <v>null</v>
      </c>
      <c r="N22" t="str">
        <v>3.43500</v>
      </c>
      <c r="O22" t="str">
        <v>null</v>
      </c>
      <c r="P22" t="str">
        <v>18500.000</v>
      </c>
      <c r="Q22" t="str">
        <v>-242.000</v>
      </c>
      <c r="R22" t="str">
        <v>-18154.000</v>
      </c>
      <c r="S22" t="str">
        <v>588.000</v>
      </c>
      <c r="T22" t="str">
        <v>588.000</v>
      </c>
      <c r="U22" t="str">
        <v>-242.000</v>
      </c>
      <c r="V22" t="str">
        <v>-821.859</v>
      </c>
      <c r="W22" t="str">
        <v>-0.00636842105263157895</v>
      </c>
      <c r="X22" t="str">
        <v>-0.41092950000000000000</v>
      </c>
      <c r="Y22" t="str">
        <v>-0.41092950000000000000</v>
      </c>
      <c r="Z22" t="str">
        <v>-0.00637</v>
      </c>
      <c r="AA22" t="str">
        <v>2000.00000</v>
      </c>
      <c r="AB22" t="str">
        <v>20358T-CA L.IGNASI</v>
      </c>
    </row>
    <row r="23" spans="1:28" x14ac:dyDescent="0.25">
      <c r="A23" t="str">
        <v>2025-10-16</v>
      </c>
      <c r="B23" t="str">
        <v>20358T-CA L.IGNASI-L:38-N:1-A:3002-POLLO AMARILLO HEMBRAS</v>
      </c>
      <c r="C23" t="str">
        <v>POLLO AMARILLO HEMBRAS</v>
      </c>
      <c r="D23" t="str">
        <v>5</v>
      </c>
      <c r="E23" t="str">
        <v>Broiler Amarillo</v>
      </c>
      <c r="F23" t="str">
        <v>51</v>
      </c>
      <c r="G23" t="str">
        <v>2025-08-26</v>
      </c>
      <c r="H23" t="str">
        <v>0</v>
      </c>
      <c r="I23" t="str">
        <v>Abierto</v>
      </c>
      <c r="J23" t="str">
        <v>3.38031</v>
      </c>
      <c r="K23" t="str">
        <v>3.40164</v>
      </c>
      <c r="L23" t="str">
        <v>null</v>
      </c>
      <c r="M23" t="str">
        <v>null</v>
      </c>
      <c r="N23" t="str">
        <v>3.16500</v>
      </c>
      <c r="O23" t="str">
        <v>null</v>
      </c>
      <c r="P23" t="str">
        <v>16800.000</v>
      </c>
      <c r="Q23" t="str">
        <v>5501.000</v>
      </c>
      <c r="R23" t="str">
        <v>-11016.000</v>
      </c>
      <c r="S23" t="str">
        <v>206.000</v>
      </c>
      <c r="T23" t="str">
        <v>206.000</v>
      </c>
      <c r="U23" t="str">
        <v>4344.000</v>
      </c>
      <c r="V23" t="str">
        <v>14355.687</v>
      </c>
      <c r="W23" t="str">
        <v>0.12066666666666666667</v>
      </c>
      <c r="X23" t="str">
        <v>7.6197914012738854</v>
      </c>
      <c r="Y23" t="str">
        <v>7.6197914012738854</v>
      </c>
      <c r="Z23" t="str">
        <v>0.12067</v>
      </c>
      <c r="AA23" t="str">
        <v>1884.00000</v>
      </c>
      <c r="AB23" t="str">
        <v>20358T-CA L.IGNASI</v>
      </c>
    </row>
    <row r="24" spans="1:28" x14ac:dyDescent="0.25">
      <c r="A24" t="str">
        <v>2025-10-16</v>
      </c>
      <c r="B24" t="str">
        <v>20432T-CASANOVA DEL PUIG (Cal Tiet)-L:21-N:1-A:3001-POLLO AMARILLO MACHO</v>
      </c>
      <c r="C24" t="str">
        <v>POLLO AMARILLO MACHO</v>
      </c>
      <c r="D24" t="str">
        <v>5</v>
      </c>
      <c r="E24" t="str">
        <v>Broiler Amarillo</v>
      </c>
      <c r="F24" t="str">
        <v>44</v>
      </c>
      <c r="G24" t="str">
        <v>2025-09-02</v>
      </c>
      <c r="H24" t="str">
        <v>0</v>
      </c>
      <c r="I24" t="str">
        <v>Abierto</v>
      </c>
      <c r="J24" t="str">
        <v>3.34800</v>
      </c>
      <c r="K24" t="str">
        <v>3.35388</v>
      </c>
      <c r="L24" t="str">
        <v>null</v>
      </c>
      <c r="M24" t="str">
        <v>null</v>
      </c>
      <c r="N24" t="str">
        <v>3.16400</v>
      </c>
      <c r="O24" t="str">
        <v>null</v>
      </c>
      <c r="P24" t="str">
        <v>15500.000</v>
      </c>
      <c r="Q24" t="str">
        <v>2704.000</v>
      </c>
      <c r="R24" t="str">
        <v>-12308.000</v>
      </c>
      <c r="S24" t="str">
        <v>488.000</v>
      </c>
      <c r="T24" t="str">
        <v>488.000</v>
      </c>
      <c r="U24" t="str">
        <v>18663.000</v>
      </c>
      <c r="V24" t="str">
        <v>53658.397</v>
      </c>
      <c r="W24" t="str">
        <v>0.58873817034700315457</v>
      </c>
      <c r="X24" t="str">
        <v>30.4877255681818182</v>
      </c>
      <c r="Y24" t="str">
        <v>30.4877255681818182</v>
      </c>
      <c r="Z24" t="str">
        <v>0.58874</v>
      </c>
      <c r="AA24" t="str">
        <v>1760.00000</v>
      </c>
      <c r="AB24" t="str">
        <v>20432T-CASANOVA DEL PUIG (Cal Tiet)</v>
      </c>
    </row>
    <row r="25" spans="1:28" x14ac:dyDescent="0.25">
      <c r="A25" t="str">
        <v>2025-10-16</v>
      </c>
      <c r="B25" t="str">
        <v>20399T-GRANJA TONIC-L:39-N:1-A:3002-POLLO AMARILLO HEMBRAS</v>
      </c>
      <c r="C25" t="str">
        <v>POLLO AMARILLO HEMBRAS</v>
      </c>
      <c r="D25" t="str">
        <v>5</v>
      </c>
      <c r="E25" t="str">
        <v>Broiler Amarillo</v>
      </c>
      <c r="F25" t="str">
        <v>51</v>
      </c>
      <c r="G25" t="str">
        <v>2025-08-26</v>
      </c>
      <c r="H25" t="str">
        <v>0</v>
      </c>
      <c r="I25" t="str">
        <v>Pre-Finalizado</v>
      </c>
      <c r="J25" t="str">
        <v>3.32454</v>
      </c>
      <c r="K25" t="str">
        <v>3.37474</v>
      </c>
      <c r="L25" t="str">
        <v>null</v>
      </c>
      <c r="M25" t="str">
        <v>null</v>
      </c>
      <c r="N25" t="str">
        <v>3.16500</v>
      </c>
      <c r="O25" t="str">
        <v>null</v>
      </c>
      <c r="P25" t="str">
        <v>14700.000</v>
      </c>
      <c r="Q25" t="str">
        <v>1174.000</v>
      </c>
      <c r="R25" t="str">
        <v>-13390.000</v>
      </c>
      <c r="S25" t="str">
        <v>476.000</v>
      </c>
      <c r="T25" t="str">
        <v>476.000</v>
      </c>
      <c r="U25" t="str">
        <v>-4632.000</v>
      </c>
      <c r="V25" t="str">
        <v>-20023.690</v>
      </c>
      <c r="W25" t="str">
        <v>-1</v>
      </c>
      <c r="X25" t="str">
        <v>-12.4525435323383085</v>
      </c>
      <c r="Y25" t="str">
        <v>-12.4525435323383085</v>
      </c>
      <c r="Z25" t="str">
        <v>0.00000</v>
      </c>
      <c r="AA25" t="str">
        <v>1608.00000</v>
      </c>
      <c r="AB25" t="str">
        <v>20399T-GRANJA TONIC</v>
      </c>
    </row>
    <row r="26" spans="1:28" x14ac:dyDescent="0.25">
      <c r="A26" t="str">
        <v>2025-10-16</v>
      </c>
      <c r="B26" t="str">
        <v>20228T-DE FEBRER ROSAS JOSEP M.-L:39-N:2-A:3001-POLLO AMARILLO MACHO</v>
      </c>
      <c r="C26" t="str">
        <v>POLLO AMARILLO MACHO</v>
      </c>
      <c r="D26" t="str">
        <v>5</v>
      </c>
      <c r="E26" t="str">
        <v>Broiler Amarillo</v>
      </c>
      <c r="F26" t="str">
        <v>45</v>
      </c>
      <c r="G26" t="str">
        <v>2025-09-01</v>
      </c>
      <c r="H26" t="str">
        <v>0</v>
      </c>
      <c r="I26" t="str">
        <v>Pre-Finalizado</v>
      </c>
      <c r="J26" t="str">
        <v>3.27849</v>
      </c>
      <c r="K26" t="str">
        <v>3.28381</v>
      </c>
      <c r="L26" t="str">
        <v>null</v>
      </c>
      <c r="M26" t="str">
        <v>null</v>
      </c>
      <c r="N26" t="str">
        <v>3.26200</v>
      </c>
      <c r="O26" t="str">
        <v>null</v>
      </c>
      <c r="P26" t="str">
        <v>16500.000</v>
      </c>
      <c r="Q26" t="str">
        <v>-252.000</v>
      </c>
      <c r="R26" t="str">
        <v>-16182.000</v>
      </c>
      <c r="S26" t="str">
        <v>570.000</v>
      </c>
      <c r="T26" t="str">
        <v>535.000</v>
      </c>
      <c r="U26" t="str">
        <v>-14286.000</v>
      </c>
      <c r="V26" t="str">
        <v>-27596.876</v>
      </c>
      <c r="W26" t="str">
        <v>-0.40817142857142857143</v>
      </c>
      <c r="X26" t="str">
        <v>-15.3315977777777778</v>
      </c>
      <c r="Y26" t="str">
        <v>-15.3315977777777778</v>
      </c>
      <c r="Z26" t="str">
        <v>-0.40817</v>
      </c>
      <c r="AA26" t="str">
        <v>1800.00000</v>
      </c>
      <c r="AB26" t="str">
        <v>20228T-DE FEBRER ROSAS JOSEP M.</v>
      </c>
    </row>
    <row r="27" spans="1:28" x14ac:dyDescent="0.25">
      <c r="A27" t="str">
        <v>2025-10-16</v>
      </c>
      <c r="B27" t="str">
        <v>20396T-CAL FITÓ-L:40-N:2-A:3001-POLLO AMARILLO MACHO</v>
      </c>
      <c r="C27" t="str">
        <v>POLLO AMARILLO MACHO</v>
      </c>
      <c r="D27" t="str">
        <v>5</v>
      </c>
      <c r="E27" t="str">
        <v>Broiler Amarillo</v>
      </c>
      <c r="F27" t="str">
        <v>42</v>
      </c>
      <c r="G27" t="str">
        <v>2025-09-04</v>
      </c>
      <c r="H27" t="str">
        <v>0</v>
      </c>
      <c r="I27" t="str">
        <v>Pre-Finalizado</v>
      </c>
      <c r="J27" t="str">
        <v>3.27000</v>
      </c>
      <c r="K27" t="str">
        <v>3.28039</v>
      </c>
      <c r="L27" t="str">
        <v>null</v>
      </c>
      <c r="M27" t="str">
        <v>null</v>
      </c>
      <c r="N27" t="str">
        <v>2.96600</v>
      </c>
      <c r="O27" t="str">
        <v>null</v>
      </c>
      <c r="P27" t="str">
        <v>17200.000</v>
      </c>
      <c r="Q27" t="str">
        <v>16360.000</v>
      </c>
      <c r="R27" t="str">
        <v>0.000</v>
      </c>
      <c r="S27" t="str">
        <v>840.000</v>
      </c>
      <c r="T27" t="str">
        <v>552.000</v>
      </c>
      <c r="U27" t="str">
        <v>-1561.000</v>
      </c>
      <c r="V27" t="str">
        <v>9811.716</v>
      </c>
      <c r="W27" t="str">
        <v>-0.04687687687687687688</v>
      </c>
      <c r="X27" t="str">
        <v>5.7886230088495575</v>
      </c>
      <c r="Y27" t="str">
        <v>5.7886230088495575</v>
      </c>
      <c r="Z27" t="str">
        <v>-0.04688</v>
      </c>
      <c r="AA27" t="str">
        <v>1695.00000</v>
      </c>
      <c r="AB27" t="str">
        <v>20396T-CAL FITÓ</v>
      </c>
    </row>
    <row r="28" spans="1:28" x14ac:dyDescent="0.25">
      <c r="A28" t="str">
        <v>2025-10-16</v>
      </c>
      <c r="B28" t="str">
        <v>20358T-CA L.IGNASI-L:38-N:2-A:3002-POLLO AMARILLO HEMBRAS</v>
      </c>
      <c r="C28" t="str">
        <v>POLLO AMARILLO HEMBRAS</v>
      </c>
      <c r="D28" t="str">
        <v>5</v>
      </c>
      <c r="E28" t="str">
        <v>Broiler Amarillo</v>
      </c>
      <c r="F28" t="str">
        <v>51</v>
      </c>
      <c r="G28" t="str">
        <v>2025-08-26</v>
      </c>
      <c r="H28" t="str">
        <v>0</v>
      </c>
      <c r="I28" t="str">
        <v>Pre-Finalizado</v>
      </c>
      <c r="J28" t="str">
        <v>3.24662</v>
      </c>
      <c r="K28" t="str">
        <v>3.26227</v>
      </c>
      <c r="L28" t="str">
        <v>null</v>
      </c>
      <c r="M28" t="str">
        <v>null</v>
      </c>
      <c r="N28" t="str">
        <v>3.16500</v>
      </c>
      <c r="O28" t="str">
        <v>null</v>
      </c>
      <c r="P28" t="str">
        <v>17200.000</v>
      </c>
      <c r="Q28" t="str">
        <v>-2354.000</v>
      </c>
      <c r="R28" t="str">
        <v>-18996.000</v>
      </c>
      <c r="S28" t="str">
        <v>558.000</v>
      </c>
      <c r="T28" t="str">
        <v>558.000</v>
      </c>
      <c r="U28" t="str">
        <v>-6975.000</v>
      </c>
      <c r="V28" t="str">
        <v>-25763.425</v>
      </c>
      <c r="W28" t="str">
        <v>-0.18355263157894736842</v>
      </c>
      <c r="X28" t="str">
        <v>-13.1714851738241309</v>
      </c>
      <c r="Y28" t="str">
        <v>-13.1714851738241309</v>
      </c>
      <c r="Z28" t="str">
        <v>-0.18355</v>
      </c>
      <c r="AA28" t="str">
        <v>1956.00000</v>
      </c>
      <c r="AB28" t="str">
        <v>20358T-CA L.IGNASI</v>
      </c>
    </row>
    <row r="29" spans="1:28" x14ac:dyDescent="0.25">
      <c r="A29" t="str">
        <v>2025-10-16</v>
      </c>
      <c r="B29" t="str">
        <v>20358T-CA L.IGNASI-L:38-N:3-A:3002-POLLO AMARILLO HEMBRAS</v>
      </c>
      <c r="C29" t="str">
        <v>POLLO AMARILLO HEMBRAS</v>
      </c>
      <c r="D29" t="str">
        <v>5</v>
      </c>
      <c r="E29" t="str">
        <v>Broiler Amarillo</v>
      </c>
      <c r="F29" t="str">
        <v>55</v>
      </c>
      <c r="G29" t="str">
        <v>2025-08-22</v>
      </c>
      <c r="H29" t="str">
        <v>0</v>
      </c>
      <c r="I29" t="str">
        <v>Pre-Finalizado</v>
      </c>
      <c r="J29" t="str">
        <v>3.23728</v>
      </c>
      <c r="K29" t="str">
        <v>3.19915</v>
      </c>
      <c r="L29" t="str">
        <v>null</v>
      </c>
      <c r="M29" t="str">
        <v>null</v>
      </c>
      <c r="N29" t="str">
        <v>3.43500</v>
      </c>
      <c r="O29" t="str">
        <v>null</v>
      </c>
      <c r="P29" t="str">
        <v>18500.000</v>
      </c>
      <c r="Q29" t="str">
        <v>-101.000</v>
      </c>
      <c r="R29" t="str">
        <v>-18133.000</v>
      </c>
      <c r="S29" t="str">
        <v>468.000</v>
      </c>
      <c r="T29" t="str">
        <v>468.000</v>
      </c>
      <c r="U29" t="str">
        <v>-101.000</v>
      </c>
      <c r="V29" t="str">
        <v>-326.965</v>
      </c>
      <c r="W29" t="str">
        <v>-0.00265789473684210526</v>
      </c>
      <c r="X29" t="str">
        <v>-0.16381012024048096192</v>
      </c>
      <c r="Y29" t="str">
        <v>-0.16381012024048096192</v>
      </c>
      <c r="Z29" t="str">
        <v>-0.00266</v>
      </c>
      <c r="AA29" t="str">
        <v>1996.00000</v>
      </c>
      <c r="AB29" t="str">
        <v>20358T-CA L.IGNASI</v>
      </c>
    </row>
    <row r="30" spans="1:28" x14ac:dyDescent="0.25">
      <c r="A30" t="str">
        <v>2025-10-16</v>
      </c>
      <c r="B30" t="str">
        <v>20260T-DUARRI-MANONELLES SCP naus 1,2,3,4-L:38-N:3-A:3002-POLLO AMARILLO HEMBRAS</v>
      </c>
      <c r="C30" t="str">
        <v>POLLO AMARILLO HEMBRAS</v>
      </c>
      <c r="D30" t="str">
        <v>5</v>
      </c>
      <c r="E30" t="str">
        <v>Broiler Amarillo</v>
      </c>
      <c r="F30" t="str">
        <v>48</v>
      </c>
      <c r="G30" t="str">
        <v>2025-08-29</v>
      </c>
      <c r="H30" t="str">
        <v>0</v>
      </c>
      <c r="I30" t="str">
        <v>Pre-Finalizado</v>
      </c>
      <c r="J30" t="str">
        <v>3.19886</v>
      </c>
      <c r="K30" t="str">
        <v>3.21171</v>
      </c>
      <c r="L30" t="str">
        <v>null</v>
      </c>
      <c r="M30" t="str">
        <v>null</v>
      </c>
      <c r="N30" t="str">
        <v>2.95200</v>
      </c>
      <c r="O30" t="str">
        <v>null</v>
      </c>
      <c r="P30" t="str">
        <v>9900.000</v>
      </c>
      <c r="Q30" t="str">
        <v>431.000</v>
      </c>
      <c r="R30" t="str">
        <v>-8880.000</v>
      </c>
      <c r="S30" t="str">
        <v>309.000</v>
      </c>
      <c r="T30" t="str">
        <v>309.000</v>
      </c>
      <c r="U30" t="str">
        <v>431.000</v>
      </c>
      <c r="V30" t="str">
        <v>1378.709</v>
      </c>
      <c r="W30" t="str">
        <v>0.02155000000000000000</v>
      </c>
      <c r="X30" t="str">
        <v>1.1723715986394558</v>
      </c>
      <c r="Y30" t="str">
        <v>1.1723715986394558</v>
      </c>
      <c r="Z30" t="str">
        <v>0.02155</v>
      </c>
      <c r="AA30" t="str">
        <v>1176.00000</v>
      </c>
      <c r="AB30" t="str">
        <v>20260T-DUARRI-MANONELLES SCP naus 1,2,3,4</v>
      </c>
    </row>
    <row r="31" spans="1:28" x14ac:dyDescent="0.25">
      <c r="A31" t="str">
        <v>2025-10-16</v>
      </c>
      <c r="B31" t="str">
        <v>20443T-GRANJA POSTILS-L:14-N:1-A:3001-POLLO AMARILLO MACHO</v>
      </c>
      <c r="C31" t="str">
        <v>POLLO AMARILLO MACHO</v>
      </c>
      <c r="D31" t="str">
        <v>5</v>
      </c>
      <c r="E31" t="str">
        <v>Broiler Amarillo</v>
      </c>
      <c r="F31" t="str">
        <v>44</v>
      </c>
      <c r="G31" t="str">
        <v>2025-09-02</v>
      </c>
      <c r="H31" t="str">
        <v>0</v>
      </c>
      <c r="I31" t="str">
        <v>Pre-Finalizado</v>
      </c>
      <c r="J31" t="str">
        <v>3.19641</v>
      </c>
      <c r="K31" t="str">
        <v>3.19745</v>
      </c>
      <c r="L31" t="str">
        <v>null</v>
      </c>
      <c r="M31" t="str">
        <v>null</v>
      </c>
      <c r="N31" t="str">
        <v>3.16400</v>
      </c>
      <c r="O31" t="str">
        <v>null</v>
      </c>
      <c r="P31" t="str">
        <v>17400.000</v>
      </c>
      <c r="Q31" t="str">
        <v>89.000</v>
      </c>
      <c r="R31" t="str">
        <v>-16743.000</v>
      </c>
      <c r="S31" t="str">
        <v>555.000</v>
      </c>
      <c r="T31" t="str">
        <v>555.000</v>
      </c>
      <c r="U31" t="str">
        <v>-15034.000</v>
      </c>
      <c r="V31" t="str">
        <v>-42267.256</v>
      </c>
      <c r="W31" t="str">
        <v>-0.42954285714285714286</v>
      </c>
      <c r="X31" t="str">
        <v>-22.0141958333333333</v>
      </c>
      <c r="Y31" t="str">
        <v>-22.0141958333333333</v>
      </c>
      <c r="Z31" t="str">
        <v>-0.42954</v>
      </c>
      <c r="AA31" t="str">
        <v>1920.00000</v>
      </c>
      <c r="AB31" t="str">
        <v>20443T-GRANJA POSTILS</v>
      </c>
    </row>
    <row r="32" spans="1:28" x14ac:dyDescent="0.25">
      <c r="A32" t="str">
        <v>2025-10-16</v>
      </c>
      <c r="B32" t="str">
        <v>20260T-DUARRI-MANONELLES SCP naus 1,2,3,4-L:38-N:1-A:3002-POLLO AMARILLO HEMBRAS</v>
      </c>
      <c r="C32" t="str">
        <v>POLLO AMARILLO HEMBRAS</v>
      </c>
      <c r="D32" t="str">
        <v>5</v>
      </c>
      <c r="E32" t="str">
        <v>Broiler Amarillo</v>
      </c>
      <c r="F32" t="str">
        <v>48</v>
      </c>
      <c r="G32" t="str">
        <v>2025-08-29</v>
      </c>
      <c r="H32" t="str">
        <v>0</v>
      </c>
      <c r="I32" t="str">
        <v>Pre-Finalizado</v>
      </c>
      <c r="J32" t="str">
        <v>3.13208</v>
      </c>
      <c r="K32" t="str">
        <v>3.20656</v>
      </c>
      <c r="L32" t="str">
        <v>null</v>
      </c>
      <c r="M32" t="str">
        <v>null</v>
      </c>
      <c r="N32" t="str">
        <v>2.95200</v>
      </c>
      <c r="O32" t="str">
        <v>null</v>
      </c>
      <c r="P32" t="str">
        <v>8700.000</v>
      </c>
      <c r="Q32" t="str">
        <v>243.000</v>
      </c>
      <c r="R32" t="str">
        <v>-8178.000</v>
      </c>
      <c r="S32" t="str">
        <v>279.000</v>
      </c>
      <c r="T32" t="str">
        <v>279.000</v>
      </c>
      <c r="U32" t="str">
        <v>363.000</v>
      </c>
      <c r="V32" t="str">
        <v>1246.646</v>
      </c>
      <c r="W32" t="str">
        <v>0.02268750000000000000</v>
      </c>
      <c r="X32" t="str">
        <v>1.0493653198653199</v>
      </c>
      <c r="Y32" t="str">
        <v>1.0493653198653199</v>
      </c>
      <c r="Z32" t="str">
        <v>0.02269</v>
      </c>
      <c r="AA32" t="str">
        <v>1188.00000</v>
      </c>
      <c r="AB32" t="str">
        <v>20260T-DUARRI-MANONELLES SCP naus 1,2,3,4</v>
      </c>
    </row>
    <row r="33" spans="1:28" x14ac:dyDescent="0.25">
      <c r="A33" t="str">
        <v>2025-10-16</v>
      </c>
      <c r="B33" t="str">
        <v>20268T-CIRERA-L:37-N:2-A:3001-POLLO AMARILLO MACHO</v>
      </c>
      <c r="C33" t="str">
        <v>POLLO AMARILLO MACHO</v>
      </c>
      <c r="D33" t="str">
        <v>5</v>
      </c>
      <c r="E33" t="str">
        <v>Broiler Amarillo</v>
      </c>
      <c r="F33" t="str">
        <v>45</v>
      </c>
      <c r="G33" t="str">
        <v>2025-09-01</v>
      </c>
      <c r="H33" t="str">
        <v>0</v>
      </c>
      <c r="I33" t="str">
        <v>Pre-Finalizado</v>
      </c>
      <c r="J33" t="str">
        <v>3.09938</v>
      </c>
      <c r="K33" t="str">
        <v>3.03820</v>
      </c>
      <c r="L33" t="str">
        <v>null</v>
      </c>
      <c r="M33" t="str">
        <v>null</v>
      </c>
      <c r="N33" t="str">
        <v>3.26200</v>
      </c>
      <c r="O33" t="str">
        <v>null</v>
      </c>
      <c r="P33" t="str">
        <v>14500.000</v>
      </c>
      <c r="Q33" t="str">
        <v>37.000</v>
      </c>
      <c r="R33" t="str">
        <v>-14010.000</v>
      </c>
      <c r="S33" t="str">
        <v>453.000</v>
      </c>
      <c r="T33" t="str">
        <v>463.000</v>
      </c>
      <c r="U33" t="str">
        <v>787.000</v>
      </c>
      <c r="V33" t="str">
        <v>2215.330</v>
      </c>
      <c r="W33" t="str">
        <v>0.02713793103448275862</v>
      </c>
      <c r="X33" t="str">
        <v>1.3475243309002433</v>
      </c>
      <c r="Y33" t="str">
        <v>1.3475243309002433</v>
      </c>
      <c r="Z33" t="str">
        <v>0.02714</v>
      </c>
      <c r="AA33" t="str">
        <v>1644.00000</v>
      </c>
      <c r="AB33" t="str">
        <v>20268T-CIRERA</v>
      </c>
    </row>
    <row r="34" spans="1:28" x14ac:dyDescent="0.25">
      <c r="A34" t="str">
        <v>2025-10-16</v>
      </c>
      <c r="B34" t="str">
        <v>20438T-GRANJA LA BORDELLA-L:16-N:1-A:3001-POLLO AMARILLO MACHO</v>
      </c>
      <c r="C34" t="str">
        <v>POLLO AMARILLO MACHO</v>
      </c>
      <c r="D34" t="str">
        <v>5</v>
      </c>
      <c r="E34" t="str">
        <v>Broiler Amarillo</v>
      </c>
      <c r="F34" t="str">
        <v>41</v>
      </c>
      <c r="G34" t="str">
        <v>2025-09-05</v>
      </c>
      <c r="H34" t="str">
        <v>0</v>
      </c>
      <c r="I34" t="str">
        <v>Abierto</v>
      </c>
      <c r="J34" t="str">
        <v>3.04765</v>
      </c>
      <c r="K34" t="str">
        <v>3.06111</v>
      </c>
      <c r="L34" t="str">
        <v>null</v>
      </c>
      <c r="M34" t="str">
        <v>null</v>
      </c>
      <c r="N34" t="str">
        <v>2.86800</v>
      </c>
      <c r="O34" t="str">
        <v>null</v>
      </c>
      <c r="P34" t="str">
        <v>18000.000</v>
      </c>
      <c r="Q34" t="str">
        <v>11992.000</v>
      </c>
      <c r="R34" t="str">
        <v>-5414.000</v>
      </c>
      <c r="S34" t="str">
        <v>338.000</v>
      </c>
      <c r="T34" t="str">
        <v>338.000</v>
      </c>
      <c r="U34" t="str">
        <v>10800.000</v>
      </c>
      <c r="V34" t="str">
        <v>33514.351</v>
      </c>
      <c r="W34" t="str">
        <v>0.30857142857142857143</v>
      </c>
      <c r="X34" t="str">
        <v>17.7889336518046709</v>
      </c>
      <c r="Y34" t="str">
        <v>17.7889336518046709</v>
      </c>
      <c r="Z34" t="str">
        <v>0.30857</v>
      </c>
      <c r="AA34" t="str">
        <v>1884.00000</v>
      </c>
      <c r="AB34" t="str">
        <v>20438T-GRANJA LA BORDELLA</v>
      </c>
    </row>
    <row r="35" spans="1:28" x14ac:dyDescent="0.25">
      <c r="A35" t="str">
        <v>2025-10-16</v>
      </c>
      <c r="B35" t="str">
        <v>20416T-PUJANTELL-AVICOLA-L:31-N:1-A:3002-POLLO AMARILLO HEMBRAS</v>
      </c>
      <c r="C35" t="str">
        <v>POLLO AMARILLO HEMBRAS</v>
      </c>
      <c r="D35" t="str">
        <v>5</v>
      </c>
      <c r="E35" t="str">
        <v>Broiler Amarillo</v>
      </c>
      <c r="F35" t="str">
        <v>49</v>
      </c>
      <c r="G35" t="str">
        <v>2025-08-28</v>
      </c>
      <c r="H35" t="str">
        <v>0</v>
      </c>
      <c r="I35" t="str">
        <v>Pre-Finalizado</v>
      </c>
      <c r="J35" t="str">
        <v>3.03428</v>
      </c>
      <c r="K35" t="str">
        <v>2.98985</v>
      </c>
      <c r="L35" t="str">
        <v>null</v>
      </c>
      <c r="M35" t="str">
        <v>null</v>
      </c>
      <c r="N35" t="str">
        <v>3.02400</v>
      </c>
      <c r="O35" t="str">
        <v>null</v>
      </c>
      <c r="P35" t="str">
        <v>21000.000</v>
      </c>
      <c r="Q35" t="str">
        <v>-110.000</v>
      </c>
      <c r="R35" t="str">
        <v>-20445.000</v>
      </c>
      <c r="S35" t="str">
        <v>665.000</v>
      </c>
      <c r="T35" t="str">
        <v>665.000</v>
      </c>
      <c r="U35" t="str">
        <v>275.000</v>
      </c>
      <c r="V35" t="str">
        <v>1164.761</v>
      </c>
      <c r="W35" t="str">
        <v>0.00639534883720930233</v>
      </c>
      <c r="X35" t="str">
        <v>0.49146033755274261603</v>
      </c>
      <c r="Y35" t="str">
        <v>0.49146033755274261603</v>
      </c>
      <c r="Z35" t="str">
        <v>0.00640</v>
      </c>
      <c r="AA35" t="str">
        <v>2370.00000</v>
      </c>
      <c r="AB35" t="str">
        <v>20416T-PUJANTELL-AVICOLA</v>
      </c>
    </row>
    <row r="36" spans="1:28" x14ac:dyDescent="0.25">
      <c r="A36" t="str">
        <v>2025-10-16</v>
      </c>
      <c r="B36" t="str">
        <v>20268T-CIRERA-L:37-N:3-A:3002-POLLO AMARILLO HEMBRAS</v>
      </c>
      <c r="C36" t="str">
        <v>POLLO AMARILLO HEMBRAS</v>
      </c>
      <c r="D36" t="str">
        <v>5</v>
      </c>
      <c r="E36" t="str">
        <v>Broiler Amarillo</v>
      </c>
      <c r="F36" t="str">
        <v>49</v>
      </c>
      <c r="G36" t="str">
        <v>2025-08-28</v>
      </c>
      <c r="H36" t="str">
        <v>0</v>
      </c>
      <c r="I36" t="str">
        <v>Pre-Finalizado</v>
      </c>
      <c r="J36" t="str">
        <v>3.02954</v>
      </c>
      <c r="K36" t="str">
        <v>2.98207</v>
      </c>
      <c r="L36" t="str">
        <v>null</v>
      </c>
      <c r="M36" t="str">
        <v>null</v>
      </c>
      <c r="N36" t="str">
        <v>3.02400</v>
      </c>
      <c r="O36" t="str">
        <v>null</v>
      </c>
      <c r="P36" t="str">
        <v>14900.000</v>
      </c>
      <c r="Q36" t="str">
        <v>-567.000</v>
      </c>
      <c r="R36" t="str">
        <v>-14985.000</v>
      </c>
      <c r="S36" t="str">
        <v>482.000</v>
      </c>
      <c r="T36" t="str">
        <v>482.000</v>
      </c>
      <c r="U36" t="str">
        <v>-825.000</v>
      </c>
      <c r="V36" t="str">
        <v>-2650.692</v>
      </c>
      <c r="W36" t="str">
        <v>-0.02844827586206896552</v>
      </c>
      <c r="X36" t="str">
        <v>-1.6241985294117647</v>
      </c>
      <c r="Y36" t="str">
        <v>-1.6241985294117647</v>
      </c>
      <c r="Z36" t="str">
        <v>-0.02845</v>
      </c>
      <c r="AA36" t="str">
        <v>1632.00000</v>
      </c>
      <c r="AB36" t="str">
        <v>20268T-CIRERA</v>
      </c>
    </row>
    <row r="37" spans="1:28" x14ac:dyDescent="0.25">
      <c r="A37" t="str">
        <v>2025-10-16</v>
      </c>
      <c r="B37" t="str">
        <v>20405T-VENDRELL-L:36-N:1-A:3001-POLLO AMARILLO MACHO</v>
      </c>
      <c r="C37" t="str">
        <v>POLLO AMARILLO MACHO</v>
      </c>
      <c r="D37" t="str">
        <v>5</v>
      </c>
      <c r="E37" t="str">
        <v>Broiler Amarillo</v>
      </c>
      <c r="F37" t="str">
        <v>41</v>
      </c>
      <c r="G37" t="str">
        <v>2025-09-05</v>
      </c>
      <c r="H37" t="str">
        <v>0</v>
      </c>
      <c r="I37" t="str">
        <v>Abierto</v>
      </c>
      <c r="J37" t="str">
        <v>2.88900</v>
      </c>
      <c r="K37" t="str">
        <v>2.89145</v>
      </c>
      <c r="L37" t="str">
        <v>null</v>
      </c>
      <c r="M37" t="str">
        <v>null</v>
      </c>
      <c r="N37" t="str">
        <v>2.86800</v>
      </c>
      <c r="O37" t="str">
        <v>null</v>
      </c>
      <c r="P37" t="str">
        <v>17800.000</v>
      </c>
      <c r="Q37" t="str">
        <v>17105.000</v>
      </c>
      <c r="R37" t="str">
        <v>0.000</v>
      </c>
      <c r="S37" t="str">
        <v>569.000</v>
      </c>
      <c r="T37" t="str">
        <v>569.000</v>
      </c>
      <c r="U37" t="str">
        <v>1421.000</v>
      </c>
      <c r="V37" t="str">
        <v>11902.413</v>
      </c>
      <c r="W37" t="str">
        <v>0.04060000000000000000</v>
      </c>
      <c r="X37" t="str">
        <v>6.1991734375000000</v>
      </c>
      <c r="Y37" t="str">
        <v>6.1991734375000000</v>
      </c>
      <c r="Z37" t="str">
        <v>0.04060</v>
      </c>
      <c r="AA37" t="str">
        <v>1920.00000</v>
      </c>
      <c r="AB37" t="str">
        <v>20405T-VENDRELL</v>
      </c>
    </row>
    <row r="38" spans="1:28" x14ac:dyDescent="0.25">
      <c r="A38" t="str">
        <v>2025-10-16</v>
      </c>
      <c r="B38" t="str">
        <v>20443T-GRANJA POSTILS-L:14-N:1-A:3002-POLLO AMARILLO HEMBRAS</v>
      </c>
      <c r="C38" t="str">
        <v>POLLO AMARILLO HEMBRAS</v>
      </c>
      <c r="D38" t="str">
        <v>5</v>
      </c>
      <c r="E38" t="str">
        <v>Broiler Amarillo</v>
      </c>
      <c r="F38" t="str">
        <v>44</v>
      </c>
      <c r="G38" t="str">
        <v>2025-09-02</v>
      </c>
      <c r="H38" t="str">
        <v>0</v>
      </c>
      <c r="I38" t="str">
        <v>Pre-Finalizado</v>
      </c>
      <c r="J38" t="str">
        <v>2.81371</v>
      </c>
      <c r="K38" t="str">
        <v>2.81864</v>
      </c>
      <c r="L38" t="str">
        <v>null</v>
      </c>
      <c r="M38" t="str">
        <v>null</v>
      </c>
      <c r="N38" t="str">
        <v>2.65500</v>
      </c>
      <c r="O38" t="str">
        <v>null</v>
      </c>
      <c r="P38" t="str">
        <v>17400.000</v>
      </c>
      <c r="Q38" t="str">
        <v>-15123.000</v>
      </c>
      <c r="R38" t="str">
        <v>-31962.000</v>
      </c>
      <c r="S38" t="str">
        <v>561.000</v>
      </c>
      <c r="T38" t="str">
        <v>561.000</v>
      </c>
      <c r="U38" t="str">
        <v>-15034.000</v>
      </c>
      <c r="V38" t="str">
        <v>-42267.256</v>
      </c>
      <c r="W38" t="str">
        <v>-0.42954285714285714286</v>
      </c>
      <c r="X38" t="str">
        <v>-22.0141958333333333</v>
      </c>
      <c r="Y38" t="str">
        <v>-22.0141958333333333</v>
      </c>
      <c r="Z38" t="str">
        <v>-0.42954</v>
      </c>
      <c r="AA38" t="str">
        <v>1920.00000</v>
      </c>
      <c r="AB38" t="str">
        <v>20443T-GRANJA POSTILS</v>
      </c>
    </row>
    <row r="39" spans="1:28" x14ac:dyDescent="0.25">
      <c r="A39" t="str">
        <v>2025-10-16</v>
      </c>
      <c r="B39" t="str">
        <v>20268T-CIRERA-L:37-N:2-A:3002-POLLO AMARILLO HEMBRAS</v>
      </c>
      <c r="C39" t="str">
        <v>POLLO AMARILLO HEMBRAS</v>
      </c>
      <c r="D39" t="str">
        <v>5</v>
      </c>
      <c r="E39" t="str">
        <v>Broiler Amarillo</v>
      </c>
      <c r="F39" t="str">
        <v>45</v>
      </c>
      <c r="G39" t="str">
        <v>2025-09-01</v>
      </c>
      <c r="H39" t="str">
        <v>0</v>
      </c>
      <c r="I39" t="str">
        <v>Pre-Finalizado</v>
      </c>
      <c r="J39" t="str">
        <v>2.80087</v>
      </c>
      <c r="K39" t="str">
        <v>2.80507</v>
      </c>
      <c r="L39" t="str">
        <v>null</v>
      </c>
      <c r="M39" t="str">
        <v>null</v>
      </c>
      <c r="N39" t="str">
        <v>2.73200</v>
      </c>
      <c r="O39" t="str">
        <v>null</v>
      </c>
      <c r="P39" t="str">
        <v>14500.000</v>
      </c>
      <c r="Q39" t="str">
        <v>750.000</v>
      </c>
      <c r="R39" t="str">
        <v>-13282.000</v>
      </c>
      <c r="S39" t="str">
        <v>468.000</v>
      </c>
      <c r="T39" t="str">
        <v>468.000</v>
      </c>
      <c r="U39" t="str">
        <v>787.000</v>
      </c>
      <c r="V39" t="str">
        <v>2215.330</v>
      </c>
      <c r="W39" t="str">
        <v>0.02713793103448275862</v>
      </c>
      <c r="X39" t="str">
        <v>1.3475243309002433</v>
      </c>
      <c r="Y39" t="str">
        <v>1.3475243309002433</v>
      </c>
      <c r="Z39" t="str">
        <v>0.02714</v>
      </c>
      <c r="AA39" t="str">
        <v>1644.00000</v>
      </c>
      <c r="AB39" t="str">
        <v>20268T-CIRERA</v>
      </c>
    </row>
    <row r="40" spans="1:28" x14ac:dyDescent="0.25">
      <c r="A40" t="str">
        <v>2025-10-16</v>
      </c>
      <c r="B40" t="str">
        <v>20432T-CASANOVA DEL PUIG (Cal Tiet)-L:21-N:1-A:3002-POLLO AMARILLO HEMBRAS</v>
      </c>
      <c r="C40" t="str">
        <v>POLLO AMARILLO HEMBRAS</v>
      </c>
      <c r="D40" t="str">
        <v>5</v>
      </c>
      <c r="E40" t="str">
        <v>Broiler Amarillo</v>
      </c>
      <c r="F40" t="str">
        <v>44</v>
      </c>
      <c r="G40" t="str">
        <v>2025-09-02</v>
      </c>
      <c r="H40" t="str">
        <v>0</v>
      </c>
      <c r="I40" t="str">
        <v>Abierto</v>
      </c>
      <c r="J40" t="str">
        <v>2.79500</v>
      </c>
      <c r="K40" t="str">
        <v>2.79935</v>
      </c>
      <c r="L40" t="str">
        <v>null</v>
      </c>
      <c r="M40" t="str">
        <v>null</v>
      </c>
      <c r="N40" t="str">
        <v>2.65500</v>
      </c>
      <c r="O40" t="str">
        <v>null</v>
      </c>
      <c r="P40" t="str">
        <v>16500.000</v>
      </c>
      <c r="Q40" t="str">
        <v>15959.000</v>
      </c>
      <c r="R40" t="str">
        <v>0.000</v>
      </c>
      <c r="S40" t="str">
        <v>541.000</v>
      </c>
      <c r="T40" t="str">
        <v>541.000</v>
      </c>
      <c r="U40" t="str">
        <v>18663.000</v>
      </c>
      <c r="V40" t="str">
        <v>53658.397</v>
      </c>
      <c r="W40" t="str">
        <v>0.58873817034700315457</v>
      </c>
      <c r="X40" t="str">
        <v>30.4877255681818182</v>
      </c>
      <c r="Y40" t="str">
        <v>30.4877255681818182</v>
      </c>
      <c r="Z40" t="str">
        <v>0.58874</v>
      </c>
      <c r="AA40" t="str">
        <v>1760.00000</v>
      </c>
      <c r="AB40" t="str">
        <v>20432T-CASANOVA DEL PUIG (Cal Tiet)</v>
      </c>
    </row>
    <row r="41" spans="1:28" x14ac:dyDescent="0.25">
      <c r="A41" t="str">
        <v>2025-10-16</v>
      </c>
      <c r="B41" t="str">
        <v>20263T-GIRBAU CAMP YASMINA-L:38-N:2-A:3003-POLLO AMARILLO MIXTO</v>
      </c>
      <c r="C41" t="str">
        <v>POLLO AMARILLO MIXTO</v>
      </c>
      <c r="D41" t="str">
        <v>5</v>
      </c>
      <c r="E41" t="str">
        <v>Broiler Amarillo</v>
      </c>
      <c r="F41" t="str">
        <v>42</v>
      </c>
      <c r="G41" t="str">
        <v>2025-09-04</v>
      </c>
      <c r="H41" t="str">
        <v>0</v>
      </c>
      <c r="I41" t="str">
        <v>Abierto</v>
      </c>
      <c r="J41" t="str">
        <v>2.63600</v>
      </c>
      <c r="K41" t="str">
        <v>2.62318</v>
      </c>
      <c r="L41" t="str">
        <v>null</v>
      </c>
      <c r="M41" t="str">
        <v>null</v>
      </c>
      <c r="N41" t="str">
        <v>2.75600</v>
      </c>
      <c r="O41" t="str">
        <v>null</v>
      </c>
      <c r="P41" t="str">
        <v>19000.000</v>
      </c>
      <c r="Q41" t="str">
        <v>3044.000</v>
      </c>
      <c r="R41" t="str">
        <v>-15326.000</v>
      </c>
      <c r="S41" t="str">
        <v>622.000</v>
      </c>
      <c r="T41" t="str">
        <v>622.000</v>
      </c>
      <c r="U41" t="str">
        <v>3044.000</v>
      </c>
      <c r="V41" t="str">
        <v>8023.984</v>
      </c>
      <c r="W41" t="str">
        <v>0.15220000000000000000</v>
      </c>
      <c r="X41" t="str">
        <v>6.7770135135135135</v>
      </c>
      <c r="Y41" t="str">
        <v>6.7770135135135135</v>
      </c>
      <c r="Z41" t="str">
        <v>0.15220</v>
      </c>
      <c r="AA41" t="str">
        <v>1184.00000</v>
      </c>
      <c r="AB41" t="str">
        <v>20263T-GIRBAU CAMP YASMINA</v>
      </c>
    </row>
    <row r="42" spans="1:28" x14ac:dyDescent="0.25">
      <c r="A42" t="str">
        <v>2025-10-16</v>
      </c>
      <c r="B42" t="str">
        <v>20364T-SEMEN AVIA (RIERETA)-L:39-N:1-A:3001-POLLO AMARILLO MACHO</v>
      </c>
      <c r="C42" t="str">
        <v>POLLO AMARILLO MACHO</v>
      </c>
      <c r="D42" t="str">
        <v>5</v>
      </c>
      <c r="E42" t="str">
        <v>Broiler Amarillo</v>
      </c>
      <c r="F42" t="str">
        <v>38</v>
      </c>
      <c r="G42" t="str">
        <v>2025-09-08</v>
      </c>
      <c r="H42" t="str">
        <v>0</v>
      </c>
      <c r="I42" t="str">
        <v>Abierto</v>
      </c>
      <c r="J42" t="str">
        <v>2.61600</v>
      </c>
      <c r="K42" t="str">
        <v>2.61790</v>
      </c>
      <c r="L42" t="str">
        <v>null</v>
      </c>
      <c r="M42" t="str">
        <v>null</v>
      </c>
      <c r="N42" t="str">
        <v>2.56900</v>
      </c>
      <c r="O42" t="str">
        <v>null</v>
      </c>
      <c r="P42" t="str">
        <v>15300.000</v>
      </c>
      <c r="Q42" t="str">
        <v>6751.000</v>
      </c>
      <c r="R42" t="str">
        <v>-8111.000</v>
      </c>
      <c r="S42" t="str">
        <v>433.000</v>
      </c>
      <c r="T42" t="str">
        <v>438.000</v>
      </c>
      <c r="U42" t="str">
        <v>9542.000</v>
      </c>
      <c r="V42" t="str">
        <v>24139.057</v>
      </c>
      <c r="W42" t="str">
        <v>0.31806666666666666667</v>
      </c>
      <c r="X42" t="str">
        <v>14.3684863095238095</v>
      </c>
      <c r="Y42" t="str">
        <v>14.3684863095238095</v>
      </c>
      <c r="Z42" t="str">
        <v>0.31807</v>
      </c>
      <c r="AA42" t="str">
        <v>1680.00000</v>
      </c>
      <c r="AB42" t="str">
        <v>20364T-SEMEN AVIA (RIERETA)</v>
      </c>
    </row>
    <row r="43" spans="1:28" x14ac:dyDescent="0.25">
      <c r="A43" t="str">
        <v>2025-10-16</v>
      </c>
      <c r="B43" t="str">
        <v>20438T-GRANJA LA BORDELLA-L:16-N:1-A:3002-POLLO AMARILLO HEMBRAS</v>
      </c>
      <c r="C43" t="str">
        <v>POLLO AMARILLO HEMBRAS</v>
      </c>
      <c r="D43" t="str">
        <v>5</v>
      </c>
      <c r="E43" t="str">
        <v>Broiler Amarillo</v>
      </c>
      <c r="F43" t="str">
        <v>41</v>
      </c>
      <c r="G43" t="str">
        <v>2025-09-05</v>
      </c>
      <c r="H43" t="str">
        <v>0</v>
      </c>
      <c r="I43" t="str">
        <v>Abierto</v>
      </c>
      <c r="J43" t="str">
        <v>2.54452</v>
      </c>
      <c r="K43" t="str">
        <v>2.55509</v>
      </c>
      <c r="L43" t="str">
        <v>null</v>
      </c>
      <c r="M43" t="str">
        <v>null</v>
      </c>
      <c r="N43" t="str">
        <v>2.40800</v>
      </c>
      <c r="O43" t="str">
        <v>null</v>
      </c>
      <c r="P43" t="str">
        <v>18000.000</v>
      </c>
      <c r="Q43" t="str">
        <v>-1192.000</v>
      </c>
      <c r="R43" t="str">
        <v>-18848.000</v>
      </c>
      <c r="S43" t="str">
        <v>344.000</v>
      </c>
      <c r="T43" t="str">
        <v>197.000</v>
      </c>
      <c r="U43" t="str">
        <v>10800.000</v>
      </c>
      <c r="V43" t="str">
        <v>33514.351</v>
      </c>
      <c r="W43" t="str">
        <v>0.30857142857142857143</v>
      </c>
      <c r="X43" t="str">
        <v>17.7889336518046709</v>
      </c>
      <c r="Y43" t="str">
        <v>17.7889336518046709</v>
      </c>
      <c r="Z43" t="str">
        <v>0.30857</v>
      </c>
      <c r="AA43" t="str">
        <v>1884.00000</v>
      </c>
      <c r="AB43" t="str">
        <v>20438T-GRANJA LA BORDELLA</v>
      </c>
    </row>
    <row r="44" spans="1:28" x14ac:dyDescent="0.25">
      <c r="A44" t="str">
        <v>2025-10-16</v>
      </c>
      <c r="B44" t="str">
        <v>20396T-CAL FITÓ-L:40-N:2-A:3002-POLLO AMARILLO HEMBRAS</v>
      </c>
      <c r="C44" t="str">
        <v>POLLO AMARILLO HEMBRAS</v>
      </c>
      <c r="D44" t="str">
        <v>5</v>
      </c>
      <c r="E44" t="str">
        <v>Broiler Amarillo</v>
      </c>
      <c r="F44" t="str">
        <v>42</v>
      </c>
      <c r="G44" t="str">
        <v>2025-09-04</v>
      </c>
      <c r="H44" t="str">
        <v>0</v>
      </c>
      <c r="I44" t="str">
        <v>Pre-Finalizado</v>
      </c>
      <c r="J44" t="str">
        <v>2.43767</v>
      </c>
      <c r="K44" t="str">
        <v>2.38934</v>
      </c>
      <c r="L44" t="str">
        <v>null</v>
      </c>
      <c r="M44" t="str">
        <v>null</v>
      </c>
      <c r="N44" t="str">
        <v>2.49300</v>
      </c>
      <c r="O44" t="str">
        <v>null</v>
      </c>
      <c r="P44" t="str">
        <v>17200.000</v>
      </c>
      <c r="Q44" t="str">
        <v>-17921.000</v>
      </c>
      <c r="R44" t="str">
        <v>-34646.000</v>
      </c>
      <c r="S44" t="str">
        <v>475.000</v>
      </c>
      <c r="T44" t="str">
        <v>558.000</v>
      </c>
      <c r="U44" t="str">
        <v>-1561.000</v>
      </c>
      <c r="V44" t="str">
        <v>9811.716</v>
      </c>
      <c r="W44" t="str">
        <v>-0.04687687687687687688</v>
      </c>
      <c r="X44" t="str">
        <v>5.7886230088495575</v>
      </c>
      <c r="Y44" t="str">
        <v>5.7886230088495575</v>
      </c>
      <c r="Z44" t="str">
        <v>-0.04688</v>
      </c>
      <c r="AA44" t="str">
        <v>1695.00000</v>
      </c>
      <c r="AB44" t="str">
        <v>20396T-CAL FITÓ</v>
      </c>
    </row>
    <row r="45" spans="1:28" x14ac:dyDescent="0.25">
      <c r="A45" t="str">
        <v>2025-10-16</v>
      </c>
      <c r="B45" t="str">
        <v>20405T-VENDRELL-L:36-N:1-A:3002-POLLO AMARILLO HEMBRAS</v>
      </c>
      <c r="C45" t="str">
        <v>POLLO AMARILLO HEMBRAS</v>
      </c>
      <c r="D45" t="str">
        <v>5</v>
      </c>
      <c r="E45" t="str">
        <v>Broiler Amarillo</v>
      </c>
      <c r="F45" t="str">
        <v>41</v>
      </c>
      <c r="G45" t="str">
        <v>2025-09-05</v>
      </c>
      <c r="H45" t="str">
        <v>0</v>
      </c>
      <c r="I45" t="str">
        <v>Abierto</v>
      </c>
      <c r="J45" t="str">
        <v>2.39186</v>
      </c>
      <c r="K45" t="str">
        <v>2.36184</v>
      </c>
      <c r="L45" t="str">
        <v>null</v>
      </c>
      <c r="M45" t="str">
        <v>null</v>
      </c>
      <c r="N45" t="str">
        <v>2.40800</v>
      </c>
      <c r="O45" t="str">
        <v>null</v>
      </c>
      <c r="P45" t="str">
        <v>18000.000</v>
      </c>
      <c r="Q45" t="str">
        <v>-15684.000</v>
      </c>
      <c r="R45" t="str">
        <v>-33136.000</v>
      </c>
      <c r="S45" t="str">
        <v>548.000</v>
      </c>
      <c r="T45" t="str">
        <v>578.000</v>
      </c>
      <c r="U45" t="str">
        <v>1421.000</v>
      </c>
      <c r="V45" t="str">
        <v>11902.413</v>
      </c>
      <c r="W45" t="str">
        <v>0.04060000000000000000</v>
      </c>
      <c r="X45" t="str">
        <v>6.1991734375000000</v>
      </c>
      <c r="Y45" t="str">
        <v>6.1991734375000000</v>
      </c>
      <c r="Z45" t="str">
        <v>0.04060</v>
      </c>
      <c r="AA45" t="str">
        <v>1920.00000</v>
      </c>
      <c r="AB45" t="str">
        <v>20405T-VENDRELL</v>
      </c>
    </row>
    <row r="46" spans="1:28" x14ac:dyDescent="0.25">
      <c r="A46" t="str">
        <v>2025-10-16</v>
      </c>
      <c r="B46" t="str">
        <v>20364T-SEMEN AVIA (RIERETA)-L:39-N:1-A:3002-POLLO AMARILLO HEMBRAS</v>
      </c>
      <c r="C46" t="str">
        <v>POLLO AMARILLO HEMBRAS</v>
      </c>
      <c r="D46" t="str">
        <v>5</v>
      </c>
      <c r="E46" t="str">
        <v>Broiler Amarillo</v>
      </c>
      <c r="F46" t="str">
        <v>38</v>
      </c>
      <c r="G46" t="str">
        <v>2025-09-08</v>
      </c>
      <c r="H46" t="str">
        <v>0</v>
      </c>
      <c r="I46" t="str">
        <v>Abierto</v>
      </c>
      <c r="J46" t="str">
        <v>2.32119</v>
      </c>
      <c r="K46" t="str">
        <v>2.32841</v>
      </c>
      <c r="L46" t="str">
        <v>null</v>
      </c>
      <c r="M46" t="str">
        <v>null</v>
      </c>
      <c r="N46" t="str">
        <v>2.14800</v>
      </c>
      <c r="O46" t="str">
        <v>null</v>
      </c>
      <c r="P46" t="str">
        <v>15300.000</v>
      </c>
      <c r="Q46" t="str">
        <v>2791.000</v>
      </c>
      <c r="R46" t="str">
        <v>-12480.000</v>
      </c>
      <c r="S46" t="str">
        <v>28.000</v>
      </c>
      <c r="T46" t="str">
        <v>28.000</v>
      </c>
      <c r="U46" t="str">
        <v>9542.000</v>
      </c>
      <c r="V46" t="str">
        <v>24139.057</v>
      </c>
      <c r="W46" t="str">
        <v>0.31806666666666666667</v>
      </c>
      <c r="X46" t="str">
        <v>14.3684863095238095</v>
      </c>
      <c r="Y46" t="str">
        <v>14.3684863095238095</v>
      </c>
      <c r="Z46" t="str">
        <v>0.31807</v>
      </c>
      <c r="AA46" t="str">
        <v>1680.00000</v>
      </c>
      <c r="AB46" t="str">
        <v>20364T-SEMEN AVIA (RIERETA)</v>
      </c>
    </row>
    <row r="47" spans="1:28" x14ac:dyDescent="0.25">
      <c r="A47" t="str">
        <v>2025-10-16</v>
      </c>
      <c r="B47" t="str">
        <v>20384T-MURIK 16-L:39-N:1-A:3001-POLLO AMARILLO MACHO</v>
      </c>
      <c r="C47" t="str">
        <v>POLLO AMARILLO MACHO</v>
      </c>
      <c r="D47" t="str">
        <v>5</v>
      </c>
      <c r="E47" t="str">
        <v>Broiler Amarillo</v>
      </c>
      <c r="F47" t="str">
        <v>37</v>
      </c>
      <c r="G47" t="str">
        <v>2025-09-09</v>
      </c>
      <c r="H47" t="str">
        <v>0</v>
      </c>
      <c r="I47" t="str">
        <v>Pre-Finalizado</v>
      </c>
      <c r="J47" t="str">
        <v>2.31553</v>
      </c>
      <c r="K47" t="str">
        <v>2.31553</v>
      </c>
      <c r="L47" t="str">
        <v>2.31600</v>
      </c>
      <c r="M47" t="str">
        <v>null</v>
      </c>
      <c r="N47" t="str">
        <v>2.46900</v>
      </c>
      <c r="O47" t="str">
        <v>null</v>
      </c>
      <c r="P47" t="str">
        <v>13900.000</v>
      </c>
      <c r="Q47" t="str">
        <v>-10367.000</v>
      </c>
      <c r="R47" t="str">
        <v>-23823.000</v>
      </c>
      <c r="S47" t="str">
        <v>444.000</v>
      </c>
      <c r="T47" t="str">
        <v>444.000</v>
      </c>
      <c r="U47" t="str">
        <v>-5484.000</v>
      </c>
      <c r="V47" t="str">
        <v>-17232.525</v>
      </c>
      <c r="W47" t="str">
        <v>-0.17137500000000000000</v>
      </c>
      <c r="X47" t="str">
        <v>-9.5736250000000000</v>
      </c>
      <c r="Y47" t="str">
        <v>-9.5736250000000000</v>
      </c>
      <c r="Z47" t="str">
        <v>-0.02963</v>
      </c>
      <c r="AA47" t="str">
        <v>1800.00000</v>
      </c>
      <c r="AB47" t="str">
        <v>20384T-MURIK 16</v>
      </c>
    </row>
    <row r="48" spans="1:28" x14ac:dyDescent="0.25">
      <c r="A48" t="str">
        <v>2025-10-16</v>
      </c>
      <c r="B48" t="str">
        <v>20281T-EL PLA DE LES ALZINES naus 1,2 i 3-L:38-N:1-A:3001-POLLO AMARILLO MACHO</v>
      </c>
      <c r="C48" t="str">
        <v>POLLO AMARILLO MACHO</v>
      </c>
      <c r="D48" t="str">
        <v>5</v>
      </c>
      <c r="E48" t="str">
        <v>Broiler Amarillo</v>
      </c>
      <c r="F48" t="str">
        <v>37</v>
      </c>
      <c r="G48" t="str">
        <v>2025-09-09</v>
      </c>
      <c r="H48" t="str">
        <v>0</v>
      </c>
      <c r="I48" t="str">
        <v>Abierto</v>
      </c>
      <c r="J48" t="str">
        <v>2.28100</v>
      </c>
      <c r="K48" t="str">
        <v>2.26460</v>
      </c>
      <c r="L48" t="str">
        <v>null</v>
      </c>
      <c r="M48" t="str">
        <v>null</v>
      </c>
      <c r="N48" t="str">
        <v>2.46900</v>
      </c>
      <c r="O48" t="str">
        <v>null</v>
      </c>
      <c r="P48" t="str">
        <v>10100.000</v>
      </c>
      <c r="Q48" t="str">
        <v>9766.000</v>
      </c>
      <c r="R48" t="str">
        <v>0.000</v>
      </c>
      <c r="S48" t="str">
        <v>334.000</v>
      </c>
      <c r="T48" t="str">
        <v>334.000</v>
      </c>
      <c r="U48" t="str">
        <v>10609.000</v>
      </c>
      <c r="V48" t="str">
        <v>23924.598</v>
      </c>
      <c r="W48" t="str">
        <v>0.50519047619047619048</v>
      </c>
      <c r="X48" t="str">
        <v>20.1895341772151899</v>
      </c>
      <c r="Y48" t="str">
        <v>20.1895341772151899</v>
      </c>
      <c r="Z48" t="str">
        <v>0.50519</v>
      </c>
      <c r="AA48" t="str">
        <v>1185.00000</v>
      </c>
      <c r="AB48" t="str">
        <v>20281T-EL PLA DE LES ALZINES naus 1,2 i 3</v>
      </c>
    </row>
    <row r="49" spans="1:28" x14ac:dyDescent="0.25">
      <c r="A49" t="str">
        <v>2025-10-16</v>
      </c>
      <c r="B49" t="str">
        <v>20269T-GRANVOL SALA, SC (Sala Teixidor)-L:33-N:2-A:3001-POLLO AMARILLO MACHO</v>
      </c>
      <c r="C49" t="str">
        <v>POLLO AMARILLO MACHO</v>
      </c>
      <c r="D49" t="str">
        <v>5</v>
      </c>
      <c r="E49" t="str">
        <v>Broiler Amarillo</v>
      </c>
      <c r="F49" t="str">
        <v>35</v>
      </c>
      <c r="G49" t="str">
        <v>2025-09-11</v>
      </c>
      <c r="H49" t="str">
        <v>0</v>
      </c>
      <c r="I49" t="str">
        <v>Abierto</v>
      </c>
      <c r="J49" t="str">
        <v>2.27800</v>
      </c>
      <c r="K49" t="str">
        <v>2.28039</v>
      </c>
      <c r="L49" t="str">
        <v>null</v>
      </c>
      <c r="M49" t="str">
        <v>null</v>
      </c>
      <c r="N49" t="str">
        <v>2.27100</v>
      </c>
      <c r="O49" t="str">
        <v>null</v>
      </c>
      <c r="P49" t="str">
        <v>11600.000</v>
      </c>
      <c r="Q49" t="str">
        <v>11208.000</v>
      </c>
      <c r="R49" t="str">
        <v>0.000</v>
      </c>
      <c r="S49" t="str">
        <v>356.000</v>
      </c>
      <c r="T49" t="str">
        <v>356.000</v>
      </c>
      <c r="U49" t="str">
        <v>15196.000</v>
      </c>
      <c r="V49" t="str">
        <v>33345.672</v>
      </c>
      <c r="W49" t="str">
        <v>0.69072727272727272727</v>
      </c>
      <c r="X49" t="str">
        <v>27.2431960784313725</v>
      </c>
      <c r="Y49" t="str">
        <v>27.2431960784313725</v>
      </c>
      <c r="Z49" t="str">
        <v>0.69073</v>
      </c>
      <c r="AA49" t="str">
        <v>1224.00000</v>
      </c>
      <c r="AB49" t="str">
        <v>20269T-GRANVOL SALA, SC (Sala Teixidor)</v>
      </c>
    </row>
    <row r="50" spans="1:28" x14ac:dyDescent="0.25">
      <c r="A50" t="str">
        <v>2025-10-16</v>
      </c>
      <c r="B50" t="str">
        <v>20342T-LA RABAL-L:37-N:4-A:3001-POLLO AMARILLO MACHO</v>
      </c>
      <c r="C50" t="str">
        <v>POLLO AMARILLO MACHO</v>
      </c>
      <c r="D50" t="str">
        <v>5</v>
      </c>
      <c r="E50" t="str">
        <v>Broiler Amarillo</v>
      </c>
      <c r="F50" t="str">
        <v>38</v>
      </c>
      <c r="G50" t="str">
        <v>2025-09-08</v>
      </c>
      <c r="H50" t="str">
        <v>0</v>
      </c>
      <c r="I50" t="str">
        <v>Abierto</v>
      </c>
      <c r="J50" t="str">
        <v>2.26095</v>
      </c>
      <c r="K50" t="str">
        <v>2.26095</v>
      </c>
      <c r="L50" t="str">
        <v>2.26100</v>
      </c>
      <c r="M50" t="str">
        <v>null</v>
      </c>
      <c r="N50" t="str">
        <v>2.56900</v>
      </c>
      <c r="O50" t="str">
        <v>null</v>
      </c>
      <c r="P50" t="str">
        <v>11700.000</v>
      </c>
      <c r="Q50" t="str">
        <v>7172.000</v>
      </c>
      <c r="R50" t="str">
        <v>-4131.000</v>
      </c>
      <c r="S50" t="str">
        <v>371.000</v>
      </c>
      <c r="T50" t="str">
        <v>371.000</v>
      </c>
      <c r="U50" t="str">
        <v>7172.000</v>
      </c>
      <c r="V50" t="str">
        <v>16215.533</v>
      </c>
      <c r="W50" t="str">
        <v>0.57376000000000000000</v>
      </c>
      <c r="X50" t="str">
        <v>20.9774036222509702</v>
      </c>
      <c r="Y50" t="str">
        <v>20.9774036222509702</v>
      </c>
      <c r="Z50" t="str">
        <v>0.57376</v>
      </c>
      <c r="AA50" t="str">
        <v>773.00000</v>
      </c>
      <c r="AB50" t="str">
        <v>20342T-LA RABAL</v>
      </c>
    </row>
    <row r="51" spans="1:28" x14ac:dyDescent="0.25">
      <c r="A51" t="str">
        <v>2025-10-16</v>
      </c>
      <c r="B51" t="str">
        <v>20342T-LA RABAL-L:37-N:3-A:3001-POLLO AMARILLO MACHO</v>
      </c>
      <c r="C51" t="str">
        <v>POLLO AMARILLO MACHO</v>
      </c>
      <c r="D51" t="str">
        <v>5</v>
      </c>
      <c r="E51" t="str">
        <v>Broiler Amarillo</v>
      </c>
      <c r="F51" t="str">
        <v>38</v>
      </c>
      <c r="G51" t="str">
        <v>2025-09-08</v>
      </c>
      <c r="H51" t="str">
        <v>0</v>
      </c>
      <c r="I51" t="str">
        <v>Abierto</v>
      </c>
      <c r="J51" t="str">
        <v>2.21325</v>
      </c>
      <c r="K51" t="str">
        <v>2.18338</v>
      </c>
      <c r="L51" t="str">
        <v>null</v>
      </c>
      <c r="M51" t="str">
        <v>null</v>
      </c>
      <c r="N51" t="str">
        <v>2.56900</v>
      </c>
      <c r="O51" t="str">
        <v>null</v>
      </c>
      <c r="P51" t="str">
        <v>11700.000</v>
      </c>
      <c r="Q51" t="str">
        <v>8867.000</v>
      </c>
      <c r="R51" t="str">
        <v>-2246.000</v>
      </c>
      <c r="S51" t="str">
        <v>371.000</v>
      </c>
      <c r="T51" t="str">
        <v>371.000</v>
      </c>
      <c r="U51" t="str">
        <v>8867.000</v>
      </c>
      <c r="V51" t="str">
        <v>19624.888</v>
      </c>
      <c r="W51" t="str">
        <v>0.70936000000000000000</v>
      </c>
      <c r="X51" t="str">
        <v>25.3879534282018111</v>
      </c>
      <c r="Y51" t="str">
        <v>25.3879534282018111</v>
      </c>
      <c r="Z51" t="str">
        <v>0.70936</v>
      </c>
      <c r="AA51" t="str">
        <v>773.00000</v>
      </c>
      <c r="AB51" t="str">
        <v>20342T-LA RABAL</v>
      </c>
    </row>
    <row r="52" spans="1:28" x14ac:dyDescent="0.25">
      <c r="A52" t="str">
        <v>2025-10-16</v>
      </c>
      <c r="B52" t="str">
        <v>20281T-EL PLA DE LES ALZINES naus 1,2 i 3-L:38-N:3-A:3001-POLLO AMARILLO MACHO</v>
      </c>
      <c r="C52" t="str">
        <v>POLLO AMARILLO MACHO</v>
      </c>
      <c r="D52" t="str">
        <v>5</v>
      </c>
      <c r="E52" t="str">
        <v>Broiler Amarillo</v>
      </c>
      <c r="F52" t="str">
        <v>35</v>
      </c>
      <c r="G52" t="str">
        <v>2025-09-11</v>
      </c>
      <c r="H52" t="str">
        <v>0</v>
      </c>
      <c r="I52" t="str">
        <v>Abierto</v>
      </c>
      <c r="J52" t="str">
        <v>2.18800</v>
      </c>
      <c r="K52" t="str">
        <v>2.18016</v>
      </c>
      <c r="L52" t="str">
        <v>null</v>
      </c>
      <c r="M52" t="str">
        <v>null</v>
      </c>
      <c r="N52" t="str">
        <v>2.27100</v>
      </c>
      <c r="O52" t="str">
        <v>null</v>
      </c>
      <c r="P52" t="str">
        <v>20500.000</v>
      </c>
      <c r="Q52" t="str">
        <v>19803.000</v>
      </c>
      <c r="R52" t="str">
        <v>0.000</v>
      </c>
      <c r="S52" t="str">
        <v>637.000</v>
      </c>
      <c r="T52" t="str">
        <v>637.000</v>
      </c>
      <c r="U52" t="str">
        <v>23722.000</v>
      </c>
      <c r="V52" t="str">
        <v>50956.514</v>
      </c>
      <c r="W52" t="str">
        <v>0.71884848484848484848</v>
      </c>
      <c r="X52" t="str">
        <v>29.0185159453302961</v>
      </c>
      <c r="Y52" t="str">
        <v>29.0185159453302961</v>
      </c>
      <c r="Z52" t="str">
        <v>0.71885</v>
      </c>
      <c r="AA52" t="str">
        <v>1756.00000</v>
      </c>
      <c r="AB52" t="str">
        <v>20281T-EL PLA DE LES ALZINES naus 1,2 i 3</v>
      </c>
    </row>
    <row r="53" spans="1:28" x14ac:dyDescent="0.25">
      <c r="A53" t="str">
        <v>2025-10-16</v>
      </c>
      <c r="B53" t="str">
        <v>20264T-ROS-SELVA S.C.P.-L:39-N:1-A:3001-POLLO AMARILLO MACHO</v>
      </c>
      <c r="C53" t="str">
        <v>POLLO AMARILLO MACHO</v>
      </c>
      <c r="D53" t="str">
        <v>5</v>
      </c>
      <c r="E53" t="str">
        <v>Broiler Amarillo</v>
      </c>
      <c r="F53" t="str">
        <v>34</v>
      </c>
      <c r="G53" t="str">
        <v>2025-09-12</v>
      </c>
      <c r="H53" t="str">
        <v>0</v>
      </c>
      <c r="I53" t="str">
        <v>Pre-Finalizado</v>
      </c>
      <c r="J53" t="str">
        <v>2.11400</v>
      </c>
      <c r="K53" t="str">
        <v>2.10832</v>
      </c>
      <c r="L53" t="str">
        <v>null</v>
      </c>
      <c r="M53" t="str">
        <v>null</v>
      </c>
      <c r="N53" t="str">
        <v>2.17200</v>
      </c>
      <c r="O53" t="str">
        <v>null</v>
      </c>
      <c r="P53" t="str">
        <v>18200.000</v>
      </c>
      <c r="Q53" t="str">
        <v>17649.000</v>
      </c>
      <c r="R53" t="str">
        <v>0.000</v>
      </c>
      <c r="S53" t="str">
        <v>551.000</v>
      </c>
      <c r="T53" t="str">
        <v>551.000</v>
      </c>
      <c r="U53" t="str">
        <v>174.000</v>
      </c>
      <c r="V53" t="str">
        <v>6034.454</v>
      </c>
      <c r="W53" t="str">
        <v>0.00497142857142857143</v>
      </c>
      <c r="X53" t="str">
        <v>3.1928328042328042</v>
      </c>
      <c r="Y53" t="str">
        <v>3.1928328042328042</v>
      </c>
      <c r="Z53" t="str">
        <v>0.00497</v>
      </c>
      <c r="AA53" t="str">
        <v>1890.00000</v>
      </c>
      <c r="AB53" t="str">
        <v>20264T-ROS-SELVA S.C.P.</v>
      </c>
    </row>
    <row r="54" spans="1:28" x14ac:dyDescent="0.25">
      <c r="A54" t="str">
        <v>2025-10-16</v>
      </c>
      <c r="B54" t="str">
        <v>20264T-ROS-SELVA S.C.P.-L:39-N:2-A:3001-POLLO AMARILLO MACHO</v>
      </c>
      <c r="C54" t="str">
        <v>POLLO AMARILLO MACHO</v>
      </c>
      <c r="D54" t="str">
        <v>5</v>
      </c>
      <c r="E54" t="str">
        <v>Broiler Amarillo</v>
      </c>
      <c r="F54" t="str">
        <v>34</v>
      </c>
      <c r="G54" t="str">
        <v>2025-09-12</v>
      </c>
      <c r="H54" t="str">
        <v>0</v>
      </c>
      <c r="I54" t="str">
        <v>Abierto</v>
      </c>
      <c r="J54" t="str">
        <v>2.10400</v>
      </c>
      <c r="K54" t="str">
        <v>2.09732</v>
      </c>
      <c r="L54" t="str">
        <v>null</v>
      </c>
      <c r="M54" t="str">
        <v>null</v>
      </c>
      <c r="N54" t="str">
        <v>2.17200</v>
      </c>
      <c r="O54" t="str">
        <v>null</v>
      </c>
      <c r="P54" t="str">
        <v>15900.000</v>
      </c>
      <c r="Q54" t="str">
        <v>15400.000</v>
      </c>
      <c r="R54" t="str">
        <v>0.000</v>
      </c>
      <c r="S54" t="str">
        <v>500.000</v>
      </c>
      <c r="T54" t="str">
        <v>500.000</v>
      </c>
      <c r="U54" t="str">
        <v>15226.000</v>
      </c>
      <c r="V54" t="str">
        <v>32089.919</v>
      </c>
      <c r="W54" t="str">
        <v>0.48336507936507936508</v>
      </c>
      <c r="X54" t="str">
        <v>19.4484357575757576</v>
      </c>
      <c r="Y54" t="str">
        <v>19.4484357575757576</v>
      </c>
      <c r="Z54" t="str">
        <v>0.48337</v>
      </c>
      <c r="AA54" t="str">
        <v>1650.00000</v>
      </c>
      <c r="AB54" t="str">
        <v>20264T-ROS-SELVA S.C.P.</v>
      </c>
    </row>
    <row r="55" spans="1:28" x14ac:dyDescent="0.25">
      <c r="A55" t="str">
        <v>2025-10-16</v>
      </c>
      <c r="B55" t="str">
        <v>20281T-EL PLA DE LES ALZINES naus 1,2 i 3-L:38-N:2-A:3002-POLLO AMARILLO HEMBRAS</v>
      </c>
      <c r="C55" t="str">
        <v>POLLO AMARILLO HEMBRAS</v>
      </c>
      <c r="D55" t="str">
        <v>5</v>
      </c>
      <c r="E55" t="str">
        <v>Broiler Amarillo</v>
      </c>
      <c r="F55" t="str">
        <v>37</v>
      </c>
      <c r="G55" t="str">
        <v>2025-09-09</v>
      </c>
      <c r="H55" t="str">
        <v>0</v>
      </c>
      <c r="I55" t="str">
        <v>Abierto</v>
      </c>
      <c r="J55" t="str">
        <v>2.07540</v>
      </c>
      <c r="K55" t="str">
        <v>2.07540</v>
      </c>
      <c r="L55" t="str">
        <v>2.07500</v>
      </c>
      <c r="M55" t="str">
        <v>null</v>
      </c>
      <c r="N55" t="str">
        <v>2.06200</v>
      </c>
      <c r="O55" t="str">
        <v>null</v>
      </c>
      <c r="P55" t="str">
        <v>10100.000</v>
      </c>
      <c r="Q55" t="str">
        <v>4726.000</v>
      </c>
      <c r="R55" t="str">
        <v>-5040.000</v>
      </c>
      <c r="S55" t="str">
        <v>334.000</v>
      </c>
      <c r="T55" t="str">
        <v>334.000</v>
      </c>
      <c r="U55" t="str">
        <v>9406.000</v>
      </c>
      <c r="V55" t="str">
        <v>14488.340</v>
      </c>
      <c r="W55" t="str">
        <v>0.44790476190476190476</v>
      </c>
      <c r="X55" t="str">
        <v>12.2264472573839662</v>
      </c>
      <c r="Y55" t="str">
        <v>12.2264472573839662</v>
      </c>
      <c r="Z55" t="str">
        <v>0.44790</v>
      </c>
      <c r="AA55" t="str">
        <v>1185.00000</v>
      </c>
      <c r="AB55" t="str">
        <v>20281T-EL PLA DE LES ALZINES naus 1,2 i 3</v>
      </c>
    </row>
    <row r="56" spans="1:28" x14ac:dyDescent="0.25">
      <c r="A56" t="str">
        <v>2025-10-16</v>
      </c>
      <c r="B56" t="str">
        <v>20308T-QUELET S.C.P-L:40-N:1-A:3001-POLLO AMARILLO MACHO</v>
      </c>
      <c r="C56" t="str">
        <v>POLLO AMARILLO MACHO</v>
      </c>
      <c r="D56" t="str">
        <v>5</v>
      </c>
      <c r="E56" t="str">
        <v>Broiler Amarillo</v>
      </c>
      <c r="F56" t="str">
        <v>42</v>
      </c>
      <c r="G56" t="str">
        <v>2025-09-04</v>
      </c>
      <c r="H56" t="str">
        <v>0</v>
      </c>
      <c r="I56" t="str">
        <v>Pre-Finalizado</v>
      </c>
      <c r="J56" t="str">
        <v>1.97731</v>
      </c>
      <c r="K56" t="str">
        <v>1.97731</v>
      </c>
      <c r="L56" t="str">
        <v>1.97700</v>
      </c>
      <c r="M56" t="str">
        <v>null</v>
      </c>
      <c r="N56" t="str">
        <v>2.96600</v>
      </c>
      <c r="O56" t="str">
        <v>null</v>
      </c>
      <c r="P56" t="str">
        <v>19900.000</v>
      </c>
      <c r="Q56" t="str">
        <v>-13445.000</v>
      </c>
      <c r="R56" t="str">
        <v>-29065.000</v>
      </c>
      <c r="S56" t="str">
        <v>644.000</v>
      </c>
      <c r="T56" t="str">
        <v>644.000</v>
      </c>
      <c r="U56" t="str">
        <v>-13457.000</v>
      </c>
      <c r="V56" t="str">
        <v>-26596.933</v>
      </c>
      <c r="W56" t="str">
        <v>-0.42053125000000000000</v>
      </c>
      <c r="X56" t="str">
        <v>-15.8315077380952381</v>
      </c>
      <c r="Y56" t="str">
        <v>-15.8315077380952381</v>
      </c>
      <c r="Z56" t="str">
        <v>-0.30691</v>
      </c>
      <c r="AA56" t="str">
        <v>1680.00000</v>
      </c>
      <c r="AB56" t="str">
        <v>20308T-QUELET S.C.P</v>
      </c>
    </row>
    <row r="57" spans="1:28" x14ac:dyDescent="0.25">
      <c r="A57" t="str">
        <v>2025-10-16</v>
      </c>
      <c r="B57" t="str">
        <v>20269T-GRANVOL SALA, SC (Sala Teixidor)-L:33-N:2-A:3002-POLLO AMARILLO HEMBRAS</v>
      </c>
      <c r="C57" t="str">
        <v>POLLO AMARILLO HEMBRAS</v>
      </c>
      <c r="D57" t="str">
        <v>5</v>
      </c>
      <c r="E57" t="str">
        <v>Broiler Amarillo</v>
      </c>
      <c r="F57" t="str">
        <v>35</v>
      </c>
      <c r="G57" t="str">
        <v>2025-09-11</v>
      </c>
      <c r="H57" t="str">
        <v>0</v>
      </c>
      <c r="I57" t="str">
        <v>Abierto</v>
      </c>
      <c r="J57" t="str">
        <v>1.95934</v>
      </c>
      <c r="K57" t="str">
        <v>1.95786</v>
      </c>
      <c r="L57" t="str">
        <v>null</v>
      </c>
      <c r="M57" t="str">
        <v>null</v>
      </c>
      <c r="N57" t="str">
        <v>1.89600</v>
      </c>
      <c r="O57" t="str">
        <v>null</v>
      </c>
      <c r="P57" t="str">
        <v>11600.000</v>
      </c>
      <c r="Q57" t="str">
        <v>3988.000</v>
      </c>
      <c r="R57" t="str">
        <v>-7236.000</v>
      </c>
      <c r="S57" t="str">
        <v>356.000</v>
      </c>
      <c r="T57" t="str">
        <v>356.000</v>
      </c>
      <c r="U57" t="str">
        <v>15196.000</v>
      </c>
      <c r="V57" t="str">
        <v>33345.672</v>
      </c>
      <c r="W57" t="str">
        <v>0.69072727272727272727</v>
      </c>
      <c r="X57" t="str">
        <v>27.2431960784313725</v>
      </c>
      <c r="Y57" t="str">
        <v>27.2431960784313725</v>
      </c>
      <c r="Z57" t="str">
        <v>0.69073</v>
      </c>
      <c r="AA57" t="str">
        <v>1224.00000</v>
      </c>
      <c r="AB57" t="str">
        <v>20269T-GRANVOL SALA, SC (Sala Teixidor)</v>
      </c>
    </row>
    <row r="58" spans="1:28" x14ac:dyDescent="0.25">
      <c r="A58" t="str">
        <v>2025-10-16</v>
      </c>
      <c r="B58" t="str">
        <v>20281T-EL PLA DE LES ALZINES naus 1,2 i 3-L:38-N:1-A:3002-POLLO AMARILLO HEMBRAS</v>
      </c>
      <c r="C58" t="str">
        <v>POLLO AMARILLO HEMBRAS</v>
      </c>
      <c r="D58" t="str">
        <v>5</v>
      </c>
      <c r="E58" t="str">
        <v>Broiler Amarillo</v>
      </c>
      <c r="F58" t="str">
        <v>37</v>
      </c>
      <c r="G58" t="str">
        <v>2025-09-09</v>
      </c>
      <c r="H58" t="str">
        <v>0</v>
      </c>
      <c r="I58" t="str">
        <v>Abierto</v>
      </c>
      <c r="J58" t="str">
        <v>1.95534</v>
      </c>
      <c r="K58" t="str">
        <v>1.93113</v>
      </c>
      <c r="L58" t="str">
        <v>null</v>
      </c>
      <c r="M58" t="str">
        <v>null</v>
      </c>
      <c r="N58" t="str">
        <v>2.06200</v>
      </c>
      <c r="O58" t="str">
        <v>null</v>
      </c>
      <c r="P58" t="str">
        <v>10200.000</v>
      </c>
      <c r="Q58" t="str">
        <v>843.000</v>
      </c>
      <c r="R58" t="str">
        <v>-9021.000</v>
      </c>
      <c r="S58" t="str">
        <v>336.000</v>
      </c>
      <c r="T58" t="str">
        <v>336.000</v>
      </c>
      <c r="U58" t="str">
        <v>10609.000</v>
      </c>
      <c r="V58" t="str">
        <v>23924.598</v>
      </c>
      <c r="W58" t="str">
        <v>0.50519047619047619048</v>
      </c>
      <c r="X58" t="str">
        <v>20.1895341772151899</v>
      </c>
      <c r="Y58" t="str">
        <v>20.1895341772151899</v>
      </c>
      <c r="Z58" t="str">
        <v>0.50519</v>
      </c>
      <c r="AA58" t="str">
        <v>1185.00000</v>
      </c>
      <c r="AB58" t="str">
        <v>20281T-EL PLA DE LES ALZINES naus 1,2 i 3</v>
      </c>
    </row>
    <row r="59" spans="1:28" x14ac:dyDescent="0.25">
      <c r="A59" t="str">
        <v>2025-10-16</v>
      </c>
      <c r="B59" t="str">
        <v>20281T-EL PLA DE LES ALZINES naus 1,2 i 3-L:38-N:3-A:3002-POLLO AMARILLO HEMBRAS</v>
      </c>
      <c r="C59" t="str">
        <v>POLLO AMARILLO HEMBRAS</v>
      </c>
      <c r="D59" t="str">
        <v>5</v>
      </c>
      <c r="E59" t="str">
        <v>Broiler Amarillo</v>
      </c>
      <c r="F59" t="str">
        <v>35</v>
      </c>
      <c r="G59" t="str">
        <v>2025-09-11</v>
      </c>
      <c r="H59" t="str">
        <v>0</v>
      </c>
      <c r="I59" t="str">
        <v>Abierto</v>
      </c>
      <c r="J59" t="str">
        <v>1.94630</v>
      </c>
      <c r="K59" t="str">
        <v>1.94368</v>
      </c>
      <c r="L59" t="str">
        <v>null</v>
      </c>
      <c r="M59" t="str">
        <v>null</v>
      </c>
      <c r="N59" t="str">
        <v>1.89600</v>
      </c>
      <c r="O59" t="str">
        <v>null</v>
      </c>
      <c r="P59" t="str">
        <v>13000.000</v>
      </c>
      <c r="Q59" t="str">
        <v>3919.000</v>
      </c>
      <c r="R59" t="str">
        <v>-8554.000</v>
      </c>
      <c r="S59" t="str">
        <v>415.000</v>
      </c>
      <c r="T59" t="str">
        <v>415.000</v>
      </c>
      <c r="U59" t="str">
        <v>23722.000</v>
      </c>
      <c r="V59" t="str">
        <v>50956.514</v>
      </c>
      <c r="W59" t="str">
        <v>0.71884848484848484848</v>
      </c>
      <c r="X59" t="str">
        <v>29.0185159453302961</v>
      </c>
      <c r="Y59" t="str">
        <v>29.0185159453302961</v>
      </c>
      <c r="Z59" t="str">
        <v>0.71885</v>
      </c>
      <c r="AA59" t="str">
        <v>1756.00000</v>
      </c>
      <c r="AB59" t="str">
        <v>20281T-EL PLA DE LES ALZINES naus 1,2 i 3</v>
      </c>
    </row>
    <row r="60" spans="1:28" x14ac:dyDescent="0.25">
      <c r="A60" t="str">
        <v>2025-10-16</v>
      </c>
      <c r="B60" t="str">
        <v>20342T-LA RABAL-L:37-N:5-A:3002-POLLO AMARILLO HEMBRAS</v>
      </c>
      <c r="C60" t="str">
        <v>POLLO AMARILLO HEMBRAS</v>
      </c>
      <c r="D60" t="str">
        <v>5</v>
      </c>
      <c r="E60" t="str">
        <v>Broiler Amarillo</v>
      </c>
      <c r="F60" t="str">
        <v>38</v>
      </c>
      <c r="G60" t="str">
        <v>2025-09-08</v>
      </c>
      <c r="H60" t="str">
        <v>0</v>
      </c>
      <c r="I60" t="str">
        <v>Pre-Finalizado</v>
      </c>
      <c r="J60" t="str">
        <v>1.91908</v>
      </c>
      <c r="K60" t="str">
        <v>1.89941</v>
      </c>
      <c r="L60" t="str">
        <v>null</v>
      </c>
      <c r="M60" t="str">
        <v>null</v>
      </c>
      <c r="N60" t="str">
        <v>2.14800</v>
      </c>
      <c r="O60" t="str">
        <v>null</v>
      </c>
      <c r="P60" t="str">
        <v>11700.000</v>
      </c>
      <c r="Q60" t="str">
        <v>55.000</v>
      </c>
      <c r="R60" t="str">
        <v>-11130.000</v>
      </c>
      <c r="S60" t="str">
        <v>371.000</v>
      </c>
      <c r="T60" t="str">
        <v>371.000</v>
      </c>
      <c r="U60" t="str">
        <v>55.000</v>
      </c>
      <c r="V60" t="str">
        <v>105.549</v>
      </c>
      <c r="W60" t="str">
        <v>0.00550000000000000000</v>
      </c>
      <c r="X60" t="str">
        <v>0.13654463130659767141</v>
      </c>
      <c r="Y60" t="str">
        <v>0.13654463130659767141</v>
      </c>
      <c r="Z60" t="str">
        <v>0.00550</v>
      </c>
      <c r="AA60" t="str">
        <v>773.00000</v>
      </c>
      <c r="AB60" t="str">
        <v>20342T-LA RABAL</v>
      </c>
    </row>
    <row r="61" spans="1:28" x14ac:dyDescent="0.25">
      <c r="A61" t="str">
        <v>2025-10-16</v>
      </c>
      <c r="B61" t="str">
        <v>20228T-DE FEBRER ROSAS JOSEP M.-L:39-N:2-A:3002-POLLO AMARILLO HEMBRAS</v>
      </c>
      <c r="C61" t="str">
        <v>POLLO AMARILLO HEMBRAS</v>
      </c>
      <c r="D61" t="str">
        <v>5</v>
      </c>
      <c r="E61" t="str">
        <v>Broiler Amarillo</v>
      </c>
      <c r="F61" t="str">
        <v>45</v>
      </c>
      <c r="G61" t="str">
        <v>2025-09-01</v>
      </c>
      <c r="H61" t="str">
        <v>0</v>
      </c>
      <c r="I61" t="str">
        <v>Pre-Finalizado</v>
      </c>
      <c r="J61" t="str">
        <v>1.90756</v>
      </c>
      <c r="K61" t="str">
        <v>1.88365</v>
      </c>
      <c r="L61" t="str">
        <v>null</v>
      </c>
      <c r="M61" t="str">
        <v>null</v>
      </c>
      <c r="N61" t="str">
        <v>2.73200</v>
      </c>
      <c r="O61" t="str">
        <v>null</v>
      </c>
      <c r="P61" t="str">
        <v>16500.000</v>
      </c>
      <c r="Q61" t="str">
        <v>-14034.000</v>
      </c>
      <c r="R61" t="str">
        <v>-29993.000</v>
      </c>
      <c r="S61" t="str">
        <v>541.000</v>
      </c>
      <c r="T61" t="str">
        <v>541.000</v>
      </c>
      <c r="U61" t="str">
        <v>-14286.000</v>
      </c>
      <c r="V61" t="str">
        <v>-27596.876</v>
      </c>
      <c r="W61" t="str">
        <v>-0.40817142857142857143</v>
      </c>
      <c r="X61" t="str">
        <v>-15.3315977777777778</v>
      </c>
      <c r="Y61" t="str">
        <v>-15.3315977777777778</v>
      </c>
      <c r="Z61" t="str">
        <v>-0.40817</v>
      </c>
      <c r="AA61" t="str">
        <v>1800.00000</v>
      </c>
      <c r="AB61" t="str">
        <v>20228T-DE FEBRER ROSAS JOSEP M.</v>
      </c>
    </row>
    <row r="62" spans="1:28" x14ac:dyDescent="0.25">
      <c r="A62" t="str">
        <v>2025-10-16</v>
      </c>
      <c r="B62" t="str">
        <v>20228T-DE FEBRER ROSAS JOSEP M.-L:39-N:1-A:3002-POLLO AMARILLO HEMBRAS</v>
      </c>
      <c r="C62" t="str">
        <v>POLLO AMARILLO HEMBRAS</v>
      </c>
      <c r="D62" t="str">
        <v>5</v>
      </c>
      <c r="E62" t="str">
        <v>Broiler Amarillo</v>
      </c>
      <c r="F62" t="str">
        <v>45</v>
      </c>
      <c r="G62" t="str">
        <v>2025-09-01</v>
      </c>
      <c r="H62" t="str">
        <v>0</v>
      </c>
      <c r="I62" t="str">
        <v>Pre-Finalizado</v>
      </c>
      <c r="J62" t="str">
        <v>1.87680</v>
      </c>
      <c r="K62" t="str">
        <v>1.85200</v>
      </c>
      <c r="L62" t="str">
        <v>null</v>
      </c>
      <c r="M62" t="str">
        <v>null</v>
      </c>
      <c r="N62" t="str">
        <v>2.73200</v>
      </c>
      <c r="O62" t="str">
        <v>null</v>
      </c>
      <c r="P62" t="str">
        <v>16000.000</v>
      </c>
      <c r="Q62" t="str">
        <v>-6778.000</v>
      </c>
      <c r="R62" t="str">
        <v>-22748.000</v>
      </c>
      <c r="S62" t="str">
        <v>30.000</v>
      </c>
      <c r="T62" t="str">
        <v>30.000</v>
      </c>
      <c r="U62" t="str">
        <v>-6480.000</v>
      </c>
      <c r="V62" t="str">
        <v>-12393.746</v>
      </c>
      <c r="W62" t="str">
        <v>-0.19636363636363636364</v>
      </c>
      <c r="X62" t="str">
        <v>-7.2478046783625731</v>
      </c>
      <c r="Y62" t="str">
        <v>-7.2478046783625731</v>
      </c>
      <c r="Z62" t="str">
        <v>-0.19636</v>
      </c>
      <c r="AA62" t="str">
        <v>1710.00000</v>
      </c>
      <c r="AB62" t="str">
        <v>20228T-DE FEBRER ROSAS JOSEP M.</v>
      </c>
    </row>
    <row r="63" spans="1:28" x14ac:dyDescent="0.25">
      <c r="A63" t="str">
        <v>2025-10-16</v>
      </c>
      <c r="B63" t="str">
        <v>20264T-ROS-SELVA S.C.P.-L:39-N:2-A:3002-POLLO AMARILLO HEMBRAS</v>
      </c>
      <c r="C63" t="str">
        <v>POLLO AMARILLO HEMBRAS</v>
      </c>
      <c r="D63" t="str">
        <v>5</v>
      </c>
      <c r="E63" t="str">
        <v>Broiler Amarillo</v>
      </c>
      <c r="F63" t="str">
        <v>34</v>
      </c>
      <c r="G63" t="str">
        <v>2025-09-12</v>
      </c>
      <c r="H63" t="str">
        <v>0</v>
      </c>
      <c r="I63" t="str">
        <v>Abierto</v>
      </c>
      <c r="J63" t="str">
        <v>1.79127</v>
      </c>
      <c r="K63" t="str">
        <v>1.79127</v>
      </c>
      <c r="L63" t="str">
        <v>1.79100</v>
      </c>
      <c r="M63" t="str">
        <v>null</v>
      </c>
      <c r="N63" t="str">
        <v>1.89600</v>
      </c>
      <c r="O63" t="str">
        <v>null</v>
      </c>
      <c r="P63" t="str">
        <v>16300.000</v>
      </c>
      <c r="Q63" t="str">
        <v>-174.000</v>
      </c>
      <c r="R63" t="str">
        <v>-15963.000</v>
      </c>
      <c r="S63" t="str">
        <v>511.000</v>
      </c>
      <c r="T63" t="str">
        <v>511.000</v>
      </c>
      <c r="U63" t="str">
        <v>15226.000</v>
      </c>
      <c r="V63" t="str">
        <v>32089.919</v>
      </c>
      <c r="W63" t="str">
        <v>0.48336507936507936508</v>
      </c>
      <c r="X63" t="str">
        <v>19.4484357575757576</v>
      </c>
      <c r="Y63" t="str">
        <v>19.4484357575757576</v>
      </c>
      <c r="Z63" t="str">
        <v>0.48337</v>
      </c>
      <c r="AA63" t="str">
        <v>1650.00000</v>
      </c>
      <c r="AB63" t="str">
        <v>20264T-ROS-SELVA S.C.P.</v>
      </c>
    </row>
    <row r="64" spans="1:28" x14ac:dyDescent="0.25">
      <c r="A64" t="str">
        <v>2025-10-16</v>
      </c>
      <c r="B64" t="str">
        <v>20264T-ROS-SELVA S.C.P.-L:39-N:1-A:3002-POLLO AMARILLO HEMBRAS</v>
      </c>
      <c r="C64" t="str">
        <v>POLLO AMARILLO HEMBRAS</v>
      </c>
      <c r="D64" t="str">
        <v>5</v>
      </c>
      <c r="E64" t="str">
        <v>Broiler Amarillo</v>
      </c>
      <c r="F64" t="str">
        <v>34</v>
      </c>
      <c r="G64" t="str">
        <v>2025-09-12</v>
      </c>
      <c r="H64" t="str">
        <v>0</v>
      </c>
      <c r="I64" t="str">
        <v>Pre-Finalizado</v>
      </c>
      <c r="J64" t="str">
        <v>1.78973</v>
      </c>
      <c r="K64" t="str">
        <v>1.78973</v>
      </c>
      <c r="L64" t="str">
        <v>1.79000</v>
      </c>
      <c r="M64" t="str">
        <v>null</v>
      </c>
      <c r="N64" t="str">
        <v>1.89600</v>
      </c>
      <c r="O64" t="str">
        <v>null</v>
      </c>
      <c r="P64" t="str">
        <v>18200.000</v>
      </c>
      <c r="Q64" t="str">
        <v>-17475.000</v>
      </c>
      <c r="R64" t="str">
        <v>-35124.000</v>
      </c>
      <c r="S64" t="str">
        <v>551.000</v>
      </c>
      <c r="T64" t="str">
        <v>551.000</v>
      </c>
      <c r="U64" t="str">
        <v>174.000</v>
      </c>
      <c r="V64" t="str">
        <v>6034.454</v>
      </c>
      <c r="W64" t="str">
        <v>0.00497142857142857143</v>
      </c>
      <c r="X64" t="str">
        <v>3.1928328042328042</v>
      </c>
      <c r="Y64" t="str">
        <v>3.1928328042328042</v>
      </c>
      <c r="Z64" t="str">
        <v>0.00497</v>
      </c>
      <c r="AA64" t="str">
        <v>1890.00000</v>
      </c>
      <c r="AB64" t="str">
        <v>20264T-ROS-SELVA S.C.P.</v>
      </c>
    </row>
    <row r="65" spans="1:28" x14ac:dyDescent="0.25">
      <c r="A65" t="str">
        <v>2025-10-16</v>
      </c>
      <c r="B65" t="str">
        <v>20389T-AVICOLA JUBERT-L:40-N:1-A:3001-POLLO AMARILLO MACHO</v>
      </c>
      <c r="C65" t="str">
        <v>POLLO AMARILLO MACHO</v>
      </c>
      <c r="D65" t="str">
        <v>5</v>
      </c>
      <c r="E65" t="str">
        <v>Broiler Amarillo</v>
      </c>
      <c r="F65" t="str">
        <v>30</v>
      </c>
      <c r="G65" t="str">
        <v>2025-09-16</v>
      </c>
      <c r="H65" t="str">
        <v>0</v>
      </c>
      <c r="I65" t="str">
        <v>Abierto</v>
      </c>
      <c r="J65" t="str">
        <v>1.77400</v>
      </c>
      <c r="K65" t="str">
        <v>1.77328</v>
      </c>
      <c r="L65" t="str">
        <v>null</v>
      </c>
      <c r="M65" t="str">
        <v>null</v>
      </c>
      <c r="N65" t="str">
        <v>1.78700</v>
      </c>
      <c r="O65" t="str">
        <v>null</v>
      </c>
      <c r="P65" t="str">
        <v>17300.000</v>
      </c>
      <c r="Q65" t="str">
        <v>16796.000</v>
      </c>
      <c r="R65" t="str">
        <v>0.000</v>
      </c>
      <c r="S65" t="str">
        <v>504.000</v>
      </c>
      <c r="T65" t="str">
        <v>504.000</v>
      </c>
      <c r="U65" t="str">
        <v>33492.000</v>
      </c>
      <c r="V65" t="str">
        <v>55441.160</v>
      </c>
      <c r="W65" t="str">
        <v>0.98505882352941176471</v>
      </c>
      <c r="X65" t="str">
        <v>30.8006444444444444</v>
      </c>
      <c r="Y65" t="str">
        <v>30.8006444444444444</v>
      </c>
      <c r="Z65" t="str">
        <v>0.98506</v>
      </c>
      <c r="AA65" t="str">
        <v>1800.00000</v>
      </c>
      <c r="AB65" t="str">
        <v>20389T-AVICOLA JUBERT</v>
      </c>
    </row>
    <row r="66" spans="1:28" x14ac:dyDescent="0.25">
      <c r="A66" t="str">
        <v>2025-10-16</v>
      </c>
      <c r="B66" t="str">
        <v>20255T-LA RABAL-L:32-N:7-A:3001-POLLO AMARILLO MACHO</v>
      </c>
      <c r="C66" t="str">
        <v>POLLO AMARILLO MACHO</v>
      </c>
      <c r="D66" t="str">
        <v>5</v>
      </c>
      <c r="E66" t="str">
        <v>Broiler Amarillo</v>
      </c>
      <c r="F66" t="str">
        <v>30</v>
      </c>
      <c r="G66" t="str">
        <v>2025-09-16</v>
      </c>
      <c r="H66" t="str">
        <v>0</v>
      </c>
      <c r="I66" t="str">
        <v>Abierto</v>
      </c>
      <c r="J66" t="str">
        <v>1.66500</v>
      </c>
      <c r="K66" t="str">
        <v>1.64262</v>
      </c>
      <c r="L66" t="str">
        <v>null</v>
      </c>
      <c r="M66" t="str">
        <v>null</v>
      </c>
      <c r="N66" t="str">
        <v>1.78700</v>
      </c>
      <c r="O66" t="str">
        <v>null</v>
      </c>
      <c r="P66" t="str">
        <v>9300.000</v>
      </c>
      <c r="Q66" t="str">
        <v>8926.000</v>
      </c>
      <c r="R66" t="str">
        <v>0.000</v>
      </c>
      <c r="S66" t="str">
        <v>101.000</v>
      </c>
      <c r="T66" t="str">
        <v>101.000</v>
      </c>
      <c r="U66" t="str">
        <v>20924.000</v>
      </c>
      <c r="V66" t="str">
        <v>31850.958</v>
      </c>
      <c r="W66" t="str">
        <v>0.99638095238095238095</v>
      </c>
      <c r="X66" t="str">
        <v>24.7098200155159038</v>
      </c>
      <c r="Y66" t="str">
        <v>24.7098200155159038</v>
      </c>
      <c r="Z66" t="str">
        <v>0.99638</v>
      </c>
      <c r="AA66" t="str">
        <v>1289.00000</v>
      </c>
      <c r="AB66" t="str">
        <v>20255T-LA RABAL</v>
      </c>
    </row>
    <row r="67" spans="1:28" x14ac:dyDescent="0.25">
      <c r="A67" t="str">
        <v>2025-10-16</v>
      </c>
      <c r="B67" t="str">
        <v>20381T-MELCIO POLLASTRES-L:39-N:1-A:3001-POLLO AMARILLO MACHO</v>
      </c>
      <c r="C67" t="str">
        <v>POLLO AMARILLO MACHO</v>
      </c>
      <c r="D67" t="str">
        <v>5</v>
      </c>
      <c r="E67" t="str">
        <v>Broiler Amarillo</v>
      </c>
      <c r="F67" t="str">
        <v>30</v>
      </c>
      <c r="G67" t="str">
        <v>2025-09-16</v>
      </c>
      <c r="H67" t="str">
        <v>0</v>
      </c>
      <c r="I67" t="str">
        <v>Abierto</v>
      </c>
      <c r="J67" t="str">
        <v>1.65900</v>
      </c>
      <c r="K67" t="str">
        <v>1.65189</v>
      </c>
      <c r="L67" t="str">
        <v>null</v>
      </c>
      <c r="M67" t="str">
        <v>null</v>
      </c>
      <c r="N67" t="str">
        <v>1.78700</v>
      </c>
      <c r="O67" t="str">
        <v>null</v>
      </c>
      <c r="P67" t="str">
        <v>16500.000</v>
      </c>
      <c r="Q67" t="str">
        <v>15957.000</v>
      </c>
      <c r="R67" t="str">
        <v>0.000</v>
      </c>
      <c r="S67" t="str">
        <v>487.000</v>
      </c>
      <c r="T67" t="str">
        <v>487.000</v>
      </c>
      <c r="U67" t="str">
        <v>33417.000</v>
      </c>
      <c r="V67" t="str">
        <v>51859.503</v>
      </c>
      <c r="W67" t="str">
        <v>0.99455357142857142857</v>
      </c>
      <c r="X67" t="str">
        <v>28.8108350000000000</v>
      </c>
      <c r="Y67" t="str">
        <v>28.8108350000000000</v>
      </c>
      <c r="Z67" t="str">
        <v>0.99455</v>
      </c>
      <c r="AA67" t="str">
        <v>1800.00000</v>
      </c>
      <c r="AB67" t="str">
        <v>20381T-MELCIO POLLASTRES</v>
      </c>
    </row>
    <row r="68" spans="1:28" x14ac:dyDescent="0.25">
      <c r="A68" t="str">
        <v>2025-10-16</v>
      </c>
      <c r="B68" t="str">
        <v>20380T-COMELLAS-L:39-N:2-A:3001-POLLO AMARILLO MACHO</v>
      </c>
      <c r="C68" t="str">
        <v>POLLO AMARILLO MACHO</v>
      </c>
      <c r="D68" t="str">
        <v>5</v>
      </c>
      <c r="E68" t="str">
        <v>Broiler Amarillo</v>
      </c>
      <c r="F68" t="str">
        <v>31</v>
      </c>
      <c r="G68" t="str">
        <v>2025-09-15</v>
      </c>
      <c r="H68" t="str">
        <v>0</v>
      </c>
      <c r="I68" t="str">
        <v>Abierto</v>
      </c>
      <c r="J68" t="str">
        <v>1.65200</v>
      </c>
      <c r="K68" t="str">
        <v>1.65200</v>
      </c>
      <c r="L68" t="str">
        <v>null</v>
      </c>
      <c r="M68" t="str">
        <v>1.65200</v>
      </c>
      <c r="N68" t="str">
        <v>1.88100</v>
      </c>
      <c r="O68" t="str">
        <v>null</v>
      </c>
      <c r="P68" t="str">
        <v>17600.000</v>
      </c>
      <c r="Q68" t="str">
        <v>17197.000</v>
      </c>
      <c r="R68" t="str">
        <v>0.000</v>
      </c>
      <c r="S68" t="str">
        <v>400.000</v>
      </c>
      <c r="T68" t="str">
        <v>521.000</v>
      </c>
      <c r="U68" t="str">
        <v>33586.000</v>
      </c>
      <c r="V68" t="str">
        <v>53681.282</v>
      </c>
      <c r="W68" t="str">
        <v>0.98782352941176470588</v>
      </c>
      <c r="X68" t="str">
        <v>27.9590010416666667</v>
      </c>
      <c r="Y68" t="str">
        <v>27.9590010416666667</v>
      </c>
      <c r="Z68" t="str">
        <v>0.98782</v>
      </c>
      <c r="AA68" t="str">
        <v>1920.00000</v>
      </c>
      <c r="AB68" t="str">
        <v>20380T-COMELLAS</v>
      </c>
    </row>
    <row r="69" spans="1:28" x14ac:dyDescent="0.25">
      <c r="A69" t="str">
        <v>2025-10-16</v>
      </c>
      <c r="B69" t="str">
        <v>20436T-AGRIIS ROS, SL-L:15-N:2-A:3001-POLLO AMARILLO MACHO</v>
      </c>
      <c r="C69" t="str">
        <v>POLLO AMARILLO MACHO</v>
      </c>
      <c r="D69" t="str">
        <v>5</v>
      </c>
      <c r="E69" t="str">
        <v>Broiler Amarillo</v>
      </c>
      <c r="F69" t="str">
        <v>28</v>
      </c>
      <c r="G69" t="str">
        <v>2025-09-18</v>
      </c>
      <c r="H69" t="str">
        <v>0</v>
      </c>
      <c r="I69" t="str">
        <v>Abierto</v>
      </c>
      <c r="J69" t="str">
        <v>1.64500</v>
      </c>
      <c r="K69" t="str">
        <v>1.64500</v>
      </c>
      <c r="L69" t="str">
        <v>null</v>
      </c>
      <c r="M69" t="str">
        <v>1.64500</v>
      </c>
      <c r="N69" t="str">
        <v>1.60100</v>
      </c>
      <c r="O69" t="str">
        <v>null</v>
      </c>
      <c r="P69" t="str">
        <v>8900.000</v>
      </c>
      <c r="Q69" t="str">
        <v>8632.000</v>
      </c>
      <c r="R69" t="str">
        <v>0.000</v>
      </c>
      <c r="S69" t="str">
        <v>252.000</v>
      </c>
      <c r="T69" t="str">
        <v>252.000</v>
      </c>
      <c r="U69" t="str">
        <v>17173.000</v>
      </c>
      <c r="V69" t="str">
        <v>26678.041</v>
      </c>
      <c r="W69" t="str">
        <v>0.95405555555555555556</v>
      </c>
      <c r="X69" t="str">
        <v>27.8476419624217119</v>
      </c>
      <c r="Y69" t="str">
        <v>27.8476419624217119</v>
      </c>
      <c r="Z69" t="str">
        <v>0.95406</v>
      </c>
      <c r="AA69" t="str">
        <v>958.00000</v>
      </c>
      <c r="AB69" t="str">
        <v>20436T-AGRIIS ROS, SL</v>
      </c>
    </row>
    <row r="70" spans="1:28" x14ac:dyDescent="0.25">
      <c r="A70" t="str">
        <v>2025-10-16</v>
      </c>
      <c r="B70" t="str">
        <v>20436T-AGRIIS ROS, SL-L:15-N:1-A:3001-POLLO AMARILLO MACHO</v>
      </c>
      <c r="C70" t="str">
        <v>POLLO AMARILLO MACHO</v>
      </c>
      <c r="D70" t="str">
        <v>5</v>
      </c>
      <c r="E70" t="str">
        <v>Broiler Amarillo</v>
      </c>
      <c r="F70" t="str">
        <v>28</v>
      </c>
      <c r="G70" t="str">
        <v>2025-09-18</v>
      </c>
      <c r="H70" t="str">
        <v>0</v>
      </c>
      <c r="I70" t="str">
        <v>Abierto</v>
      </c>
      <c r="J70" t="str">
        <v>1.64100</v>
      </c>
      <c r="K70" t="str">
        <v>1.64100</v>
      </c>
      <c r="L70" t="str">
        <v>null</v>
      </c>
      <c r="M70" t="str">
        <v>1.64100</v>
      </c>
      <c r="N70" t="str">
        <v>1.60100</v>
      </c>
      <c r="O70" t="str">
        <v>null</v>
      </c>
      <c r="P70" t="str">
        <v>8800.000</v>
      </c>
      <c r="Q70" t="str">
        <v>8565.000</v>
      </c>
      <c r="R70" t="str">
        <v>0.000</v>
      </c>
      <c r="S70" t="str">
        <v>223.000</v>
      </c>
      <c r="T70" t="str">
        <v>223.000</v>
      </c>
      <c r="U70" t="str">
        <v>17114.000</v>
      </c>
      <c r="V70" t="str">
        <v>26502.509</v>
      </c>
      <c r="W70" t="str">
        <v>0.95077777777777777778</v>
      </c>
      <c r="X70" t="str">
        <v>27.8973778947368421</v>
      </c>
      <c r="Y70" t="str">
        <v>27.8973778947368421</v>
      </c>
      <c r="Z70" t="str">
        <v>0.95078</v>
      </c>
      <c r="AA70" t="str">
        <v>950.00000</v>
      </c>
      <c r="AB70" t="str">
        <v>20436T-AGRIIS ROS, SL</v>
      </c>
    </row>
    <row r="71" spans="1:28" x14ac:dyDescent="0.25">
      <c r="A71" t="str">
        <v>2025-10-16</v>
      </c>
      <c r="B71" t="str">
        <v>20380T-COMELLAS-L:39-N:1-A:3001-POLLO AMARILLO MACHO</v>
      </c>
      <c r="C71" t="str">
        <v>POLLO AMARILLO MACHO</v>
      </c>
      <c r="D71" t="str">
        <v>5</v>
      </c>
      <c r="E71" t="str">
        <v>Broiler Amarillo</v>
      </c>
      <c r="F71" t="str">
        <v>31</v>
      </c>
      <c r="G71" t="str">
        <v>2025-09-15</v>
      </c>
      <c r="H71" t="str">
        <v>0</v>
      </c>
      <c r="I71" t="str">
        <v>Abierto</v>
      </c>
      <c r="J71" t="str">
        <v>1.62600</v>
      </c>
      <c r="K71" t="str">
        <v>1.62600</v>
      </c>
      <c r="L71" t="str">
        <v>null</v>
      </c>
      <c r="M71" t="str">
        <v>1.62600</v>
      </c>
      <c r="N71" t="str">
        <v>1.88100</v>
      </c>
      <c r="O71" t="str">
        <v>null</v>
      </c>
      <c r="P71" t="str">
        <v>16200.000</v>
      </c>
      <c r="Q71" t="str">
        <v>15702.000</v>
      </c>
      <c r="R71" t="str">
        <v>0.000</v>
      </c>
      <c r="S71" t="str">
        <v>495.000</v>
      </c>
      <c r="T71" t="str">
        <v>142.000</v>
      </c>
      <c r="U71" t="str">
        <v>31850.000</v>
      </c>
      <c r="V71" t="str">
        <v>50318.632</v>
      </c>
      <c r="W71" t="str">
        <v>0.99531250000000000000</v>
      </c>
      <c r="X71" t="str">
        <v>27.9547955555555556</v>
      </c>
      <c r="Y71" t="str">
        <v>27.9547955555555556</v>
      </c>
      <c r="Z71" t="str">
        <v>0.99531</v>
      </c>
      <c r="AA71" t="str">
        <v>1800.00000</v>
      </c>
      <c r="AB71" t="str">
        <v>20380T-COMELLAS</v>
      </c>
    </row>
    <row r="72" spans="1:28" x14ac:dyDescent="0.25">
      <c r="A72" t="str">
        <v>2025-10-16</v>
      </c>
      <c r="B72" t="str">
        <v>20342T-LA RABAL-L:37-N:6-A:3002-POLLO AMARILLO HEMBRAS</v>
      </c>
      <c r="C72" t="str">
        <v>POLLO AMARILLO HEMBRAS</v>
      </c>
      <c r="D72" t="str">
        <v>5</v>
      </c>
      <c r="E72" t="str">
        <v>Broiler Amarillo</v>
      </c>
      <c r="F72" t="str">
        <v>38</v>
      </c>
      <c r="G72" t="str">
        <v>2025-09-08</v>
      </c>
      <c r="H72" t="str">
        <v>0</v>
      </c>
      <c r="I72" t="str">
        <v>Abierto</v>
      </c>
      <c r="J72" t="str">
        <v>1.61564</v>
      </c>
      <c r="K72" t="str">
        <v>1.56990</v>
      </c>
      <c r="L72" t="str">
        <v>null</v>
      </c>
      <c r="M72" t="str">
        <v>null</v>
      </c>
      <c r="N72" t="str">
        <v>2.14800</v>
      </c>
      <c r="O72" t="str">
        <v>null</v>
      </c>
      <c r="P72" t="str">
        <v>11700.000</v>
      </c>
      <c r="Q72" t="str">
        <v>2555.000</v>
      </c>
      <c r="R72" t="str">
        <v>-8702.000</v>
      </c>
      <c r="S72" t="str">
        <v>371.000</v>
      </c>
      <c r="T72" t="str">
        <v>371.000</v>
      </c>
      <c r="U72" t="str">
        <v>2555.000</v>
      </c>
      <c r="V72" t="str">
        <v>4127.960</v>
      </c>
      <c r="W72" t="str">
        <v>0.25550000000000000000</v>
      </c>
      <c r="X72" t="str">
        <v>5.3401811125485123</v>
      </c>
      <c r="Y72" t="str">
        <v>5.3401811125485123</v>
      </c>
      <c r="Z72" t="str">
        <v>0.25550</v>
      </c>
      <c r="AA72" t="str">
        <v>773.00000</v>
      </c>
      <c r="AB72" t="str">
        <v>20342T-LA RABAL</v>
      </c>
    </row>
    <row r="73" spans="1:28" x14ac:dyDescent="0.25">
      <c r="A73" t="str">
        <v>2025-10-16</v>
      </c>
      <c r="B73" t="str">
        <v>20380T-COMELLAS-L:39-N:2-A:3002-POLLO AMARILLO HEMBRAS</v>
      </c>
      <c r="C73" t="str">
        <v>POLLO AMARILLO HEMBRAS</v>
      </c>
      <c r="D73" t="str">
        <v>5</v>
      </c>
      <c r="E73" t="str">
        <v>Broiler Amarillo</v>
      </c>
      <c r="F73" t="str">
        <v>31</v>
      </c>
      <c r="G73" t="str">
        <v>2025-09-15</v>
      </c>
      <c r="H73" t="str">
        <v>0</v>
      </c>
      <c r="I73" t="str">
        <v>Abierto</v>
      </c>
      <c r="J73" t="str">
        <v>1.54200</v>
      </c>
      <c r="K73" t="str">
        <v>1.54200</v>
      </c>
      <c r="L73" t="str">
        <v>null</v>
      </c>
      <c r="M73" t="str">
        <v>1.54200</v>
      </c>
      <c r="N73" t="str">
        <v>1.66200</v>
      </c>
      <c r="O73" t="str">
        <v>null</v>
      </c>
      <c r="P73" t="str">
        <v>16900.000</v>
      </c>
      <c r="Q73" t="str">
        <v>16389.000</v>
      </c>
      <c r="R73" t="str">
        <v>0.000</v>
      </c>
      <c r="S73" t="str">
        <v>507.000</v>
      </c>
      <c r="T73" t="str">
        <v>507.000</v>
      </c>
      <c r="U73" t="str">
        <v>33586.000</v>
      </c>
      <c r="V73" t="str">
        <v>53681.282</v>
      </c>
      <c r="W73" t="str">
        <v>0.98782352941176470588</v>
      </c>
      <c r="X73" t="str">
        <v>27.9590010416666667</v>
      </c>
      <c r="Y73" t="str">
        <v>27.9590010416666667</v>
      </c>
      <c r="Z73" t="str">
        <v>0.98782</v>
      </c>
      <c r="AA73" t="str">
        <v>1920.00000</v>
      </c>
      <c r="AB73" t="str">
        <v>20380T-COMELLAS</v>
      </c>
    </row>
    <row r="74" spans="1:28" x14ac:dyDescent="0.25">
      <c r="A74" t="str">
        <v>2025-10-16</v>
      </c>
      <c r="B74" t="str">
        <v>20389T-AVICOLA JUBERT-L:40-N:1-A:3002-POLLO AMARILLO HEMBRAS</v>
      </c>
      <c r="C74" t="str">
        <v>POLLO AMARILLO HEMBRAS</v>
      </c>
      <c r="D74" t="str">
        <v>5</v>
      </c>
      <c r="E74" t="str">
        <v>Broiler Amarillo</v>
      </c>
      <c r="F74" t="str">
        <v>30</v>
      </c>
      <c r="G74" t="str">
        <v>2025-09-16</v>
      </c>
      <c r="H74" t="str">
        <v>0</v>
      </c>
      <c r="I74" t="str">
        <v>Abierto</v>
      </c>
      <c r="J74" t="str">
        <v>1.53600</v>
      </c>
      <c r="K74" t="str">
        <v>1.53348</v>
      </c>
      <c r="L74" t="str">
        <v>null</v>
      </c>
      <c r="M74" t="str">
        <v>null</v>
      </c>
      <c r="N74" t="str">
        <v>1.58600</v>
      </c>
      <c r="O74" t="str">
        <v>null</v>
      </c>
      <c r="P74" t="str">
        <v>17200.000</v>
      </c>
      <c r="Q74" t="str">
        <v>16696.000</v>
      </c>
      <c r="R74" t="str">
        <v>0.000</v>
      </c>
      <c r="S74" t="str">
        <v>504.000</v>
      </c>
      <c r="T74" t="str">
        <v>504.000</v>
      </c>
      <c r="U74" t="str">
        <v>33492.000</v>
      </c>
      <c r="V74" t="str">
        <v>55441.160</v>
      </c>
      <c r="W74" t="str">
        <v>0.98505882352941176471</v>
      </c>
      <c r="X74" t="str">
        <v>30.8006444444444444</v>
      </c>
      <c r="Y74" t="str">
        <v>30.8006444444444444</v>
      </c>
      <c r="Z74" t="str">
        <v>0.98506</v>
      </c>
      <c r="AA74" t="str">
        <v>1800.00000</v>
      </c>
      <c r="AB74" t="str">
        <v>20389T-AVICOLA JUBERT</v>
      </c>
    </row>
    <row r="75" spans="1:28" x14ac:dyDescent="0.25">
      <c r="A75" t="str">
        <v>2025-10-16</v>
      </c>
      <c r="B75" t="str">
        <v>20380T-COMELLAS-L:39-N:1-A:3002-POLLO AMARILLO HEMBRAS</v>
      </c>
      <c r="C75" t="str">
        <v>POLLO AMARILLO HEMBRAS</v>
      </c>
      <c r="D75" t="str">
        <v>5</v>
      </c>
      <c r="E75" t="str">
        <v>Broiler Amarillo</v>
      </c>
      <c r="F75" t="str">
        <v>31</v>
      </c>
      <c r="G75" t="str">
        <v>2025-09-15</v>
      </c>
      <c r="H75" t="str">
        <v>0</v>
      </c>
      <c r="I75" t="str">
        <v>Abierto</v>
      </c>
      <c r="J75" t="str">
        <v>1.53500</v>
      </c>
      <c r="K75" t="str">
        <v>1.53500</v>
      </c>
      <c r="L75" t="str">
        <v>null</v>
      </c>
      <c r="M75" t="str">
        <v>1.53500</v>
      </c>
      <c r="N75" t="str">
        <v>1.66200</v>
      </c>
      <c r="O75" t="str">
        <v>null</v>
      </c>
      <c r="P75" t="str">
        <v>16300.000</v>
      </c>
      <c r="Q75" t="str">
        <v>16148.000</v>
      </c>
      <c r="R75" t="str">
        <v>0.000</v>
      </c>
      <c r="S75" t="str">
        <v>148.000</v>
      </c>
      <c r="T75" t="str">
        <v>148.000</v>
      </c>
      <c r="U75" t="str">
        <v>31850.000</v>
      </c>
      <c r="V75" t="str">
        <v>50318.632</v>
      </c>
      <c r="W75" t="str">
        <v>0.99531250000000000000</v>
      </c>
      <c r="X75" t="str">
        <v>27.9547955555555556</v>
      </c>
      <c r="Y75" t="str">
        <v>27.9547955555555556</v>
      </c>
      <c r="Z75" t="str">
        <v>0.99531</v>
      </c>
      <c r="AA75" t="str">
        <v>1800.00000</v>
      </c>
      <c r="AB75" t="str">
        <v>20380T-COMELLAS</v>
      </c>
    </row>
    <row r="76" spans="1:28" x14ac:dyDescent="0.25">
      <c r="A76" t="str">
        <v>2025-10-16</v>
      </c>
      <c r="B76" t="str">
        <v>20269T-GRANVOL SALA, SC (Sala Teixidor)-L:33-N:1-A:3003-POLLO AMARILLO MIXTO</v>
      </c>
      <c r="C76" t="str">
        <v>POLLO AMARILLO MIXTO</v>
      </c>
      <c r="D76" t="str">
        <v>5</v>
      </c>
      <c r="E76" t="str">
        <v>Broiler Amarillo</v>
      </c>
      <c r="F76" t="str">
        <v>28</v>
      </c>
      <c r="G76" t="str">
        <v>2025-09-18</v>
      </c>
      <c r="H76" t="str">
        <v>0</v>
      </c>
      <c r="I76" t="str">
        <v>Abierto</v>
      </c>
      <c r="J76" t="str">
        <v>1.46300</v>
      </c>
      <c r="K76" t="str">
        <v>1.42234</v>
      </c>
      <c r="L76" t="str">
        <v>null</v>
      </c>
      <c r="M76" t="str">
        <v>null</v>
      </c>
      <c r="N76" t="str">
        <v>1.52200</v>
      </c>
      <c r="O76" t="str">
        <v>null</v>
      </c>
      <c r="P76" t="str">
        <v>27500.000</v>
      </c>
      <c r="Q76" t="str">
        <v>26643.000</v>
      </c>
      <c r="R76" t="str">
        <v>0.000</v>
      </c>
      <c r="S76" t="str">
        <v>797.000</v>
      </c>
      <c r="T76" t="str">
        <v>797.000</v>
      </c>
      <c r="U76" t="str">
        <v>26643.000</v>
      </c>
      <c r="V76" t="str">
        <v>38978.709</v>
      </c>
      <c r="W76" t="str">
        <v>0.98677777777777777778</v>
      </c>
      <c r="X76" t="str">
        <v>25.9858060000000000</v>
      </c>
      <c r="Y76" t="str">
        <v>25.9858060000000000</v>
      </c>
      <c r="Z76" t="str">
        <v>0.98678</v>
      </c>
      <c r="AA76" t="str">
        <v>1500.00000</v>
      </c>
      <c r="AB76" t="str">
        <v>20269T-GRANVOL SALA, SC (Sala Teixidor)</v>
      </c>
    </row>
    <row r="77" spans="1:28" x14ac:dyDescent="0.25">
      <c r="A77" t="str">
        <v>2025-10-16</v>
      </c>
      <c r="B77" t="str">
        <v>20436T-AGRIIS ROS, SL-L:15-N:2-A:3002-POLLO AMARILLO HEMBRAS</v>
      </c>
      <c r="C77" t="str">
        <v>POLLO AMARILLO HEMBRAS</v>
      </c>
      <c r="D77" t="str">
        <v>5</v>
      </c>
      <c r="E77" t="str">
        <v>Broiler Amarillo</v>
      </c>
      <c r="F77" t="str">
        <v>28</v>
      </c>
      <c r="G77" t="str">
        <v>2025-09-18</v>
      </c>
      <c r="H77" t="str">
        <v>0</v>
      </c>
      <c r="I77" t="str">
        <v>Abierto</v>
      </c>
      <c r="J77" t="str">
        <v>1.46100</v>
      </c>
      <c r="K77" t="str">
        <v>1.46100</v>
      </c>
      <c r="L77" t="str">
        <v>null</v>
      </c>
      <c r="M77" t="str">
        <v>1.46100</v>
      </c>
      <c r="N77" t="str">
        <v>1.43500</v>
      </c>
      <c r="O77" t="str">
        <v>null</v>
      </c>
      <c r="P77" t="str">
        <v>8800.000</v>
      </c>
      <c r="Q77" t="str">
        <v>8541.000</v>
      </c>
      <c r="R77" t="str">
        <v>0.000</v>
      </c>
      <c r="S77" t="str">
        <v>249.000</v>
      </c>
      <c r="T77" t="str">
        <v>249.000</v>
      </c>
      <c r="U77" t="str">
        <v>17173.000</v>
      </c>
      <c r="V77" t="str">
        <v>26678.041</v>
      </c>
      <c r="W77" t="str">
        <v>0.95405555555555555556</v>
      </c>
      <c r="X77" t="str">
        <v>27.8476419624217119</v>
      </c>
      <c r="Y77" t="str">
        <v>27.8476419624217119</v>
      </c>
      <c r="Z77" t="str">
        <v>0.95406</v>
      </c>
      <c r="AA77" t="str">
        <v>958.00000</v>
      </c>
      <c r="AB77" t="str">
        <v>20436T-AGRIIS ROS, SL</v>
      </c>
    </row>
    <row r="78" spans="1:28" x14ac:dyDescent="0.25">
      <c r="A78" t="str">
        <v>2025-10-16</v>
      </c>
      <c r="B78" t="str">
        <v>20436T-AGRIIS ROS, SL-L:15-N:1-A:3002-POLLO AMARILLO HEMBRAS</v>
      </c>
      <c r="C78" t="str">
        <v>POLLO AMARILLO HEMBRAS</v>
      </c>
      <c r="D78" t="str">
        <v>5</v>
      </c>
      <c r="E78" t="str">
        <v>Broiler Amarillo</v>
      </c>
      <c r="F78" t="str">
        <v>28</v>
      </c>
      <c r="G78" t="str">
        <v>2025-09-18</v>
      </c>
      <c r="H78" t="str">
        <v>0</v>
      </c>
      <c r="I78" t="str">
        <v>Abierto</v>
      </c>
      <c r="J78" t="str">
        <v>1.45600</v>
      </c>
      <c r="K78" t="str">
        <v>1.45600</v>
      </c>
      <c r="L78" t="str">
        <v>null</v>
      </c>
      <c r="M78" t="str">
        <v>1.45600</v>
      </c>
      <c r="N78" t="str">
        <v>1.43500</v>
      </c>
      <c r="O78" t="str">
        <v>null</v>
      </c>
      <c r="P78" t="str">
        <v>8800.000</v>
      </c>
      <c r="Q78" t="str">
        <v>8549.000</v>
      </c>
      <c r="R78" t="str">
        <v>0.000</v>
      </c>
      <c r="S78" t="str">
        <v>243.000</v>
      </c>
      <c r="T78" t="str">
        <v>243.000</v>
      </c>
      <c r="U78" t="str">
        <v>17114.000</v>
      </c>
      <c r="V78" t="str">
        <v>26502.509</v>
      </c>
      <c r="W78" t="str">
        <v>0.95077777777777777778</v>
      </c>
      <c r="X78" t="str">
        <v>27.8973778947368421</v>
      </c>
      <c r="Y78" t="str">
        <v>27.8973778947368421</v>
      </c>
      <c r="Z78" t="str">
        <v>0.95078</v>
      </c>
      <c r="AA78" t="str">
        <v>950.00000</v>
      </c>
      <c r="AB78" t="str">
        <v>20436T-AGRIIS ROS, SL</v>
      </c>
    </row>
    <row r="79" spans="1:28" x14ac:dyDescent="0.25">
      <c r="A79" t="str">
        <v>2025-10-16</v>
      </c>
      <c r="B79" t="str">
        <v>20381T-MELCIO POLLASTRES-L:39-N:1-A:3002-POLLO AMARILLO HEMBRAS</v>
      </c>
      <c r="C79" t="str">
        <v>POLLO AMARILLO HEMBRAS</v>
      </c>
      <c r="D79" t="str">
        <v>5</v>
      </c>
      <c r="E79" t="str">
        <v>Broiler Amarillo</v>
      </c>
      <c r="F79" t="str">
        <v>30</v>
      </c>
      <c r="G79" t="str">
        <v>2025-09-16</v>
      </c>
      <c r="H79" t="str">
        <v>0</v>
      </c>
      <c r="I79" t="str">
        <v>Abierto</v>
      </c>
      <c r="J79" t="str">
        <v>1.45400</v>
      </c>
      <c r="K79" t="str">
        <v>1.44736</v>
      </c>
      <c r="L79" t="str">
        <v>null</v>
      </c>
      <c r="M79" t="str">
        <v>null</v>
      </c>
      <c r="N79" t="str">
        <v>1.58600</v>
      </c>
      <c r="O79" t="str">
        <v>null</v>
      </c>
      <c r="P79" t="str">
        <v>18000.000</v>
      </c>
      <c r="Q79" t="str">
        <v>17460.000</v>
      </c>
      <c r="R79" t="str">
        <v>0.000</v>
      </c>
      <c r="S79" t="str">
        <v>524.000</v>
      </c>
      <c r="T79" t="str">
        <v>524.000</v>
      </c>
      <c r="U79" t="str">
        <v>33417.000</v>
      </c>
      <c r="V79" t="str">
        <v>51859.503</v>
      </c>
      <c r="W79" t="str">
        <v>0.99455357142857142857</v>
      </c>
      <c r="X79" t="str">
        <v>28.8108350000000000</v>
      </c>
      <c r="Y79" t="str">
        <v>28.8108350000000000</v>
      </c>
      <c r="Z79" t="str">
        <v>0.99455</v>
      </c>
      <c r="AA79" t="str">
        <v>1800.00000</v>
      </c>
      <c r="AB79" t="str">
        <v>20381T-MELCIO POLLASTRES</v>
      </c>
    </row>
    <row r="80" spans="1:28" x14ac:dyDescent="0.25">
      <c r="A80" t="str">
        <v>2025-10-16</v>
      </c>
      <c r="B80" t="str">
        <v>20255T-LA RABAL-L:32-N:7-A:3002-POLLO AMARILLO HEMBRAS</v>
      </c>
      <c r="C80" t="str">
        <v>POLLO AMARILLO HEMBRAS</v>
      </c>
      <c r="D80" t="str">
        <v>5</v>
      </c>
      <c r="E80" t="str">
        <v>Broiler Amarillo</v>
      </c>
      <c r="F80" t="str">
        <v>30</v>
      </c>
      <c r="G80" t="str">
        <v>2025-09-16</v>
      </c>
      <c r="H80" t="str">
        <v>0</v>
      </c>
      <c r="I80" t="str">
        <v>Abierto</v>
      </c>
      <c r="J80" t="str">
        <v>1.41600</v>
      </c>
      <c r="K80" t="str">
        <v>1.38805</v>
      </c>
      <c r="L80" t="str">
        <v>null</v>
      </c>
      <c r="M80" t="str">
        <v>null</v>
      </c>
      <c r="N80" t="str">
        <v>1.58600</v>
      </c>
      <c r="O80" t="str">
        <v>null</v>
      </c>
      <c r="P80" t="str">
        <v>12500.000</v>
      </c>
      <c r="Q80" t="str">
        <v>11998.000</v>
      </c>
      <c r="R80" t="str">
        <v>0.000</v>
      </c>
      <c r="S80" t="str">
        <v>313.000</v>
      </c>
      <c r="T80" t="str">
        <v>313.000</v>
      </c>
      <c r="U80" t="str">
        <v>20924.000</v>
      </c>
      <c r="V80" t="str">
        <v>31850.958</v>
      </c>
      <c r="W80" t="str">
        <v>0.99638095238095238095</v>
      </c>
      <c r="X80" t="str">
        <v>24.7098200155159038</v>
      </c>
      <c r="Y80" t="str">
        <v>24.7098200155159038</v>
      </c>
      <c r="Z80" t="str">
        <v>0.99638</v>
      </c>
      <c r="AA80" t="str">
        <v>1289.00000</v>
      </c>
      <c r="AB80" t="str">
        <v>20255T-LA RABAL</v>
      </c>
    </row>
    <row r="81" spans="1:28" x14ac:dyDescent="0.25">
      <c r="A81" t="str">
        <v>2025-10-16</v>
      </c>
      <c r="B81" t="str">
        <v>20255T-LA RABAL-L:32-N:1-A:3003-POLLO AMARILLO MIXTO</v>
      </c>
      <c r="C81" t="str">
        <v>POLLO AMARILLO MIXTO</v>
      </c>
      <c r="D81" t="str">
        <v>5</v>
      </c>
      <c r="E81" t="str">
        <v>Broiler Amarillo</v>
      </c>
      <c r="F81" t="str">
        <v>28</v>
      </c>
      <c r="G81" t="str">
        <v>2025-09-18</v>
      </c>
      <c r="H81" t="str">
        <v>0</v>
      </c>
      <c r="I81" t="str">
        <v>Abierto</v>
      </c>
      <c r="J81" t="str">
        <v>1.40500</v>
      </c>
      <c r="K81" t="str">
        <v>1.33878</v>
      </c>
      <c r="L81" t="str">
        <v>null</v>
      </c>
      <c r="M81" t="str">
        <v>null</v>
      </c>
      <c r="N81" t="str">
        <v>1.52200</v>
      </c>
      <c r="O81" t="str">
        <v>null</v>
      </c>
      <c r="P81" t="str">
        <v>16650.000</v>
      </c>
      <c r="Q81" t="str">
        <v>16258.000</v>
      </c>
      <c r="R81" t="str">
        <v>0.000</v>
      </c>
      <c r="S81" t="str">
        <v>350.000</v>
      </c>
      <c r="T81" t="str">
        <v>350.000</v>
      </c>
      <c r="U81" t="str">
        <v>16258.000</v>
      </c>
      <c r="V81" t="str">
        <v>22842.490</v>
      </c>
      <c r="W81" t="str">
        <v>0.90322222222222222222</v>
      </c>
      <c r="X81" t="str">
        <v>23.3324719101123596</v>
      </c>
      <c r="Y81" t="str">
        <v>23.3324719101123596</v>
      </c>
      <c r="Z81" t="str">
        <v>0.90322</v>
      </c>
      <c r="AA81" t="str">
        <v>979.00000</v>
      </c>
      <c r="AB81" t="str">
        <v>20255T-LA RABAL</v>
      </c>
    </row>
    <row r="82" spans="1:28" x14ac:dyDescent="0.25">
      <c r="A82" t="str">
        <v>2025-10-16</v>
      </c>
      <c r="B82" t="str">
        <v>20318T-PUIGPINOS PURGIMON SCP-L:38-N:4-A:3001-POLLO AMARILLO MACHO</v>
      </c>
      <c r="C82" t="str">
        <v>POLLO AMARILLO MACHO</v>
      </c>
      <c r="D82" t="str">
        <v>5</v>
      </c>
      <c r="E82" t="str">
        <v>Broiler Amarillo</v>
      </c>
      <c r="F82" t="str">
        <v>27</v>
      </c>
      <c r="G82" t="str">
        <v>2025-09-19</v>
      </c>
      <c r="H82" t="str">
        <v>0</v>
      </c>
      <c r="I82" t="str">
        <v>Abierto</v>
      </c>
      <c r="J82" t="str">
        <v>1.40000</v>
      </c>
      <c r="K82" t="str">
        <v>1.39311</v>
      </c>
      <c r="L82" t="str">
        <v>null</v>
      </c>
      <c r="M82" t="str">
        <v>null</v>
      </c>
      <c r="N82" t="str">
        <v>1.51000</v>
      </c>
      <c r="O82" t="str">
        <v>null</v>
      </c>
      <c r="P82" t="str">
        <v>25500.000</v>
      </c>
      <c r="Q82" t="str">
        <v>24821.000</v>
      </c>
      <c r="R82" t="str">
        <v>0.000</v>
      </c>
      <c r="S82" t="str">
        <v>679.000</v>
      </c>
      <c r="T82" t="str">
        <v>726.000</v>
      </c>
      <c r="U82" t="str">
        <v>34019.000</v>
      </c>
      <c r="V82" t="str">
        <v>46642.414</v>
      </c>
      <c r="W82" t="str">
        <v>0.97197142857142857143</v>
      </c>
      <c r="X82" t="str">
        <v>24.2929239583333333</v>
      </c>
      <c r="Y82" t="str">
        <v>24.2929239583333333</v>
      </c>
      <c r="Z82" t="str">
        <v>0.97197</v>
      </c>
      <c r="AA82" t="str">
        <v>1920.00000</v>
      </c>
      <c r="AB82" t="str">
        <v>20318T-PUIGPINOS PURGIMON SCP</v>
      </c>
    </row>
    <row r="83" spans="1:28" x14ac:dyDescent="0.25">
      <c r="A83" t="str">
        <v>2025-10-16</v>
      </c>
      <c r="B83" t="str">
        <v>20384T-MURIK 16-L:39-N:1-A:3002-POLLO AMARILLO HEMBRAS</v>
      </c>
      <c r="C83" t="str">
        <v>POLLO AMARILLO HEMBRAS</v>
      </c>
      <c r="D83" t="str">
        <v>5</v>
      </c>
      <c r="E83" t="str">
        <v>Broiler Amarillo</v>
      </c>
      <c r="F83" t="str">
        <v>37</v>
      </c>
      <c r="G83" t="str">
        <v>2025-09-09</v>
      </c>
      <c r="H83" t="str">
        <v>0</v>
      </c>
      <c r="I83" t="str">
        <v>Pre-Finalizado</v>
      </c>
      <c r="J83" t="str">
        <v>1.38697</v>
      </c>
      <c r="K83" t="str">
        <v>1.38697</v>
      </c>
      <c r="L83" t="str">
        <v>1.38700</v>
      </c>
      <c r="M83" t="str">
        <v>null</v>
      </c>
      <c r="N83" t="str">
        <v>2.06200</v>
      </c>
      <c r="O83" t="str">
        <v>null</v>
      </c>
      <c r="P83" t="str">
        <v>17100.000</v>
      </c>
      <c r="Q83" t="str">
        <v>4883.000</v>
      </c>
      <c r="R83" t="str">
        <v>-7135.000</v>
      </c>
      <c r="S83" t="str">
        <v>546.000</v>
      </c>
      <c r="T83" t="str">
        <v>546.000</v>
      </c>
      <c r="U83" t="str">
        <v>-5484.000</v>
      </c>
      <c r="V83" t="str">
        <v>-17232.525</v>
      </c>
      <c r="W83" t="str">
        <v>-0.17137500000000000000</v>
      </c>
      <c r="X83" t="str">
        <v>-9.5736250000000000</v>
      </c>
      <c r="Y83" t="str">
        <v>-9.5736250000000000</v>
      </c>
      <c r="Z83" t="str">
        <v>-0.02963</v>
      </c>
      <c r="AA83" t="str">
        <v>1800.00000</v>
      </c>
      <c r="AB83" t="str">
        <v>20384T-MURIK 16</v>
      </c>
    </row>
    <row r="84" spans="1:28" x14ac:dyDescent="0.25">
      <c r="A84" t="str">
        <v>2025-10-16</v>
      </c>
      <c r="B84" t="str">
        <v>20318T-PUIGPINOS PURGIMON SCP-L:38-N:1-A:3001-POLLO AMARILLO MACHO</v>
      </c>
      <c r="C84" t="str">
        <v>POLLO AMARILLO MACHO</v>
      </c>
      <c r="D84" t="str">
        <v>5</v>
      </c>
      <c r="E84" t="str">
        <v>Broiler Amarillo</v>
      </c>
      <c r="F84" t="str">
        <v>27</v>
      </c>
      <c r="G84" t="str">
        <v>2025-09-19</v>
      </c>
      <c r="H84" t="str">
        <v>0</v>
      </c>
      <c r="I84" t="str">
        <v>Abierto</v>
      </c>
      <c r="J84" t="str">
        <v>1.37600</v>
      </c>
      <c r="K84" t="str">
        <v>1.36761</v>
      </c>
      <c r="L84" t="str">
        <v>null</v>
      </c>
      <c r="M84" t="str">
        <v>null</v>
      </c>
      <c r="N84" t="str">
        <v>1.51000</v>
      </c>
      <c r="O84" t="str">
        <v>null</v>
      </c>
      <c r="P84" t="str">
        <v>16800.000</v>
      </c>
      <c r="Q84" t="str">
        <v>16222.000</v>
      </c>
      <c r="R84" t="str">
        <v>0.000</v>
      </c>
      <c r="S84" t="str">
        <v>578.000</v>
      </c>
      <c r="T84" t="str">
        <v>480.000</v>
      </c>
      <c r="U84" t="str">
        <v>26709.000</v>
      </c>
      <c r="V84" t="str">
        <v>35461.683</v>
      </c>
      <c r="W84" t="str">
        <v>1.02726923076923076923</v>
      </c>
      <c r="X84" t="str">
        <v>22.4157288242730721</v>
      </c>
      <c r="Y84" t="str">
        <v>22.4157288242730721</v>
      </c>
      <c r="Z84" t="str">
        <v>1.02727</v>
      </c>
      <c r="AA84" t="str">
        <v>1582.00000</v>
      </c>
      <c r="AB84" t="str">
        <v>20318T-PUIGPINOS PURGIMON SCP</v>
      </c>
    </row>
    <row r="85" spans="1:28" x14ac:dyDescent="0.25">
      <c r="A85" t="str">
        <v>2025-10-16</v>
      </c>
      <c r="B85" t="str">
        <v>20318T-PUIGPINOS PURGIMON SCP-L:38-N:2-A:3002-POLLO AMARILLO HEMBRAS</v>
      </c>
      <c r="C85" t="str">
        <v>POLLO AMARILLO HEMBRAS</v>
      </c>
      <c r="D85" t="str">
        <v>5</v>
      </c>
      <c r="E85" t="str">
        <v>Broiler Amarillo</v>
      </c>
      <c r="F85" t="str">
        <v>27</v>
      </c>
      <c r="G85" t="str">
        <v>2025-09-19</v>
      </c>
      <c r="H85" t="str">
        <v>0</v>
      </c>
      <c r="I85" t="str">
        <v>Abierto</v>
      </c>
      <c r="J85" t="str">
        <v>1.31300</v>
      </c>
      <c r="K85" t="str">
        <v>1.31023</v>
      </c>
      <c r="L85" t="str">
        <v>null</v>
      </c>
      <c r="M85" t="str">
        <v>null</v>
      </c>
      <c r="N85" t="str">
        <v>1.36200</v>
      </c>
      <c r="O85" t="str">
        <v>null</v>
      </c>
      <c r="P85" t="str">
        <v>5900.000</v>
      </c>
      <c r="Q85" t="str">
        <v>5768.000</v>
      </c>
      <c r="R85" t="str">
        <v>0.000</v>
      </c>
      <c r="S85" t="str">
        <v>132.000</v>
      </c>
      <c r="T85" t="str">
        <v>164.000</v>
      </c>
      <c r="U85" t="str">
        <v>5768.000</v>
      </c>
      <c r="V85" t="str">
        <v>7573.384</v>
      </c>
      <c r="W85" t="str">
        <v>1.1536000000000000</v>
      </c>
      <c r="X85" t="str">
        <v>18.9334600000000000</v>
      </c>
      <c r="Y85" t="str">
        <v>18.9334600000000000</v>
      </c>
      <c r="Z85" t="str">
        <v>1.15360</v>
      </c>
      <c r="AA85" t="str">
        <v>400.00000</v>
      </c>
      <c r="AB85" t="str">
        <v>20318T-PUIGPINOS PURGIMON SCP</v>
      </c>
    </row>
    <row r="86" spans="1:28" x14ac:dyDescent="0.25">
      <c r="A86" t="str">
        <v>2025-10-16</v>
      </c>
      <c r="B86" t="str">
        <v>20318T-PUIGPINOS PURGIMON SCP-L:38-N:4-A:3002-POLLO AMARILLO HEMBRAS</v>
      </c>
      <c r="C86" t="str">
        <v>POLLO AMARILLO HEMBRAS</v>
      </c>
      <c r="D86" t="str">
        <v>5</v>
      </c>
      <c r="E86" t="str">
        <v>Broiler Amarillo</v>
      </c>
      <c r="F86" t="str">
        <v>27</v>
      </c>
      <c r="G86" t="str">
        <v>2025-09-19</v>
      </c>
      <c r="H86" t="str">
        <v>0</v>
      </c>
      <c r="I86" t="str">
        <v>Abierto</v>
      </c>
      <c r="J86" t="str">
        <v>1.29300</v>
      </c>
      <c r="K86" t="str">
        <v>1.28909</v>
      </c>
      <c r="L86" t="str">
        <v>null</v>
      </c>
      <c r="M86" t="str">
        <v>null</v>
      </c>
      <c r="N86" t="str">
        <v>1.36200</v>
      </c>
      <c r="O86" t="str">
        <v>null</v>
      </c>
      <c r="P86" t="str">
        <v>9400.000</v>
      </c>
      <c r="Q86" t="str">
        <v>9198.000</v>
      </c>
      <c r="R86" t="str">
        <v>0.000</v>
      </c>
      <c r="S86" t="str">
        <v>202.000</v>
      </c>
      <c r="T86" t="str">
        <v>260.000</v>
      </c>
      <c r="U86" t="str">
        <v>34019.000</v>
      </c>
      <c r="V86" t="str">
        <v>46642.414</v>
      </c>
      <c r="W86" t="str">
        <v>0.97197142857142857143</v>
      </c>
      <c r="X86" t="str">
        <v>24.2929239583333333</v>
      </c>
      <c r="Y86" t="str">
        <v>24.2929239583333333</v>
      </c>
      <c r="Z86" t="str">
        <v>0.97197</v>
      </c>
      <c r="AA86" t="str">
        <v>1920.00000</v>
      </c>
      <c r="AB86" t="str">
        <v>20318T-PUIGPINOS PURGIMON SCP</v>
      </c>
    </row>
    <row r="87" spans="1:28" x14ac:dyDescent="0.25">
      <c r="A87" t="str">
        <v>2025-10-16</v>
      </c>
      <c r="B87" t="str">
        <v>20318T-PUIGPINOS PURGIMON SCP-L:38-N:3-A:3002-POLLO AMARILLO HEMBRAS</v>
      </c>
      <c r="C87" t="str">
        <v>POLLO AMARILLO HEMBRAS</v>
      </c>
      <c r="D87" t="str">
        <v>5</v>
      </c>
      <c r="E87" t="str">
        <v>Broiler Amarillo</v>
      </c>
      <c r="F87" t="str">
        <v>27</v>
      </c>
      <c r="G87" t="str">
        <v>2025-09-19</v>
      </c>
      <c r="H87" t="str">
        <v>0</v>
      </c>
      <c r="I87" t="str">
        <v>Abierto</v>
      </c>
      <c r="J87" t="str">
        <v>1.27400</v>
      </c>
      <c r="K87" t="str">
        <v>1.26901</v>
      </c>
      <c r="L87" t="str">
        <v>null</v>
      </c>
      <c r="M87" t="str">
        <v>null</v>
      </c>
      <c r="N87" t="str">
        <v>1.36200</v>
      </c>
      <c r="O87" t="str">
        <v>null</v>
      </c>
      <c r="P87" t="str">
        <v>15700.000</v>
      </c>
      <c r="Q87" t="str">
        <v>15270.000</v>
      </c>
      <c r="R87" t="str">
        <v>0.000</v>
      </c>
      <c r="S87" t="str">
        <v>430.000</v>
      </c>
      <c r="T87" t="str">
        <v>435.000</v>
      </c>
      <c r="U87" t="str">
        <v>15270.000</v>
      </c>
      <c r="V87" t="str">
        <v>19453.980</v>
      </c>
      <c r="W87" t="str">
        <v>0.84833333333333333333</v>
      </c>
      <c r="X87" t="str">
        <v>22.1067954545454545</v>
      </c>
      <c r="Y87" t="str">
        <v>22.1067954545454545</v>
      </c>
      <c r="Z87" t="str">
        <v>0.84833</v>
      </c>
      <c r="AA87" t="str">
        <v>880.00000</v>
      </c>
      <c r="AB87" t="str">
        <v>20318T-PUIGPINOS PURGIMON SCP</v>
      </c>
    </row>
    <row r="88" spans="1:28" x14ac:dyDescent="0.25">
      <c r="A88" t="str">
        <v>2025-10-16</v>
      </c>
      <c r="B88" t="str">
        <v>20318T-PUIGPINOS PURGIMON SCP-L:38-N:1-A:3002-POLLO AMARILLO HEMBRAS</v>
      </c>
      <c r="C88" t="str">
        <v>POLLO AMARILLO HEMBRAS</v>
      </c>
      <c r="D88" t="str">
        <v>5</v>
      </c>
      <c r="E88" t="str">
        <v>Broiler Amarillo</v>
      </c>
      <c r="F88" t="str">
        <v>27</v>
      </c>
      <c r="G88" t="str">
        <v>2025-09-19</v>
      </c>
      <c r="H88" t="str">
        <v>0</v>
      </c>
      <c r="I88" t="str">
        <v>Abierto</v>
      </c>
      <c r="J88" t="str">
        <v>1.25300</v>
      </c>
      <c r="K88" t="str">
        <v>1.24682</v>
      </c>
      <c r="L88" t="str">
        <v>null</v>
      </c>
      <c r="M88" t="str">
        <v>null</v>
      </c>
      <c r="N88" t="str">
        <v>1.36200</v>
      </c>
      <c r="O88" t="str">
        <v>null</v>
      </c>
      <c r="P88" t="str">
        <v>10800.000</v>
      </c>
      <c r="Q88" t="str">
        <v>10487.000</v>
      </c>
      <c r="R88" t="str">
        <v>0.000</v>
      </c>
      <c r="S88" t="str">
        <v>313.000</v>
      </c>
      <c r="T88" t="str">
        <v>307.000</v>
      </c>
      <c r="U88" t="str">
        <v>26709.000</v>
      </c>
      <c r="V88" t="str">
        <v>35461.683</v>
      </c>
      <c r="W88" t="str">
        <v>1.02726923076923076923</v>
      </c>
      <c r="X88" t="str">
        <v>22.4157288242730721</v>
      </c>
      <c r="Y88" t="str">
        <v>22.4157288242730721</v>
      </c>
      <c r="Z88" t="str">
        <v>1.02727</v>
      </c>
      <c r="AA88" t="str">
        <v>1582.00000</v>
      </c>
      <c r="AB88" t="str">
        <v>20318T-PUIGPINOS PURGIMON SCP</v>
      </c>
    </row>
    <row r="89" spans="1:28" x14ac:dyDescent="0.25">
      <c r="A89" t="str">
        <v>2025-10-16</v>
      </c>
      <c r="B89" t="str">
        <v>20211T-PUIG MIRALLES JOSEP M.-L:38-N:1-A:3001-POLLO AMARILLO MACHO</v>
      </c>
      <c r="C89" t="str">
        <v>POLLO AMARILLO MACHO</v>
      </c>
      <c r="D89" t="str">
        <v>5</v>
      </c>
      <c r="E89" t="str">
        <v>Broiler Amarillo</v>
      </c>
      <c r="F89" t="str">
        <v>24</v>
      </c>
      <c r="G89" t="str">
        <v>2025-09-22</v>
      </c>
      <c r="H89" t="str">
        <v>0</v>
      </c>
      <c r="I89" t="str">
        <v>Abierto</v>
      </c>
      <c r="J89" t="str">
        <v>1.24900</v>
      </c>
      <c r="K89" t="str">
        <v>1.24900</v>
      </c>
      <c r="L89" t="str">
        <v>null</v>
      </c>
      <c r="M89" t="str">
        <v>null</v>
      </c>
      <c r="N89" t="str">
        <v>1.24900</v>
      </c>
      <c r="O89" t="str">
        <v>null</v>
      </c>
      <c r="P89" t="str">
        <v>13500.000</v>
      </c>
      <c r="Q89" t="str">
        <v>13127.000</v>
      </c>
      <c r="R89" t="str">
        <v>0.000</v>
      </c>
      <c r="S89" t="str">
        <v>373.000</v>
      </c>
      <c r="T89" t="str">
        <v>373.000</v>
      </c>
      <c r="U89" t="str">
        <v>26254.000</v>
      </c>
      <c r="V89" t="str">
        <v>31426.038</v>
      </c>
      <c r="W89" t="str">
        <v>0.92119298245614035088</v>
      </c>
      <c r="X89" t="str">
        <v>20.9506920000000000</v>
      </c>
      <c r="Y89" t="str">
        <v>20.9506920000000000</v>
      </c>
      <c r="Z89" t="str">
        <v>0.92119</v>
      </c>
      <c r="AA89" t="str">
        <v>1500.00000</v>
      </c>
      <c r="AB89" t="str">
        <v>20211T-PUIG MIRALLES JOSEP M.</v>
      </c>
    </row>
    <row r="90" spans="1:28" x14ac:dyDescent="0.25">
      <c r="A90" t="str">
        <v>2025-10-16</v>
      </c>
      <c r="B90" t="str">
        <v>20435T-FINCA GOMA-L:21-N:2-A:3001-POLLO AMARILLO MACHO</v>
      </c>
      <c r="C90" t="str">
        <v>POLLO AMARILLO MACHO</v>
      </c>
      <c r="D90" t="str">
        <v>5</v>
      </c>
      <c r="E90" t="str">
        <v>Broiler Amarillo</v>
      </c>
      <c r="F90" t="str">
        <v>23</v>
      </c>
      <c r="G90" t="str">
        <v>2025-09-23</v>
      </c>
      <c r="H90" t="str">
        <v>0</v>
      </c>
      <c r="I90" t="str">
        <v>Abierto</v>
      </c>
      <c r="J90" t="str">
        <v>1.16600</v>
      </c>
      <c r="K90" t="str">
        <v>1.16600</v>
      </c>
      <c r="L90" t="str">
        <v>null</v>
      </c>
      <c r="M90" t="str">
        <v>null</v>
      </c>
      <c r="N90" t="str">
        <v>1.16600</v>
      </c>
      <c r="O90" t="str">
        <v>null</v>
      </c>
      <c r="P90" t="str">
        <v>13500.000</v>
      </c>
      <c r="Q90" t="str">
        <v>13412.000</v>
      </c>
      <c r="R90" t="str">
        <v>0.000</v>
      </c>
      <c r="S90" t="str">
        <v>88.000</v>
      </c>
      <c r="T90" t="str">
        <v>88.000</v>
      </c>
      <c r="U90" t="str">
        <v>27557.000</v>
      </c>
      <c r="V90" t="str">
        <v>30830.122</v>
      </c>
      <c r="W90" t="str">
        <v>1.00207272727272727273</v>
      </c>
      <c r="X90" t="str">
        <v>19.2688262500000000</v>
      </c>
      <c r="Y90" t="str">
        <v>19.2688262500000000</v>
      </c>
      <c r="Z90" t="str">
        <v>1.00207</v>
      </c>
      <c r="AA90" t="str">
        <v>1600.00000</v>
      </c>
      <c r="AB90" t="str">
        <v>20435T-FINCA GOMA</v>
      </c>
    </row>
    <row r="91" spans="1:28" x14ac:dyDescent="0.25">
      <c r="A91" t="str">
        <v>2025-10-16</v>
      </c>
      <c r="B91" t="str">
        <v>20211T-PUIG MIRALLES JOSEP M.-L:38-N:2-A:3001-POLLO AMARILLO MACHO</v>
      </c>
      <c r="C91" t="str">
        <v>POLLO AMARILLO MACHO</v>
      </c>
      <c r="D91" t="str">
        <v>5</v>
      </c>
      <c r="E91" t="str">
        <v>Broiler Amarillo</v>
      </c>
      <c r="F91" t="str">
        <v>23</v>
      </c>
      <c r="G91" t="str">
        <v>2025-09-23</v>
      </c>
      <c r="H91" t="str">
        <v>0</v>
      </c>
      <c r="I91" t="str">
        <v>Abierto</v>
      </c>
      <c r="J91" t="str">
        <v>1.16600</v>
      </c>
      <c r="K91" t="str">
        <v>1.16600</v>
      </c>
      <c r="L91" t="str">
        <v>null</v>
      </c>
      <c r="M91" t="str">
        <v>null</v>
      </c>
      <c r="N91" t="str">
        <v>1.16600</v>
      </c>
      <c r="O91" t="str">
        <v>null</v>
      </c>
      <c r="P91" t="str">
        <v>11300.000</v>
      </c>
      <c r="Q91" t="str">
        <v>10992.000</v>
      </c>
      <c r="R91" t="str">
        <v>0.000</v>
      </c>
      <c r="S91" t="str">
        <v>308.000</v>
      </c>
      <c r="T91" t="str">
        <v>308.000</v>
      </c>
      <c r="U91" t="str">
        <v>26018.000</v>
      </c>
      <c r="V91" t="str">
        <v>28954.596</v>
      </c>
      <c r="W91" t="str">
        <v>0.91291228070175438596</v>
      </c>
      <c r="X91" t="str">
        <v>19.3030640000000000</v>
      </c>
      <c r="Y91" t="str">
        <v>19.3030640000000000</v>
      </c>
      <c r="Z91" t="str">
        <v>0.91291</v>
      </c>
      <c r="AA91" t="str">
        <v>1500.00000</v>
      </c>
      <c r="AB91" t="str">
        <v>20211T-PUIG MIRALLES JOSEP M.</v>
      </c>
    </row>
    <row r="92" spans="1:28" x14ac:dyDescent="0.25">
      <c r="A92" t="str">
        <v>2025-10-16</v>
      </c>
      <c r="B92" t="str">
        <v>20211T-PUIG MIRALLES JOSEP M.-L:38-N:1-A:3002-POLLO AMARILLO HEMBRAS</v>
      </c>
      <c r="C92" t="str">
        <v>POLLO AMARILLO HEMBRAS</v>
      </c>
      <c r="D92" t="str">
        <v>5</v>
      </c>
      <c r="E92" t="str">
        <v>Broiler Amarillo</v>
      </c>
      <c r="F92" t="str">
        <v>24</v>
      </c>
      <c r="G92" t="str">
        <v>2025-09-22</v>
      </c>
      <c r="H92" t="str">
        <v>0</v>
      </c>
      <c r="I92" t="str">
        <v>Abierto</v>
      </c>
      <c r="J92" t="str">
        <v>1.14500</v>
      </c>
      <c r="K92" t="str">
        <v>1.14500</v>
      </c>
      <c r="L92" t="str">
        <v>null</v>
      </c>
      <c r="M92" t="str">
        <v>null</v>
      </c>
      <c r="N92" t="str">
        <v>1.14500</v>
      </c>
      <c r="O92" t="str">
        <v>null</v>
      </c>
      <c r="P92" t="str">
        <v>13500.000</v>
      </c>
      <c r="Q92" t="str">
        <v>13127.000</v>
      </c>
      <c r="R92" t="str">
        <v>0.000</v>
      </c>
      <c r="S92" t="str">
        <v>373.000</v>
      </c>
      <c r="T92" t="str">
        <v>373.000</v>
      </c>
      <c r="U92" t="str">
        <v>26254.000</v>
      </c>
      <c r="V92" t="str">
        <v>31426.038</v>
      </c>
      <c r="W92" t="str">
        <v>0.92119298245614035088</v>
      </c>
      <c r="X92" t="str">
        <v>20.9506920000000000</v>
      </c>
      <c r="Y92" t="str">
        <v>20.9506920000000000</v>
      </c>
      <c r="Z92" t="str">
        <v>0.92119</v>
      </c>
      <c r="AA92" t="str">
        <v>1500.00000</v>
      </c>
      <c r="AB92" t="str">
        <v>20211T-PUIG MIRALLES JOSEP M.</v>
      </c>
    </row>
    <row r="93" spans="1:28" x14ac:dyDescent="0.25">
      <c r="A93" t="str">
        <v>2025-10-16</v>
      </c>
      <c r="B93" t="str">
        <v>20452T-GRANJA VALLS-L:1-N:1-A:3001-POLLO AMARILLO MACHO</v>
      </c>
      <c r="C93" t="str">
        <v>POLLO AMARILLO MACHO</v>
      </c>
      <c r="D93" t="str">
        <v>5</v>
      </c>
      <c r="E93" t="str">
        <v>Broiler Amarillo</v>
      </c>
      <c r="F93" t="str">
        <v>24</v>
      </c>
      <c r="G93" t="str">
        <v>2025-09-22</v>
      </c>
      <c r="H93" t="str">
        <v>0</v>
      </c>
      <c r="I93" t="str">
        <v>Abierto</v>
      </c>
      <c r="J93" t="str">
        <v>1.12000</v>
      </c>
      <c r="K93" t="str">
        <v>1.08900</v>
      </c>
      <c r="L93" t="str">
        <v>null</v>
      </c>
      <c r="M93" t="str">
        <v>null</v>
      </c>
      <c r="N93" t="str">
        <v>1.24900</v>
      </c>
      <c r="O93" t="str">
        <v>null</v>
      </c>
      <c r="P93" t="str">
        <v>13000.000</v>
      </c>
      <c r="Q93" t="str">
        <v>12640.000</v>
      </c>
      <c r="R93" t="str">
        <v>0.000</v>
      </c>
      <c r="S93" t="str">
        <v>360.000</v>
      </c>
      <c r="T93" t="str">
        <v>360.000</v>
      </c>
      <c r="U93" t="str">
        <v>25280.000</v>
      </c>
      <c r="V93" t="str">
        <v>27087.520</v>
      </c>
      <c r="W93" t="str">
        <v>0.97530864197530864198</v>
      </c>
      <c r="X93" t="str">
        <v>19.0622941590429275</v>
      </c>
      <c r="Y93" t="str">
        <v>19.0622941590429275</v>
      </c>
      <c r="Z93" t="str">
        <v>0.97531</v>
      </c>
      <c r="AA93" t="str">
        <v>1421.00000</v>
      </c>
      <c r="AB93" t="str">
        <v>20452T-GRANJA VALLS</v>
      </c>
    </row>
    <row r="94" spans="1:28" x14ac:dyDescent="0.25">
      <c r="A94" t="str">
        <v>2025-10-16</v>
      </c>
      <c r="B94" t="str">
        <v>20435T-FINCA GOMA-L:21-N:1-A:3001-POLLO AMARILLO MACHO</v>
      </c>
      <c r="C94" t="str">
        <v>POLLO AMARILLO MACHO</v>
      </c>
      <c r="D94" t="str">
        <v>5</v>
      </c>
      <c r="E94" t="str">
        <v>Broiler Amarillo</v>
      </c>
      <c r="F94" t="str">
        <v>23</v>
      </c>
      <c r="G94" t="str">
        <v>2025-09-23</v>
      </c>
      <c r="H94" t="str">
        <v>0</v>
      </c>
      <c r="I94" t="str">
        <v>Abierto</v>
      </c>
      <c r="J94" t="str">
        <v>1.10600</v>
      </c>
      <c r="K94" t="str">
        <v>1.02058</v>
      </c>
      <c r="L94" t="str">
        <v>null</v>
      </c>
      <c r="M94" t="str">
        <v>null</v>
      </c>
      <c r="N94" t="str">
        <v>1.16600</v>
      </c>
      <c r="O94" t="str">
        <v>null</v>
      </c>
      <c r="P94" t="str">
        <v>13500.000</v>
      </c>
      <c r="Q94" t="str">
        <v>13132.000</v>
      </c>
      <c r="R94" t="str">
        <v>0.000</v>
      </c>
      <c r="S94" t="str">
        <v>368.000</v>
      </c>
      <c r="T94" t="str">
        <v>368.000</v>
      </c>
      <c r="U94" t="str">
        <v>27244.000</v>
      </c>
      <c r="V94" t="str">
        <v>28537.208</v>
      </c>
      <c r="W94" t="str">
        <v>0.99069090909090909091</v>
      </c>
      <c r="X94" t="str">
        <v>17.8357550000000000</v>
      </c>
      <c r="Y94" t="str">
        <v>17.8357550000000000</v>
      </c>
      <c r="Z94" t="str">
        <v>0.99069</v>
      </c>
      <c r="AA94" t="str">
        <v>1600.00000</v>
      </c>
      <c r="AB94" t="str">
        <v>20435T-FINCA GOMA</v>
      </c>
    </row>
    <row r="95" spans="1:28" x14ac:dyDescent="0.25">
      <c r="A95" t="str">
        <v>2025-10-16</v>
      </c>
      <c r="B95" t="str">
        <v>20228T-DE FEBRER ROSAS JOSEP M.-L:39-N:1-A:3001-POLLO AMARILLO MACHO</v>
      </c>
      <c r="C95" t="str">
        <v>POLLO AMARILLO MACHO</v>
      </c>
      <c r="D95" t="str">
        <v>5</v>
      </c>
      <c r="E95" t="str">
        <v>Broiler Amarillo</v>
      </c>
      <c r="F95" t="str">
        <v>45</v>
      </c>
      <c r="G95" t="str">
        <v>2025-09-01</v>
      </c>
      <c r="H95" t="str">
        <v>0</v>
      </c>
      <c r="I95" t="str">
        <v>Pre-Finalizado</v>
      </c>
      <c r="J95" t="str">
        <v>1.09800</v>
      </c>
      <c r="K95" t="str">
        <v>1.03098</v>
      </c>
      <c r="L95" t="str">
        <v>null</v>
      </c>
      <c r="M95" t="str">
        <v>null</v>
      </c>
      <c r="N95" t="str">
        <v>3.26200</v>
      </c>
      <c r="O95" t="str">
        <v>null</v>
      </c>
      <c r="P95" t="str">
        <v>15000.000</v>
      </c>
      <c r="Q95" t="str">
        <v>298.000</v>
      </c>
      <c r="R95" t="str">
        <v>-14610.000</v>
      </c>
      <c r="S95" t="str">
        <v>92.000</v>
      </c>
      <c r="T95" t="str">
        <v>92.000</v>
      </c>
      <c r="U95" t="str">
        <v>-6480.000</v>
      </c>
      <c r="V95" t="str">
        <v>-12393.746</v>
      </c>
      <c r="W95" t="str">
        <v>-0.19636363636363636364</v>
      </c>
      <c r="X95" t="str">
        <v>-7.2478046783625731</v>
      </c>
      <c r="Y95" t="str">
        <v>-7.2478046783625731</v>
      </c>
      <c r="Z95" t="str">
        <v>-0.19636</v>
      </c>
      <c r="AA95" t="str">
        <v>1710.00000</v>
      </c>
      <c r="AB95" t="str">
        <v>20228T-DE FEBRER ROSAS JOSEP M.</v>
      </c>
    </row>
    <row r="96" spans="1:28" x14ac:dyDescent="0.25">
      <c r="A96" t="str">
        <v>2025-10-16</v>
      </c>
      <c r="B96" t="str">
        <v>20435T-FINCA GOMA-L:21-N:2-A:3002-POLLO AMARILLO HEMBRAS</v>
      </c>
      <c r="C96" t="str">
        <v>POLLO AMARILLO HEMBRAS</v>
      </c>
      <c r="D96" t="str">
        <v>5</v>
      </c>
      <c r="E96" t="str">
        <v>Broiler Amarillo</v>
      </c>
      <c r="F96" t="str">
        <v>23</v>
      </c>
      <c r="G96" t="str">
        <v>2025-09-23</v>
      </c>
      <c r="H96" t="str">
        <v>0</v>
      </c>
      <c r="I96" t="str">
        <v>Abierto</v>
      </c>
      <c r="J96" t="str">
        <v>1.07400</v>
      </c>
      <c r="K96" t="str">
        <v>1.07400</v>
      </c>
      <c r="L96" t="str">
        <v>null</v>
      </c>
      <c r="M96" t="str">
        <v>null</v>
      </c>
      <c r="N96" t="str">
        <v>1.07400</v>
      </c>
      <c r="O96" t="str">
        <v>null</v>
      </c>
      <c r="P96" t="str">
        <v>14500.000</v>
      </c>
      <c r="Q96" t="str">
        <v>14145.000</v>
      </c>
      <c r="R96" t="str">
        <v>0.000</v>
      </c>
      <c r="S96" t="str">
        <v>355.000</v>
      </c>
      <c r="T96" t="str">
        <v>355.000</v>
      </c>
      <c r="U96" t="str">
        <v>27557.000</v>
      </c>
      <c r="V96" t="str">
        <v>30830.122</v>
      </c>
      <c r="W96" t="str">
        <v>1.00207272727272727273</v>
      </c>
      <c r="X96" t="str">
        <v>19.2688262500000000</v>
      </c>
      <c r="Y96" t="str">
        <v>19.2688262500000000</v>
      </c>
      <c r="Z96" t="str">
        <v>1.00207</v>
      </c>
      <c r="AA96" t="str">
        <v>1600.00000</v>
      </c>
      <c r="AB96" t="str">
        <v>20435T-FINCA GOMA</v>
      </c>
    </row>
    <row r="97" spans="1:28" x14ac:dyDescent="0.25">
      <c r="A97" t="str">
        <v>2025-10-16</v>
      </c>
      <c r="B97" t="str">
        <v>20211T-PUIG MIRALLES JOSEP M.-L:38-N:2-A:3002-POLLO AMARILLO HEMBRAS</v>
      </c>
      <c r="C97" t="str">
        <v>POLLO AMARILLO HEMBRAS</v>
      </c>
      <c r="D97" t="str">
        <v>5</v>
      </c>
      <c r="E97" t="str">
        <v>Broiler Amarillo</v>
      </c>
      <c r="F97" t="str">
        <v>23</v>
      </c>
      <c r="G97" t="str">
        <v>2025-09-23</v>
      </c>
      <c r="H97" t="str">
        <v>0</v>
      </c>
      <c r="I97" t="str">
        <v>Abierto</v>
      </c>
      <c r="J97" t="str">
        <v>1.07400</v>
      </c>
      <c r="K97" t="str">
        <v>1.07400</v>
      </c>
      <c r="L97" t="str">
        <v>null</v>
      </c>
      <c r="M97" t="str">
        <v>null</v>
      </c>
      <c r="N97" t="str">
        <v>1.07400</v>
      </c>
      <c r="O97" t="str">
        <v>null</v>
      </c>
      <c r="P97" t="str">
        <v>15400.000</v>
      </c>
      <c r="Q97" t="str">
        <v>15026.000</v>
      </c>
      <c r="R97" t="str">
        <v>0.000</v>
      </c>
      <c r="S97" t="str">
        <v>374.000</v>
      </c>
      <c r="T97" t="str">
        <v>374.000</v>
      </c>
      <c r="U97" t="str">
        <v>26018.000</v>
      </c>
      <c r="V97" t="str">
        <v>28954.596</v>
      </c>
      <c r="W97" t="str">
        <v>0.91291228070175438596</v>
      </c>
      <c r="X97" t="str">
        <v>19.3030640000000000</v>
      </c>
      <c r="Y97" t="str">
        <v>19.3030640000000000</v>
      </c>
      <c r="Z97" t="str">
        <v>0.91291</v>
      </c>
      <c r="AA97" t="str">
        <v>1500.00000</v>
      </c>
      <c r="AB97" t="str">
        <v>20211T-PUIG MIRALLES JOSEP M.</v>
      </c>
    </row>
    <row r="98" spans="1:28" x14ac:dyDescent="0.25">
      <c r="A98" t="str">
        <v>2025-10-16</v>
      </c>
      <c r="B98" t="str">
        <v>20452T-GRANJA VALLS-L:1-N:2-A:3003-POLLO AMARILLO MIXTO</v>
      </c>
      <c r="C98" t="str">
        <v>POLLO AMARILLO MIXTO</v>
      </c>
      <c r="D98" t="str">
        <v>5</v>
      </c>
      <c r="E98" t="str">
        <v>Broiler Amarillo</v>
      </c>
      <c r="F98" t="str">
        <v>24</v>
      </c>
      <c r="G98" t="str">
        <v>2025-09-22</v>
      </c>
      <c r="H98" t="str">
        <v>0</v>
      </c>
      <c r="I98" t="str">
        <v>Abierto</v>
      </c>
      <c r="J98" t="str">
        <v>1.07200</v>
      </c>
      <c r="K98" t="str">
        <v>1.04307</v>
      </c>
      <c r="L98" t="str">
        <v>null</v>
      </c>
      <c r="M98" t="str">
        <v>null</v>
      </c>
      <c r="N98" t="str">
        <v>1.19700</v>
      </c>
      <c r="O98" t="str">
        <v>null</v>
      </c>
      <c r="P98" t="str">
        <v>23000.000</v>
      </c>
      <c r="Q98" t="str">
        <v>21776.000</v>
      </c>
      <c r="R98" t="str">
        <v>0.000</v>
      </c>
      <c r="S98" t="str">
        <v>624.000</v>
      </c>
      <c r="T98" t="str">
        <v>624.000</v>
      </c>
      <c r="U98" t="str">
        <v>21776.000</v>
      </c>
      <c r="V98" t="str">
        <v>23343.872</v>
      </c>
      <c r="W98" t="str">
        <v>0.94513888888888888889</v>
      </c>
      <c r="X98" t="str">
        <v>18.2945705329153605</v>
      </c>
      <c r="Y98" t="str">
        <v>18.2945705329153605</v>
      </c>
      <c r="Z98" t="str">
        <v>0.94514</v>
      </c>
      <c r="AA98" t="str">
        <v>1276.00000</v>
      </c>
      <c r="AB98" t="str">
        <v>20452T-GRANJA VALLS</v>
      </c>
    </row>
    <row r="99" spans="1:28" x14ac:dyDescent="0.25">
      <c r="A99" t="str">
        <v>2025-10-16</v>
      </c>
      <c r="B99" t="str">
        <v>20452T-GRANJA VALLS-L:1-N:1-A:3002-POLLO AMARILLO HEMBRAS</v>
      </c>
      <c r="C99" t="str">
        <v>POLLO AMARILLO HEMBRAS</v>
      </c>
      <c r="D99" t="str">
        <v>5</v>
      </c>
      <c r="E99" t="str">
        <v>Broiler Amarillo</v>
      </c>
      <c r="F99" t="str">
        <v>24</v>
      </c>
      <c r="G99" t="str">
        <v>2025-09-22</v>
      </c>
      <c r="H99" t="str">
        <v>0</v>
      </c>
      <c r="I99" t="str">
        <v>Abierto</v>
      </c>
      <c r="J99" t="str">
        <v>1.02300</v>
      </c>
      <c r="K99" t="str">
        <v>0.99577</v>
      </c>
      <c r="L99" t="str">
        <v>null</v>
      </c>
      <c r="M99" t="str">
        <v>null</v>
      </c>
      <c r="N99" t="str">
        <v>1.14500</v>
      </c>
      <c r="O99" t="str">
        <v>null</v>
      </c>
      <c r="P99" t="str">
        <v>13000.000</v>
      </c>
      <c r="Q99" t="str">
        <v>12640.000</v>
      </c>
      <c r="R99" t="str">
        <v>0.000</v>
      </c>
      <c r="S99" t="str">
        <v>360.000</v>
      </c>
      <c r="T99" t="str">
        <v>360.000</v>
      </c>
      <c r="U99" t="str">
        <v>25280.000</v>
      </c>
      <c r="V99" t="str">
        <v>27087.520</v>
      </c>
      <c r="W99" t="str">
        <v>0.97530864197530864198</v>
      </c>
      <c r="X99" t="str">
        <v>19.0622941590429275</v>
      </c>
      <c r="Y99" t="str">
        <v>19.0622941590429275</v>
      </c>
      <c r="Z99" t="str">
        <v>0.97531</v>
      </c>
      <c r="AA99" t="str">
        <v>1421.00000</v>
      </c>
      <c r="AB99" t="str">
        <v>20452T-GRANJA VALLS</v>
      </c>
    </row>
    <row r="100" spans="1:28" x14ac:dyDescent="0.25">
      <c r="A100" t="str">
        <v>2025-10-16</v>
      </c>
      <c r="B100" t="str">
        <v>20425T-AVICOLA SANT ISCLE-L:25-N:1-A:3001-POLLO AMARILLO MACHO</v>
      </c>
      <c r="C100" t="str">
        <v>POLLO AMARILLO MACHO</v>
      </c>
      <c r="D100" t="str">
        <v>5</v>
      </c>
      <c r="E100" t="str">
        <v>Broiler Amarillo</v>
      </c>
      <c r="F100" t="str">
        <v>21</v>
      </c>
      <c r="G100" t="str">
        <v>2025-09-25</v>
      </c>
      <c r="H100" t="str">
        <v>0</v>
      </c>
      <c r="I100" t="str">
        <v>Abierto</v>
      </c>
      <c r="J100" t="str">
        <v>1.00700</v>
      </c>
      <c r="K100" t="str">
        <v>1.00700</v>
      </c>
      <c r="L100" t="str">
        <v>null</v>
      </c>
      <c r="M100" t="str">
        <v>null</v>
      </c>
      <c r="N100" t="str">
        <v>1.00700</v>
      </c>
      <c r="O100" t="str">
        <v>null</v>
      </c>
      <c r="P100" t="str">
        <v>21900.000</v>
      </c>
      <c r="Q100" t="str">
        <v>21267.000</v>
      </c>
      <c r="R100" t="str">
        <v>0.000</v>
      </c>
      <c r="S100" t="str">
        <v>578.000</v>
      </c>
      <c r="T100" t="str">
        <v>578.000</v>
      </c>
      <c r="U100" t="str">
        <v>42556.000</v>
      </c>
      <c r="V100" t="str">
        <v>41342.373</v>
      </c>
      <c r="W100" t="str">
        <v>0.98967441860465116279</v>
      </c>
      <c r="X100" t="str">
        <v>17.4440392405063291</v>
      </c>
      <c r="Y100" t="str">
        <v>17.4440392405063291</v>
      </c>
      <c r="Z100" t="str">
        <v>0.98967</v>
      </c>
      <c r="AA100" t="str">
        <v>2370.00000</v>
      </c>
      <c r="AB100" t="str">
        <v>20425T-AVICOLA SANT ISCLE</v>
      </c>
    </row>
    <row r="101" spans="1:28" x14ac:dyDescent="0.25">
      <c r="A101" t="str">
        <v>2025-10-16</v>
      </c>
      <c r="B101" t="str">
        <v>20365T-GRANJA LA COMA-L:39-N:1-A:3001-POLLO AMARILLO MACHO</v>
      </c>
      <c r="C101" t="str">
        <v>POLLO AMARILLO MACHO</v>
      </c>
      <c r="D101" t="str">
        <v>5</v>
      </c>
      <c r="E101" t="str">
        <v>Broiler Amarillo</v>
      </c>
      <c r="F101" t="str">
        <v>21</v>
      </c>
      <c r="G101" t="str">
        <v>2025-09-25</v>
      </c>
      <c r="H101" t="str">
        <v>0</v>
      </c>
      <c r="I101" t="str">
        <v>Abierto</v>
      </c>
      <c r="J101" t="str">
        <v>1.00700</v>
      </c>
      <c r="K101" t="str">
        <v>1.00700</v>
      </c>
      <c r="L101" t="str">
        <v>null</v>
      </c>
      <c r="M101" t="str">
        <v>null</v>
      </c>
      <c r="N101" t="str">
        <v>1.00700</v>
      </c>
      <c r="O101" t="str">
        <v>null</v>
      </c>
      <c r="P101" t="str">
        <v>16300.000</v>
      </c>
      <c r="Q101" t="str">
        <v>15700.000</v>
      </c>
      <c r="R101" t="str">
        <v>0.000</v>
      </c>
      <c r="S101" t="str">
        <v>600.000</v>
      </c>
      <c r="T101" t="str">
        <v>433.000</v>
      </c>
      <c r="U101" t="str">
        <v>31686.000</v>
      </c>
      <c r="V101" t="str">
        <v>30772.796</v>
      </c>
      <c r="W101" t="str">
        <v>0.90531428571428571429</v>
      </c>
      <c r="X101" t="str">
        <v>17.3857604519774011</v>
      </c>
      <c r="Y101" t="str">
        <v>17.3857604519774011</v>
      </c>
      <c r="Z101" t="str">
        <v>0.90531</v>
      </c>
      <c r="AA101" t="str">
        <v>1770.00000</v>
      </c>
      <c r="AB101" t="str">
        <v>20365T-GRANJA LA COMA</v>
      </c>
    </row>
    <row r="102" spans="1:28" x14ac:dyDescent="0.25">
      <c r="A102" t="str">
        <v>2025-10-16</v>
      </c>
      <c r="B102" t="str">
        <v>20308T-QUELET S.C.P-L:40-N:1-A:3002-POLLO AMARILLO HEMBRAS</v>
      </c>
      <c r="C102" t="str">
        <v>POLLO AMARILLO HEMBRAS</v>
      </c>
      <c r="D102" t="str">
        <v>5</v>
      </c>
      <c r="E102" t="str">
        <v>Broiler Amarillo</v>
      </c>
      <c r="F102" t="str">
        <v>42</v>
      </c>
      <c r="G102" t="str">
        <v>2025-09-04</v>
      </c>
      <c r="H102" t="str">
        <v>0</v>
      </c>
      <c r="I102" t="str">
        <v>Pre-Finalizado</v>
      </c>
      <c r="J102" t="str">
        <v>1.00000</v>
      </c>
      <c r="K102" t="str">
        <v>1.00000</v>
      </c>
      <c r="L102" t="str">
        <v>1.00000</v>
      </c>
      <c r="M102" t="str">
        <v>null</v>
      </c>
      <c r="N102" t="str">
        <v>2.49300</v>
      </c>
      <c r="O102" t="str">
        <v>null</v>
      </c>
      <c r="P102" t="str">
        <v>12200.000</v>
      </c>
      <c r="Q102" t="str">
        <v>-12.000</v>
      </c>
      <c r="R102" t="str">
        <v>-11823.000</v>
      </c>
      <c r="S102" t="str">
        <v>389.000</v>
      </c>
      <c r="T102" t="str">
        <v>389.000</v>
      </c>
      <c r="U102" t="str">
        <v>-13457.000</v>
      </c>
      <c r="V102" t="str">
        <v>-26596.933</v>
      </c>
      <c r="W102" t="str">
        <v>-0.42053125000000000000</v>
      </c>
      <c r="X102" t="str">
        <v>-15.8315077380952381</v>
      </c>
      <c r="Y102" t="str">
        <v>-15.8315077380952381</v>
      </c>
      <c r="Z102" t="str">
        <v>-0.30691</v>
      </c>
      <c r="AA102" t="str">
        <v>1680.00000</v>
      </c>
      <c r="AB102" t="str">
        <v>20308T-QUELET S.C.P</v>
      </c>
    </row>
    <row r="103" spans="1:28" x14ac:dyDescent="0.25">
      <c r="A103" t="str">
        <v>2025-10-16</v>
      </c>
      <c r="B103" t="str">
        <v>20250T-DANIBLAN S.C.-L:38-N:2-A:3003-POLLO AMARILLO MIXTO</v>
      </c>
      <c r="C103" t="str">
        <v>POLLO AMARILLO MIXTO</v>
      </c>
      <c r="D103" t="str">
        <v>5</v>
      </c>
      <c r="E103" t="str">
        <v>Broiler Amarillo</v>
      </c>
      <c r="F103" t="str">
        <v>35</v>
      </c>
      <c r="G103" t="str">
        <v>2025-09-11</v>
      </c>
      <c r="H103" t="str">
        <v>0</v>
      </c>
      <c r="I103" t="str">
        <v>Abierto</v>
      </c>
      <c r="J103" t="str">
        <v>1.00000</v>
      </c>
      <c r="K103" t="str">
        <v>1.00000</v>
      </c>
      <c r="L103" t="str">
        <v>1.00000</v>
      </c>
      <c r="M103" t="str">
        <v>null</v>
      </c>
      <c r="N103" t="str">
        <v>2.13200</v>
      </c>
      <c r="O103" t="str">
        <v>null</v>
      </c>
      <c r="P103" t="str">
        <v>17700.000</v>
      </c>
      <c r="Q103" t="str">
        <v>11622.000</v>
      </c>
      <c r="R103" t="str">
        <v>-2754.000</v>
      </c>
      <c r="S103" t="str">
        <v>550.000</v>
      </c>
      <c r="T103" t="str">
        <v>550.000</v>
      </c>
      <c r="U103" t="str">
        <v>11622.000</v>
      </c>
      <c r="V103" t="str">
        <v>11622.000</v>
      </c>
      <c r="W103" t="str">
        <v>0.64566666666666666667</v>
      </c>
      <c r="X103" t="str">
        <v>12.0186142709410548</v>
      </c>
      <c r="Y103" t="str">
        <v>12.0186142709410548</v>
      </c>
      <c r="Z103" t="str">
        <v>0.79867</v>
      </c>
      <c r="AA103" t="str">
        <v>967.00000</v>
      </c>
      <c r="AB103" t="str">
        <v>20250T-DANIBLAN S.C.</v>
      </c>
    </row>
    <row r="104" spans="1:28" x14ac:dyDescent="0.25">
      <c r="A104" t="str">
        <v>2025-10-16</v>
      </c>
      <c r="B104" t="str">
        <v>20250T-DANIBLAN S.C.-L:38-N:1-A:3003-POLLO AMARILLO MIXTO</v>
      </c>
      <c r="C104" t="str">
        <v>POLLO AMARILLO MIXTO</v>
      </c>
      <c r="D104" t="str">
        <v>5</v>
      </c>
      <c r="E104" t="str">
        <v>Broiler Amarillo</v>
      </c>
      <c r="F104" t="str">
        <v>35</v>
      </c>
      <c r="G104" t="str">
        <v>2025-09-11</v>
      </c>
      <c r="H104" t="str">
        <v>0</v>
      </c>
      <c r="I104" t="str">
        <v>Abierto</v>
      </c>
      <c r="J104" t="str">
        <v>1.00000</v>
      </c>
      <c r="K104" t="str">
        <v>1.00000</v>
      </c>
      <c r="L104" t="str">
        <v>1.00000</v>
      </c>
      <c r="M104" t="str">
        <v>null</v>
      </c>
      <c r="N104" t="str">
        <v>2.13200</v>
      </c>
      <c r="O104" t="str">
        <v>null</v>
      </c>
      <c r="P104" t="str">
        <v>18700.000</v>
      </c>
      <c r="Q104" t="str">
        <v>12569.000</v>
      </c>
      <c r="R104" t="str">
        <v>-2754.000</v>
      </c>
      <c r="S104" t="str">
        <v>593.000</v>
      </c>
      <c r="T104" t="str">
        <v>593.000</v>
      </c>
      <c r="U104" t="str">
        <v>12569.000</v>
      </c>
      <c r="V104" t="str">
        <v>12569.000</v>
      </c>
      <c r="W104" t="str">
        <v>0.69827777777777777778</v>
      </c>
      <c r="X104" t="str">
        <v>12.4199604743083004</v>
      </c>
      <c r="Y104" t="str">
        <v>12.4199604743083004</v>
      </c>
      <c r="Z104" t="str">
        <v>0.85128</v>
      </c>
      <c r="AA104" t="str">
        <v>1012.00000</v>
      </c>
      <c r="AB104" t="str">
        <v>20250T-DANIBLAN S.C.</v>
      </c>
    </row>
    <row r="105" spans="1:28" x14ac:dyDescent="0.25">
      <c r="A105" t="str">
        <v>2025-10-16</v>
      </c>
      <c r="B105" t="str">
        <v>20263T-GIRBAU CAMP YASMINA-L:38-N:1-A:3003-POLLO AMARILLO MIXTO</v>
      </c>
      <c r="C105" t="str">
        <v>POLLO AMARILLO MIXTO</v>
      </c>
      <c r="D105" t="str">
        <v>5</v>
      </c>
      <c r="E105" t="str">
        <v>Broiler Amarillo</v>
      </c>
      <c r="F105" t="str">
        <v>42</v>
      </c>
      <c r="G105" t="str">
        <v>2025-09-04</v>
      </c>
      <c r="H105" t="str">
        <v>0</v>
      </c>
      <c r="I105" t="str">
        <v>Pre-Finalizado</v>
      </c>
      <c r="J105" t="str">
        <v>1.00000</v>
      </c>
      <c r="K105" t="str">
        <v>1.00000</v>
      </c>
      <c r="L105" t="str">
        <v>1.00000</v>
      </c>
      <c r="M105" t="str">
        <v>null</v>
      </c>
      <c r="N105" t="str">
        <v>2.75600</v>
      </c>
      <c r="O105" t="str">
        <v>null</v>
      </c>
      <c r="P105" t="str">
        <v>20000.000</v>
      </c>
      <c r="Q105" t="str">
        <v>-4936.000</v>
      </c>
      <c r="R105" t="str">
        <v>-24292.000</v>
      </c>
      <c r="S105" t="str">
        <v>644.000</v>
      </c>
      <c r="T105" t="str">
        <v>644.000</v>
      </c>
      <c r="U105" t="str">
        <v>-4936.000</v>
      </c>
      <c r="V105" t="str">
        <v>-4936.000</v>
      </c>
      <c r="W105" t="str">
        <v>-0.23504761904761904762</v>
      </c>
      <c r="X105" t="str">
        <v>-4.0000000000000000</v>
      </c>
      <c r="Y105" t="str">
        <v>-4.0000000000000000</v>
      </c>
      <c r="Z105" t="str">
        <v>-0.23505</v>
      </c>
      <c r="AA105" t="str">
        <v>1234.00000</v>
      </c>
      <c r="AB105" t="str">
        <v>20263T-GIRBAU CAMP YASMINA</v>
      </c>
    </row>
    <row r="106" spans="1:28" x14ac:dyDescent="0.25">
      <c r="A106" t="str">
        <v>2025-10-16</v>
      </c>
      <c r="B106" t="str">
        <v>20424T-SERRATAL (M Claustre)-L:26-N:1-A:3002-POLLO AMARILLO HEMBRAS</v>
      </c>
      <c r="C106" t="str">
        <v>POLLO AMARILLO HEMBRAS</v>
      </c>
      <c r="D106" t="str">
        <v>5</v>
      </c>
      <c r="E106" t="str">
        <v>Broiler Amarillo</v>
      </c>
      <c r="F106" t="str">
        <v>34</v>
      </c>
      <c r="G106" t="str">
        <v>2025-09-12</v>
      </c>
      <c r="H106" t="str">
        <v>0</v>
      </c>
      <c r="I106" t="str">
        <v>Abierto</v>
      </c>
      <c r="J106" t="str">
        <v>1.00000</v>
      </c>
      <c r="K106" t="str">
        <v>1.00000</v>
      </c>
      <c r="L106" t="str">
        <v>1.00000</v>
      </c>
      <c r="M106" t="str">
        <v>null</v>
      </c>
      <c r="N106" t="str">
        <v>1.89600</v>
      </c>
      <c r="O106" t="str">
        <v>null</v>
      </c>
      <c r="P106" t="str">
        <v>15600.000</v>
      </c>
      <c r="Q106" t="str">
        <v>518.000</v>
      </c>
      <c r="R106" t="str">
        <v>-11640.000</v>
      </c>
      <c r="S106" t="str">
        <v>438.000</v>
      </c>
      <c r="T106" t="str">
        <v>438.000</v>
      </c>
      <c r="U106" t="str">
        <v>14052.000</v>
      </c>
      <c r="V106" t="str">
        <v>14052.000</v>
      </c>
      <c r="W106" t="str">
        <v>0.46840000000000000000</v>
      </c>
      <c r="X106" t="str">
        <v>8.7825000000000000</v>
      </c>
      <c r="Y106" t="str">
        <v>8.7825000000000000</v>
      </c>
      <c r="Z106" t="str">
        <v>0.60173</v>
      </c>
      <c r="AA106" t="str">
        <v>1600.00000</v>
      </c>
      <c r="AB106" t="str">
        <v>20424T-SERRATAL (M Claustre)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2EDF-921C-468E-ADC5-27B22B2D5F29}">
  <sheetPr codeName="Hoja5"/>
  <dimension ref="A1:AB106"/>
  <sheetViews>
    <sheetView workbookViewId="0">
      <selection activeCell="H8" sqref="H8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1.7109375" bestFit="1" customWidth="1"/>
    <col min="12" max="12" width="15.42578125" customWidth="1"/>
    <col min="13" max="13" width="33.5703125" bestFit="1" customWidth="1"/>
  </cols>
  <sheetData>
    <row r="1" spans="1:28" ht="30.75" thickBot="1" x14ac:dyDescent="0.3">
      <c r="A1" s="21"/>
      <c r="B1" s="22" t="s">
        <v>64</v>
      </c>
      <c r="C1" s="22" t="s">
        <v>65</v>
      </c>
      <c r="D1" s="22" t="s">
        <v>66</v>
      </c>
      <c r="E1" s="22" t="s">
        <v>67</v>
      </c>
      <c r="F1" s="22" t="s">
        <v>68</v>
      </c>
      <c r="G1" s="22" t="s">
        <v>69</v>
      </c>
      <c r="H1" s="22" t="s">
        <v>70</v>
      </c>
      <c r="I1" s="22" t="s">
        <v>71</v>
      </c>
      <c r="J1" s="22" t="s">
        <v>72</v>
      </c>
      <c r="K1" s="22" t="s">
        <v>62</v>
      </c>
      <c r="L1" s="22" t="s">
        <v>5</v>
      </c>
    </row>
    <row r="2" spans="1:28" ht="15.75" thickTop="1" x14ac:dyDescent="0.25">
      <c r="A2" s="23" t="s">
        <v>0</v>
      </c>
      <c r="B2" s="24" t="s">
        <v>74</v>
      </c>
      <c r="C2" s="24" t="s">
        <v>1</v>
      </c>
      <c r="D2" s="25"/>
      <c r="E2" s="25">
        <v>45931</v>
      </c>
      <c r="F2" s="25">
        <v>45940</v>
      </c>
      <c r="G2" s="24">
        <v>0</v>
      </c>
      <c r="H2" s="24">
        <v>999</v>
      </c>
      <c r="I2" s="24">
        <v>0</v>
      </c>
      <c r="J2" s="24">
        <v>9.9990000000000006</v>
      </c>
      <c r="K2" s="24"/>
      <c r="L2" s="24" t="s">
        <v>44</v>
      </c>
    </row>
    <row r="5" spans="1:28" x14ac:dyDescent="0.25">
      <c r="A5" t="str" cm="1">
        <f t="array" ref="A5:AB106">GetSetSalidasAvi(A2,B2,C2,E2,F2,G2,H2,I2,J2)</f>
        <v>fecha_stock</v>
      </c>
      <c r="B5" t="str">
        <v>granja_lote_nave_art</v>
      </c>
      <c r="C5" t="str">
        <v>articulo</v>
      </c>
      <c r="D5" t="str">
        <v>gst_codave</v>
      </c>
      <c r="E5" t="str">
        <v>producto_venta</v>
      </c>
      <c r="F5" t="str">
        <v>dias_vida</v>
      </c>
      <c r="G5" t="str">
        <v>fecha_entrada</v>
      </c>
      <c r="H5" t="str">
        <v>cantidad_entrada</v>
      </c>
      <c r="I5" t="str">
        <v>estado</v>
      </c>
      <c r="J5" t="str">
        <v>peso_real</v>
      </c>
      <c r="K5" t="str">
        <v>peso_real_rev</v>
      </c>
      <c r="L5" t="str">
        <v>peso_matadero</v>
      </c>
      <c r="M5" t="str">
        <v>peso_granja</v>
      </c>
      <c r="N5" t="str">
        <v>peso_teorico</v>
      </c>
      <c r="O5" t="str">
        <v>peso_avicontrol</v>
      </c>
      <c r="P5" t="str">
        <v>cantidad_entrada</v>
      </c>
      <c r="Q5" t="str">
        <v>stock_inicial</v>
      </c>
      <c r="R5" t="str">
        <v>ventas_acumuladas</v>
      </c>
      <c r="S5" t="str">
        <v>bajas_acumuladas</v>
      </c>
      <c r="T5" t="str">
        <v>bajas_teoricas</v>
      </c>
      <c r="U5" t="str">
        <v>stock_nave</v>
      </c>
      <c r="V5" t="str">
        <v>kilos_nave</v>
      </c>
      <c r="W5" t="str">
        <v>capacidad_nave</v>
      </c>
      <c r="X5" t="str">
        <v>densidad_nave</v>
      </c>
      <c r="Y5" t="str">
        <v>kgm2_nave</v>
      </c>
      <c r="Z5" t="str">
        <v>capacidad_nave</v>
      </c>
      <c r="AA5" t="str">
        <v>m2_nave</v>
      </c>
      <c r="AB5" t="str">
        <v>granja</v>
      </c>
    </row>
    <row r="6" spans="1:28" x14ac:dyDescent="0.25">
      <c r="A6" t="str">
        <v>2025-10-16</v>
      </c>
      <c r="B6" t="str">
        <v>36022-IGNACI ABAD MELE E HIJOS SCP-2-L:028-N:2-A:A13-POLLO AMARILLO MACHO</v>
      </c>
      <c r="C6" t="str">
        <v>POLLO AMARILLO MACHO</v>
      </c>
      <c r="D6" t="str">
        <v>3</v>
      </c>
      <c r="E6" t="str">
        <v>Broiler Amarillo</v>
      </c>
      <c r="F6" t="str">
        <v>58</v>
      </c>
      <c r="G6" t="str">
        <v>2025-08-19</v>
      </c>
      <c r="H6" t="str">
        <v>0</v>
      </c>
      <c r="I6" t="str">
        <v>Finalizado</v>
      </c>
      <c r="J6" t="str">
        <v>4.26100</v>
      </c>
      <c r="K6" t="str">
        <v>4.39537</v>
      </c>
      <c r="L6" t="str">
        <v>null</v>
      </c>
      <c r="M6" t="str">
        <v>null</v>
      </c>
      <c r="N6" t="str">
        <v>3.81300</v>
      </c>
      <c r="O6" t="str">
        <v>null</v>
      </c>
      <c r="P6" t="str">
        <v>11000.000</v>
      </c>
      <c r="Q6" t="str">
        <v>0.000</v>
      </c>
      <c r="R6" t="str">
        <v>-10537.000</v>
      </c>
      <c r="S6" t="str">
        <v>388.000</v>
      </c>
      <c r="T6" t="str">
        <v>388.000</v>
      </c>
      <c r="U6" t="str">
        <v>0.000</v>
      </c>
      <c r="V6" t="str">
        <v>0.000</v>
      </c>
      <c r="W6" t="str">
        <v>0.000000000000000000000000</v>
      </c>
      <c r="X6" t="str">
        <v>0.00000000000000000000</v>
      </c>
      <c r="Y6" t="str">
        <v>0.00000000000000000000</v>
      </c>
      <c r="Z6" t="str">
        <v>0.00000</v>
      </c>
      <c r="AA6" t="str">
        <v>1190.00000</v>
      </c>
      <c r="AB6" t="str">
        <v>36022-IGNACI ABAD MELE E HIJOS SCP-2</v>
      </c>
    </row>
    <row r="7" spans="1:28" x14ac:dyDescent="0.25">
      <c r="A7" t="str">
        <v>2025-10-16</v>
      </c>
      <c r="B7" t="str">
        <v>36023-AGRÀRIA SANBER SCP-L:029-N:1-A:A13-POLLO AMARILLO MACHO</v>
      </c>
      <c r="C7" t="str">
        <v>POLLO AMARILLO MACHO</v>
      </c>
      <c r="D7" t="str">
        <v>3</v>
      </c>
      <c r="E7" t="str">
        <v>Broiler Amarillo</v>
      </c>
      <c r="F7" t="str">
        <v>59</v>
      </c>
      <c r="G7" t="str">
        <v>2025-08-18</v>
      </c>
      <c r="H7" t="str">
        <v>0</v>
      </c>
      <c r="I7" t="str">
        <v>Pre-Finalizado</v>
      </c>
      <c r="J7" t="str">
        <v>4.22344</v>
      </c>
      <c r="K7" t="str">
        <v>4.38154</v>
      </c>
      <c r="L7" t="str">
        <v>null</v>
      </c>
      <c r="M7" t="str">
        <v>null</v>
      </c>
      <c r="N7" t="str">
        <v>3.86900</v>
      </c>
      <c r="O7" t="str">
        <v>null</v>
      </c>
      <c r="P7" t="str">
        <v>12000.000</v>
      </c>
      <c r="Q7" t="str">
        <v>277.000</v>
      </c>
      <c r="R7" t="str">
        <v>-11302.000</v>
      </c>
      <c r="S7" t="str">
        <v>325.000</v>
      </c>
      <c r="T7" t="str">
        <v>325.000</v>
      </c>
      <c r="U7" t="str">
        <v>639.000</v>
      </c>
      <c r="V7" t="str">
        <v>2609.820</v>
      </c>
      <c r="W7" t="str">
        <v>0.02130000000000000000</v>
      </c>
      <c r="X7" t="str">
        <v>1.8641571428571429</v>
      </c>
      <c r="Y7" t="str">
        <v>1.8641571428571429</v>
      </c>
      <c r="Z7" t="str">
        <v>0.02130</v>
      </c>
      <c r="AA7" t="str">
        <v>1400.00000</v>
      </c>
      <c r="AB7" t="str">
        <v>36023-AGRÀRIA SANBER SCP</v>
      </c>
    </row>
    <row r="8" spans="1:28" x14ac:dyDescent="0.25">
      <c r="A8" t="str">
        <v>2025-10-16</v>
      </c>
      <c r="B8" t="str">
        <v>36021-IGNACIO ABAD MELE E HIJOS SCP-1-L:028-N:3-A:A13-POLLO AMARILLO MACHO</v>
      </c>
      <c r="C8" t="str">
        <v>POLLO AMARILLO MACHO</v>
      </c>
      <c r="D8" t="str">
        <v>3</v>
      </c>
      <c r="E8" t="str">
        <v>Broiler Amarillo</v>
      </c>
      <c r="F8" t="str">
        <v>58</v>
      </c>
      <c r="G8" t="str">
        <v>2025-08-19</v>
      </c>
      <c r="H8" t="str">
        <v>0</v>
      </c>
      <c r="I8" t="str">
        <v>Pre-Finalizado</v>
      </c>
      <c r="J8" t="str">
        <v>4.17500</v>
      </c>
      <c r="K8" t="str">
        <v>4.31257</v>
      </c>
      <c r="L8" t="str">
        <v>null</v>
      </c>
      <c r="M8" t="str">
        <v>null</v>
      </c>
      <c r="N8" t="str">
        <v>3.81300</v>
      </c>
      <c r="O8" t="str">
        <v>null</v>
      </c>
      <c r="P8" t="str">
        <v>7000.000</v>
      </c>
      <c r="Q8" t="str">
        <v>0.000</v>
      </c>
      <c r="R8" t="str">
        <v>-6350.000</v>
      </c>
      <c r="S8" t="str">
        <v>234.000</v>
      </c>
      <c r="T8" t="str">
        <v>234.000</v>
      </c>
      <c r="U8" t="str">
        <v>8.000</v>
      </c>
      <c r="V8" t="str">
        <v>31.344</v>
      </c>
      <c r="W8" t="str">
        <v>0.00057425884717536430</v>
      </c>
      <c r="X8" t="str">
        <v>0.04081250000000000000</v>
      </c>
      <c r="Y8" t="str">
        <v>0.04081250000000000000</v>
      </c>
      <c r="Z8" t="str">
        <v>0.00057</v>
      </c>
      <c r="AA8" t="str">
        <v>768.00000</v>
      </c>
      <c r="AB8" t="str">
        <v>36021-IGNACIO ABAD MELE E HIJOS SCP-1</v>
      </c>
    </row>
    <row r="9" spans="1:28" x14ac:dyDescent="0.25">
      <c r="A9" t="str">
        <v>2025-10-16</v>
      </c>
      <c r="B9" t="str">
        <v>36057-CRAVICOL, SL-L:007-N:2-A:A13-POLLO AMARILLO MACHO</v>
      </c>
      <c r="C9" t="str">
        <v>POLLO AMARILLO MACHO</v>
      </c>
      <c r="D9" t="str">
        <v>3</v>
      </c>
      <c r="E9" t="str">
        <v>Broiler Amarillo</v>
      </c>
      <c r="F9" t="str">
        <v>52</v>
      </c>
      <c r="G9" t="str">
        <v>2025-08-25</v>
      </c>
      <c r="H9" t="str">
        <v>0</v>
      </c>
      <c r="I9" t="str">
        <v>Pre-Finalizado</v>
      </c>
      <c r="J9" t="str">
        <v>4.05602</v>
      </c>
      <c r="K9" t="str">
        <v>4.20636</v>
      </c>
      <c r="L9" t="str">
        <v>null</v>
      </c>
      <c r="M9" t="str">
        <v>null</v>
      </c>
      <c r="N9" t="str">
        <v>3.46100</v>
      </c>
      <c r="O9" t="str">
        <v>null</v>
      </c>
      <c r="P9" t="str">
        <v>10500.000</v>
      </c>
      <c r="Q9" t="str">
        <v>189.000</v>
      </c>
      <c r="R9" t="str">
        <v>-9975.000</v>
      </c>
      <c r="S9" t="str">
        <v>288.000</v>
      </c>
      <c r="T9" t="str">
        <v>288.000</v>
      </c>
      <c r="U9" t="str">
        <v>502.000</v>
      </c>
      <c r="V9" t="str">
        <v>1961.412</v>
      </c>
      <c r="W9" t="str">
        <v>0.02189271696467509812</v>
      </c>
      <c r="X9" t="str">
        <v>1.5395698587127159</v>
      </c>
      <c r="Y9" t="str">
        <v>1.5395698587127159</v>
      </c>
      <c r="Z9" t="str">
        <v>0.02189</v>
      </c>
      <c r="AA9" t="str">
        <v>1274.00000</v>
      </c>
      <c r="AB9" t="str">
        <v>36057-CRAVICOL, SL</v>
      </c>
    </row>
    <row r="10" spans="1:28" x14ac:dyDescent="0.25">
      <c r="A10" t="str">
        <v>2025-10-16</v>
      </c>
      <c r="B10" t="str">
        <v>36057-CRAVICOL, SL-L:007-N:3-A:A13-POLLO AMARILLO MACHO</v>
      </c>
      <c r="C10" t="str">
        <v>POLLO AMARILLO MACHO</v>
      </c>
      <c r="D10" t="str">
        <v>3</v>
      </c>
      <c r="E10" t="str">
        <v>Broiler Amarillo</v>
      </c>
      <c r="F10" t="str">
        <v>52</v>
      </c>
      <c r="G10" t="str">
        <v>2025-08-25</v>
      </c>
      <c r="H10" t="str">
        <v>0</v>
      </c>
      <c r="I10" t="str">
        <v>Pre-Finalizado</v>
      </c>
      <c r="J10" t="str">
        <v>4.03699</v>
      </c>
      <c r="K10" t="str">
        <v>4.20593</v>
      </c>
      <c r="L10" t="str">
        <v>null</v>
      </c>
      <c r="M10" t="str">
        <v>null</v>
      </c>
      <c r="N10" t="str">
        <v>3.46100</v>
      </c>
      <c r="O10" t="str">
        <v>null</v>
      </c>
      <c r="P10" t="str">
        <v>13100.000</v>
      </c>
      <c r="Q10" t="str">
        <v>818.000</v>
      </c>
      <c r="R10" t="str">
        <v>-11765.000</v>
      </c>
      <c r="S10" t="str">
        <v>469.000</v>
      </c>
      <c r="T10" t="str">
        <v>469.000</v>
      </c>
      <c r="U10" t="str">
        <v>951.000</v>
      </c>
      <c r="V10" t="str">
        <v>3803.097</v>
      </c>
      <c r="W10" t="str">
        <v>0.03302083333333333333</v>
      </c>
      <c r="X10" t="str">
        <v>2.3769356250000000</v>
      </c>
      <c r="Y10" t="str">
        <v>2.3769356250000000</v>
      </c>
      <c r="Z10" t="str">
        <v>0.03302</v>
      </c>
      <c r="AA10" t="str">
        <v>1600.00000</v>
      </c>
      <c r="AB10" t="str">
        <v>36057-CRAVICOL, SL</v>
      </c>
    </row>
    <row r="11" spans="1:28" x14ac:dyDescent="0.25">
      <c r="A11" t="str">
        <v>2025-10-16</v>
      </c>
      <c r="B11" t="str">
        <v>36021-IGNACIO ABAD MELE E HIJOS SCP-1-L:028-N:1-A:A13-POLLO AMARILLO MACHO</v>
      </c>
      <c r="C11" t="str">
        <v>POLLO AMARILLO MACHO</v>
      </c>
      <c r="D11" t="str">
        <v>3</v>
      </c>
      <c r="E11" t="str">
        <v>Broiler Amarillo</v>
      </c>
      <c r="F11" t="str">
        <v>58</v>
      </c>
      <c r="G11" t="str">
        <v>2025-08-19</v>
      </c>
      <c r="H11" t="str">
        <v>0</v>
      </c>
      <c r="I11" t="str">
        <v>Pre-Finalizado</v>
      </c>
      <c r="J11" t="str">
        <v>4.01800</v>
      </c>
      <c r="K11" t="str">
        <v>4.09592</v>
      </c>
      <c r="L11" t="str">
        <v>null</v>
      </c>
      <c r="M11" t="str">
        <v>null</v>
      </c>
      <c r="N11" t="str">
        <v>3.81300</v>
      </c>
      <c r="O11" t="str">
        <v>null</v>
      </c>
      <c r="P11" t="str">
        <v>7500.000</v>
      </c>
      <c r="Q11" t="str">
        <v>0.000</v>
      </c>
      <c r="R11" t="str">
        <v>-6700.000</v>
      </c>
      <c r="S11" t="str">
        <v>274.000</v>
      </c>
      <c r="T11" t="str">
        <v>274.000</v>
      </c>
      <c r="U11" t="str">
        <v>142.000</v>
      </c>
      <c r="V11" t="str">
        <v>495.296</v>
      </c>
      <c r="W11" t="str">
        <v>0.00959329820294554790</v>
      </c>
      <c r="X11" t="str">
        <v>0.60698039215686274510</v>
      </c>
      <c r="Y11" t="str">
        <v>0.60698039215686274510</v>
      </c>
      <c r="Z11" t="str">
        <v>0.00959</v>
      </c>
      <c r="AA11" t="str">
        <v>816.00000</v>
      </c>
      <c r="AB11" t="str">
        <v>36021-IGNACIO ABAD MELE E HIJOS SCP-1</v>
      </c>
    </row>
    <row r="12" spans="1:28" x14ac:dyDescent="0.25">
      <c r="A12" t="str">
        <v>2025-10-16</v>
      </c>
      <c r="B12" t="str">
        <v>36021-IGNACIO ABAD MELE E HIJOS SCP-1-L:028-N:2-A:A13-POLLO AMARILLO MACHO</v>
      </c>
      <c r="C12" t="str">
        <v>POLLO AMARILLO MACHO</v>
      </c>
      <c r="D12" t="str">
        <v>3</v>
      </c>
      <c r="E12" t="str">
        <v>Broiler Amarillo</v>
      </c>
      <c r="F12" t="str">
        <v>58</v>
      </c>
      <c r="G12" t="str">
        <v>2025-08-19</v>
      </c>
      <c r="H12" t="str">
        <v>0</v>
      </c>
      <c r="I12" t="str">
        <v>Pre-Finalizado</v>
      </c>
      <c r="J12" t="str">
        <v>3.99000</v>
      </c>
      <c r="K12" t="str">
        <v>4.04988</v>
      </c>
      <c r="L12" t="str">
        <v>null</v>
      </c>
      <c r="M12" t="str">
        <v>null</v>
      </c>
      <c r="N12" t="str">
        <v>3.81300</v>
      </c>
      <c r="O12" t="str">
        <v>null</v>
      </c>
      <c r="P12" t="str">
        <v>7500.000</v>
      </c>
      <c r="Q12" t="str">
        <v>-895.000</v>
      </c>
      <c r="R12" t="str">
        <v>-8121.000</v>
      </c>
      <c r="S12" t="str">
        <v>274.000</v>
      </c>
      <c r="T12" t="str">
        <v>274.000</v>
      </c>
      <c r="U12" t="str">
        <v>-855.000</v>
      </c>
      <c r="V12" t="str">
        <v>-3425.650</v>
      </c>
      <c r="W12" t="str">
        <v>-0.05951138024639799541</v>
      </c>
      <c r="X12" t="str">
        <v>-4.3253156565656566</v>
      </c>
      <c r="Y12" t="str">
        <v>-4.3253156565656566</v>
      </c>
      <c r="Z12" t="str">
        <v>-0.05951</v>
      </c>
      <c r="AA12" t="str">
        <v>792.00000</v>
      </c>
      <c r="AB12" t="str">
        <v>36021-IGNACIO ABAD MELE E HIJOS SCP-1</v>
      </c>
    </row>
    <row r="13" spans="1:28" x14ac:dyDescent="0.25">
      <c r="A13" t="str">
        <v>2025-10-16</v>
      </c>
      <c r="B13" t="str">
        <v>36022-IGNACI ABAD MELE E HIJOS SCP-2-L:028-N:1-A:A13-POLLO AMARILLO MACHO</v>
      </c>
      <c r="C13" t="str">
        <v>POLLO AMARILLO MACHO</v>
      </c>
      <c r="D13" t="str">
        <v>3</v>
      </c>
      <c r="E13" t="str">
        <v>Broiler Amarillo</v>
      </c>
      <c r="F13" t="str">
        <v>58</v>
      </c>
      <c r="G13" t="str">
        <v>2025-08-19</v>
      </c>
      <c r="H13" t="str">
        <v>0</v>
      </c>
      <c r="I13" t="str">
        <v>Finalizado</v>
      </c>
      <c r="J13" t="str">
        <v>3.98200</v>
      </c>
      <c r="K13" t="str">
        <v>4.02121</v>
      </c>
      <c r="L13" t="str">
        <v>null</v>
      </c>
      <c r="M13" t="str">
        <v>null</v>
      </c>
      <c r="N13" t="str">
        <v>3.81300</v>
      </c>
      <c r="O13" t="str">
        <v>null</v>
      </c>
      <c r="P13" t="str">
        <v>11000.000</v>
      </c>
      <c r="Q13" t="str">
        <v>0.000</v>
      </c>
      <c r="R13" t="str">
        <v>-10107.000</v>
      </c>
      <c r="S13" t="str">
        <v>388.000</v>
      </c>
      <c r="T13" t="str">
        <v>388.000</v>
      </c>
      <c r="U13" t="str">
        <v>0.000</v>
      </c>
      <c r="V13" t="str">
        <v>0.000</v>
      </c>
      <c r="W13" t="str">
        <v>0.000000000000000000000000</v>
      </c>
      <c r="X13" t="str">
        <v>0.00000000000000000000</v>
      </c>
      <c r="Y13" t="str">
        <v>0.00000000000000000000</v>
      </c>
      <c r="Z13" t="str">
        <v>0.00000</v>
      </c>
      <c r="AA13" t="str">
        <v>1190.00000</v>
      </c>
      <c r="AB13" t="str">
        <v>36022-IGNACI ABAD MELE E HIJOS SCP-2</v>
      </c>
    </row>
    <row r="14" spans="1:28" x14ac:dyDescent="0.25">
      <c r="A14" t="str">
        <v>2025-10-16</v>
      </c>
      <c r="B14" t="str">
        <v>36023-AGRÀRIA SANBER SCP-L:029-N:1-A:A14-POLLO AMARILLO HEMBRAS</v>
      </c>
      <c r="C14" t="str">
        <v>POLLO AMARILLO HEMBRAS</v>
      </c>
      <c r="D14" t="str">
        <v>3</v>
      </c>
      <c r="E14" t="str">
        <v>Broiler Amarillo</v>
      </c>
      <c r="F14" t="str">
        <v>59</v>
      </c>
      <c r="G14" t="str">
        <v>2025-08-18</v>
      </c>
      <c r="H14" t="str">
        <v>0</v>
      </c>
      <c r="I14" t="str">
        <v>Pre-Finalizado</v>
      </c>
      <c r="J14" t="str">
        <v>3.97770</v>
      </c>
      <c r="K14" t="str">
        <v>4.28145</v>
      </c>
      <c r="L14" t="str">
        <v>null</v>
      </c>
      <c r="M14" t="str">
        <v>null</v>
      </c>
      <c r="N14" t="str">
        <v>3.22900</v>
      </c>
      <c r="O14" t="str">
        <v>null</v>
      </c>
      <c r="P14" t="str">
        <v>12000.000</v>
      </c>
      <c r="Q14" t="str">
        <v>362.000</v>
      </c>
      <c r="R14" t="str">
        <v>-11487.000</v>
      </c>
      <c r="S14" t="str">
        <v>119.000</v>
      </c>
      <c r="T14" t="str">
        <v>119.000</v>
      </c>
      <c r="U14" t="str">
        <v>639.000</v>
      </c>
      <c r="V14" t="str">
        <v>2609.820</v>
      </c>
      <c r="W14" t="str">
        <v>0.02130000000000000000</v>
      </c>
      <c r="X14" t="str">
        <v>1.8641571428571429</v>
      </c>
      <c r="Y14" t="str">
        <v>1.8641571428571429</v>
      </c>
      <c r="Z14" t="str">
        <v>0.02130</v>
      </c>
      <c r="AA14" t="str">
        <v>1400.00000</v>
      </c>
      <c r="AB14" t="str">
        <v>36023-AGRÀRIA SANBER SCP</v>
      </c>
    </row>
    <row r="15" spans="1:28" x14ac:dyDescent="0.25">
      <c r="A15" t="str">
        <v>2025-10-16</v>
      </c>
      <c r="B15" t="str">
        <v>36026-TOMAS AURO SEBASTIAN-L:025-N:2-A:A15-POLLO AMARILLO MIXTO</v>
      </c>
      <c r="C15" t="str">
        <v>POLLO AMARILLO MIXTO</v>
      </c>
      <c r="D15" t="str">
        <v>3</v>
      </c>
      <c r="E15" t="str">
        <v>Broiler Amarillo</v>
      </c>
      <c r="F15" t="str">
        <v>59</v>
      </c>
      <c r="G15" t="str">
        <v>2025-08-18</v>
      </c>
      <c r="H15" t="str">
        <v>0</v>
      </c>
      <c r="I15" t="str">
        <v>Pre-Finalizado</v>
      </c>
      <c r="J15" t="str">
        <v>3.93400</v>
      </c>
      <c r="K15" t="str">
        <v>4.06677</v>
      </c>
      <c r="L15" t="str">
        <v>null</v>
      </c>
      <c r="M15" t="str">
        <v>null</v>
      </c>
      <c r="N15" t="str">
        <v>3.54800</v>
      </c>
      <c r="O15" t="str">
        <v>null</v>
      </c>
      <c r="P15" t="str">
        <v>17910.000</v>
      </c>
      <c r="Q15" t="str">
        <v>-302.000</v>
      </c>
      <c r="R15" t="str">
        <v>-17593.000</v>
      </c>
      <c r="S15" t="str">
        <v>619.000</v>
      </c>
      <c r="T15" t="str">
        <v>619.000</v>
      </c>
      <c r="U15" t="str">
        <v>-302.000</v>
      </c>
      <c r="V15" t="str">
        <v>-1188.068</v>
      </c>
      <c r="W15" t="str">
        <v>-0.01680952911054213514</v>
      </c>
      <c r="X15" t="str">
        <v>-1.1208188679245283</v>
      </c>
      <c r="Y15" t="str">
        <v>-1.1208188679245283</v>
      </c>
      <c r="Z15" t="str">
        <v>-0.01681</v>
      </c>
      <c r="AA15" t="str">
        <v>1060.00000</v>
      </c>
      <c r="AB15" t="str">
        <v>36026-TOMAS AURO SEBASTIAN</v>
      </c>
    </row>
    <row r="16" spans="1:28" x14ac:dyDescent="0.25">
      <c r="A16" t="str">
        <v>2025-10-16</v>
      </c>
      <c r="B16" t="str">
        <v>36021-IGNACIO ABAD MELE E HIJOS SCP-1-L:028-N:3-A:A14-POLLO AMARILLO HEMBRAS</v>
      </c>
      <c r="C16" t="str">
        <v>POLLO AMARILLO HEMBRAS</v>
      </c>
      <c r="D16" t="str">
        <v>3</v>
      </c>
      <c r="E16" t="str">
        <v>Broiler Amarillo</v>
      </c>
      <c r="F16" t="str">
        <v>58</v>
      </c>
      <c r="G16" t="str">
        <v>2025-08-19</v>
      </c>
      <c r="H16" t="str">
        <v>0</v>
      </c>
      <c r="I16" t="str">
        <v>Pre-Finalizado</v>
      </c>
      <c r="J16" t="str">
        <v>3.91800</v>
      </c>
      <c r="K16" t="str">
        <v>4.17225</v>
      </c>
      <c r="L16" t="str">
        <v>null</v>
      </c>
      <c r="M16" t="str">
        <v>null</v>
      </c>
      <c r="N16" t="str">
        <v>3.18300</v>
      </c>
      <c r="O16" t="str">
        <v>null</v>
      </c>
      <c r="P16" t="str">
        <v>7000.000</v>
      </c>
      <c r="Q16" t="str">
        <v>8.000</v>
      </c>
      <c r="R16" t="str">
        <v>-6668.000</v>
      </c>
      <c r="S16" t="str">
        <v>234.000</v>
      </c>
      <c r="T16" t="str">
        <v>234.000</v>
      </c>
      <c r="U16" t="str">
        <v>8.000</v>
      </c>
      <c r="V16" t="str">
        <v>31.344</v>
      </c>
      <c r="W16" t="str">
        <v>0.00057425884717536430</v>
      </c>
      <c r="X16" t="str">
        <v>0.04081250000000000000</v>
      </c>
      <c r="Y16" t="str">
        <v>0.04081250000000000000</v>
      </c>
      <c r="Z16" t="str">
        <v>0.00057</v>
      </c>
      <c r="AA16" t="str">
        <v>768.00000</v>
      </c>
      <c r="AB16" t="str">
        <v>36021-IGNACIO ABAD MELE E HIJOS SCP-1</v>
      </c>
    </row>
    <row r="17" spans="1:28" x14ac:dyDescent="0.25">
      <c r="A17" t="str">
        <v>2025-10-16</v>
      </c>
      <c r="B17" t="str">
        <v>36047-XIFRE XIFRE JORDI-L:018-N:1-A:A13-POLLO AMARILLO MACHO</v>
      </c>
      <c r="C17" t="str">
        <v>POLLO AMARILLO MACHO</v>
      </c>
      <c r="D17" t="str">
        <v>3</v>
      </c>
      <c r="E17" t="str">
        <v>Broiler Amarillo</v>
      </c>
      <c r="F17" t="str">
        <v>57</v>
      </c>
      <c r="G17" t="str">
        <v>2025-08-20</v>
      </c>
      <c r="H17" t="str">
        <v>0</v>
      </c>
      <c r="I17" t="str">
        <v>Finalizado</v>
      </c>
      <c r="J17" t="str">
        <v>3.91700</v>
      </c>
      <c r="K17" t="str">
        <v>3.97422</v>
      </c>
      <c r="L17" t="str">
        <v>null</v>
      </c>
      <c r="M17" t="str">
        <v>null</v>
      </c>
      <c r="N17" t="str">
        <v>3.75800</v>
      </c>
      <c r="O17" t="str">
        <v>null</v>
      </c>
      <c r="P17" t="str">
        <v>12200.000</v>
      </c>
      <c r="Q17" t="str">
        <v>70.000</v>
      </c>
      <c r="R17" t="str">
        <v>-11657.000</v>
      </c>
      <c r="S17" t="str">
        <v>419.000</v>
      </c>
      <c r="T17" t="str">
        <v>419.000</v>
      </c>
      <c r="U17" t="str">
        <v>-6.000</v>
      </c>
      <c r="V17" t="str">
        <v>6.214</v>
      </c>
      <c r="W17" t="str">
        <v>-0.00024935583077050952</v>
      </c>
      <c r="X17" t="str">
        <v>0.00443857142857142857</v>
      </c>
      <c r="Y17" t="str">
        <v>0.00443857142857142857</v>
      </c>
      <c r="Z17" t="str">
        <v>-0.00025</v>
      </c>
      <c r="AA17" t="str">
        <v>1400.00000</v>
      </c>
      <c r="AB17" t="str">
        <v>36047-XIFRE XIFRE JORDI</v>
      </c>
    </row>
    <row r="18" spans="1:28" x14ac:dyDescent="0.25">
      <c r="A18" t="str">
        <v>2025-10-16</v>
      </c>
      <c r="B18" t="str">
        <v>36026-TOMAS AURO SEBASTIAN-L:025-N:1-A:A15-POLLO AMARILLO MIXTO</v>
      </c>
      <c r="C18" t="str">
        <v>POLLO AMARILLO MIXTO</v>
      </c>
      <c r="D18" t="str">
        <v>3</v>
      </c>
      <c r="E18" t="str">
        <v>Broiler Amarillo</v>
      </c>
      <c r="F18" t="str">
        <v>59</v>
      </c>
      <c r="G18" t="str">
        <v>2025-08-18</v>
      </c>
      <c r="H18" t="str">
        <v>0</v>
      </c>
      <c r="I18" t="str">
        <v>Abierto</v>
      </c>
      <c r="J18" t="str">
        <v>3.91300</v>
      </c>
      <c r="K18" t="str">
        <v>4.02493</v>
      </c>
      <c r="L18" t="str">
        <v>null</v>
      </c>
      <c r="M18" t="str">
        <v>null</v>
      </c>
      <c r="N18" t="str">
        <v>3.54800</v>
      </c>
      <c r="O18" t="str">
        <v>null</v>
      </c>
      <c r="P18" t="str">
        <v>21960.000</v>
      </c>
      <c r="Q18" t="str">
        <v>1053.000</v>
      </c>
      <c r="R18" t="str">
        <v>-20671.000</v>
      </c>
      <c r="S18" t="str">
        <v>182.000</v>
      </c>
      <c r="T18" t="str">
        <v>182.000</v>
      </c>
      <c r="U18" t="str">
        <v>1053.000</v>
      </c>
      <c r="V18" t="str">
        <v>4120.389</v>
      </c>
      <c r="W18" t="str">
        <v>0.04778977943178723791</v>
      </c>
      <c r="X18" t="str">
        <v>3.1695300000000000</v>
      </c>
      <c r="Y18" t="str">
        <v>3.1695300000000000</v>
      </c>
      <c r="Z18" t="str">
        <v>0.04779</v>
      </c>
      <c r="AA18" t="str">
        <v>1300.00000</v>
      </c>
      <c r="AB18" t="str">
        <v>36026-TOMAS AURO SEBASTIAN</v>
      </c>
    </row>
    <row r="19" spans="1:28" x14ac:dyDescent="0.25">
      <c r="A19" t="str">
        <v>2025-10-16</v>
      </c>
      <c r="B19" t="str">
        <v>36057-CRAVICOL, SL-L:007-N:1-A:A13-POLLO AMARILLO MACHO</v>
      </c>
      <c r="C19" t="str">
        <v>POLLO AMARILLO MACHO</v>
      </c>
      <c r="D19" t="str">
        <v>3</v>
      </c>
      <c r="E19" t="str">
        <v>Broiler Amarillo</v>
      </c>
      <c r="F19" t="str">
        <v>52</v>
      </c>
      <c r="G19" t="str">
        <v>2025-08-25</v>
      </c>
      <c r="H19" t="str">
        <v>0</v>
      </c>
      <c r="I19" t="str">
        <v>Pre-Finalizado</v>
      </c>
      <c r="J19" t="str">
        <v>3.87415</v>
      </c>
      <c r="K19" t="str">
        <v>3.96291</v>
      </c>
      <c r="L19" t="str">
        <v>null</v>
      </c>
      <c r="M19" t="str">
        <v>null</v>
      </c>
      <c r="N19" t="str">
        <v>3.46100</v>
      </c>
      <c r="O19" t="str">
        <v>null</v>
      </c>
      <c r="P19" t="str">
        <v>12600.000</v>
      </c>
      <c r="Q19" t="str">
        <v>827.000</v>
      </c>
      <c r="R19" t="str">
        <v>-11455.000</v>
      </c>
      <c r="S19" t="str">
        <v>315.000</v>
      </c>
      <c r="T19" t="str">
        <v>315.000</v>
      </c>
      <c r="U19" t="str">
        <v>974.000</v>
      </c>
      <c r="V19" t="str">
        <v>3719.527</v>
      </c>
      <c r="W19" t="str">
        <v>0.03445348425893172975</v>
      </c>
      <c r="X19" t="str">
        <v>2.4043484162895928</v>
      </c>
      <c r="Y19" t="str">
        <v>2.4043484162895928</v>
      </c>
      <c r="Z19" t="str">
        <v>0.03445</v>
      </c>
      <c r="AA19" t="str">
        <v>1547.00000</v>
      </c>
      <c r="AB19" t="str">
        <v>36057-CRAVICOL, SL</v>
      </c>
    </row>
    <row r="20" spans="1:28" x14ac:dyDescent="0.25">
      <c r="A20" t="str">
        <v>2025-10-16</v>
      </c>
      <c r="B20" t="str">
        <v>36046-(poble) AGROAVICOLA SANTIAGO SL-L:018-N:2-A:A13-POLLO AMARILLO MACHO</v>
      </c>
      <c r="C20" t="str">
        <v>POLLO AMARILLO MACHO</v>
      </c>
      <c r="D20" t="str">
        <v>3</v>
      </c>
      <c r="E20" t="str">
        <v>Broiler Amarillo</v>
      </c>
      <c r="F20" t="str">
        <v>55</v>
      </c>
      <c r="G20" t="str">
        <v>2025-08-22</v>
      </c>
      <c r="H20" t="str">
        <v>0</v>
      </c>
      <c r="I20" t="str">
        <v>Pre-Finalizado</v>
      </c>
      <c r="J20" t="str">
        <v>3.86800</v>
      </c>
      <c r="K20" t="str">
        <v>3.92196</v>
      </c>
      <c r="L20" t="str">
        <v>null</v>
      </c>
      <c r="M20" t="str">
        <v>null</v>
      </c>
      <c r="N20" t="str">
        <v>3.64600</v>
      </c>
      <c r="O20" t="str">
        <v>null</v>
      </c>
      <c r="P20" t="str">
        <v>8500.000</v>
      </c>
      <c r="Q20" t="str">
        <v>407.000</v>
      </c>
      <c r="R20" t="str">
        <v>-7685.000</v>
      </c>
      <c r="S20" t="str">
        <v>300.000</v>
      </c>
      <c r="T20" t="str">
        <v>300.000</v>
      </c>
      <c r="U20" t="str">
        <v>423.000</v>
      </c>
      <c r="V20" t="str">
        <v>1630.324</v>
      </c>
      <c r="W20" t="str">
        <v>0.02417142857142857143</v>
      </c>
      <c r="X20" t="str">
        <v>1.6568333333333333</v>
      </c>
      <c r="Y20" t="str">
        <v>1.6568333333333333</v>
      </c>
      <c r="Z20" t="str">
        <v>0.02417</v>
      </c>
      <c r="AA20" t="str">
        <v>984.00000</v>
      </c>
      <c r="AB20" t="str">
        <v>36046-(poble) AGROAVICOLA SANTIAGO SL</v>
      </c>
    </row>
    <row r="21" spans="1:28" x14ac:dyDescent="0.25">
      <c r="A21" t="str">
        <v>2025-10-16</v>
      </c>
      <c r="B21" t="str">
        <v>36057-CRAVICOL, SL-L:007-N:2-A:A14-POLLO AMARILLO HEMBRAS</v>
      </c>
      <c r="C21" t="str">
        <v>POLLO AMARILLO HEMBRAS</v>
      </c>
      <c r="D21" t="str">
        <v>3</v>
      </c>
      <c r="E21" t="str">
        <v>Broiler Amarillo</v>
      </c>
      <c r="F21" t="str">
        <v>52</v>
      </c>
      <c r="G21" t="str">
        <v>2025-08-25</v>
      </c>
      <c r="H21" t="str">
        <v>0</v>
      </c>
      <c r="I21" t="str">
        <v>Pre-Finalizado</v>
      </c>
      <c r="J21" t="str">
        <v>3.81733</v>
      </c>
      <c r="K21" t="str">
        <v>4.02534</v>
      </c>
      <c r="L21" t="str">
        <v>null</v>
      </c>
      <c r="M21" t="str">
        <v>null</v>
      </c>
      <c r="N21" t="str">
        <v>2.90300</v>
      </c>
      <c r="O21" t="str">
        <v>null</v>
      </c>
      <c r="P21" t="str">
        <v>10900.000</v>
      </c>
      <c r="Q21" t="str">
        <v>313.000</v>
      </c>
      <c r="R21" t="str">
        <v>-10484.000</v>
      </c>
      <c r="S21" t="str">
        <v>34.000</v>
      </c>
      <c r="T21" t="str">
        <v>34.000</v>
      </c>
      <c r="U21" t="str">
        <v>502.000</v>
      </c>
      <c r="V21" t="str">
        <v>1961.412</v>
      </c>
      <c r="W21" t="str">
        <v>0.02189271696467509812</v>
      </c>
      <c r="X21" t="str">
        <v>1.5395698587127159</v>
      </c>
      <c r="Y21" t="str">
        <v>1.5395698587127159</v>
      </c>
      <c r="Z21" t="str">
        <v>0.02189</v>
      </c>
      <c r="AA21" t="str">
        <v>1274.00000</v>
      </c>
      <c r="AB21" t="str">
        <v>36057-CRAVICOL, SL</v>
      </c>
    </row>
    <row r="22" spans="1:28" x14ac:dyDescent="0.25">
      <c r="A22" t="str">
        <v>2025-10-16</v>
      </c>
      <c r="B22" t="str">
        <v>36642-GRANJA LA SAIRA (Vallpons 2011 SL)-L:131-N:1-A:A13-POLLO AMARILLO MACHO</v>
      </c>
      <c r="C22" t="str">
        <v>POLLO AMARILLO MACHO</v>
      </c>
      <c r="D22" t="str">
        <v>3</v>
      </c>
      <c r="E22" t="str">
        <v>Broiler Amarillo</v>
      </c>
      <c r="F22" t="str">
        <v>52</v>
      </c>
      <c r="G22" t="str">
        <v>2025-08-25</v>
      </c>
      <c r="H22" t="str">
        <v>0</v>
      </c>
      <c r="I22" t="str">
        <v>Pre-Finalizado</v>
      </c>
      <c r="J22" t="str">
        <v>3.77371</v>
      </c>
      <c r="K22" t="str">
        <v>3.86547</v>
      </c>
      <c r="L22" t="str">
        <v>null</v>
      </c>
      <c r="M22" t="str">
        <v>null</v>
      </c>
      <c r="N22" t="str">
        <v>3.46100</v>
      </c>
      <c r="O22" t="str">
        <v>null</v>
      </c>
      <c r="P22" t="str">
        <v>13600.000</v>
      </c>
      <c r="Q22" t="str">
        <v>815.000</v>
      </c>
      <c r="R22" t="str">
        <v>-12359.000</v>
      </c>
      <c r="S22" t="str">
        <v>266.000</v>
      </c>
      <c r="T22" t="str">
        <v>266.000</v>
      </c>
      <c r="U22" t="str">
        <v>815.000</v>
      </c>
      <c r="V22" t="str">
        <v>3075.574</v>
      </c>
      <c r="W22" t="str">
        <v>0.02716666666666666667</v>
      </c>
      <c r="X22" t="str">
        <v>2.0503826666666667</v>
      </c>
      <c r="Y22" t="str">
        <v>2.0503826666666667</v>
      </c>
      <c r="Z22" t="str">
        <v>0.02717</v>
      </c>
      <c r="AA22" t="str">
        <v>1500.00000</v>
      </c>
      <c r="AB22" t="str">
        <v>36642-GRANJA LA SAIRA (Vallpons 2011 SL)</v>
      </c>
    </row>
    <row r="23" spans="1:28" x14ac:dyDescent="0.25">
      <c r="A23" t="str">
        <v>2025-10-16</v>
      </c>
      <c r="B23" t="str">
        <v>36057-CRAVICOL, SL-L:007-N:3-A:A14-POLLO AMARILLO HEMBRAS</v>
      </c>
      <c r="C23" t="str">
        <v>POLLO AMARILLO HEMBRAS</v>
      </c>
      <c r="D23" t="str">
        <v>3</v>
      </c>
      <c r="E23" t="str">
        <v>Broiler Amarillo</v>
      </c>
      <c r="F23" t="str">
        <v>52</v>
      </c>
      <c r="G23" t="str">
        <v>2025-08-25</v>
      </c>
      <c r="H23" t="str">
        <v>0</v>
      </c>
      <c r="I23" t="str">
        <v>Pre-Finalizado</v>
      </c>
      <c r="J23" t="str">
        <v>3.76571</v>
      </c>
      <c r="K23" t="str">
        <v>3.99333</v>
      </c>
      <c r="L23" t="str">
        <v>null</v>
      </c>
      <c r="M23" t="str">
        <v>null</v>
      </c>
      <c r="N23" t="str">
        <v>2.90300</v>
      </c>
      <c r="O23" t="str">
        <v>null</v>
      </c>
      <c r="P23" t="str">
        <v>13100.000</v>
      </c>
      <c r="Q23" t="str">
        <v>133.000</v>
      </c>
      <c r="R23" t="str">
        <v>-12450.000</v>
      </c>
      <c r="S23" t="str">
        <v>469.000</v>
      </c>
      <c r="T23" t="str">
        <v>469.000</v>
      </c>
      <c r="U23" t="str">
        <v>951.000</v>
      </c>
      <c r="V23" t="str">
        <v>3803.097</v>
      </c>
      <c r="W23" t="str">
        <v>0.03302083333333333333</v>
      </c>
      <c r="X23" t="str">
        <v>2.3769356250000000</v>
      </c>
      <c r="Y23" t="str">
        <v>2.3769356250000000</v>
      </c>
      <c r="Z23" t="str">
        <v>0.03302</v>
      </c>
      <c r="AA23" t="str">
        <v>1600.00000</v>
      </c>
      <c r="AB23" t="str">
        <v>36057-CRAVICOL, SL</v>
      </c>
    </row>
    <row r="24" spans="1:28" x14ac:dyDescent="0.25">
      <c r="A24" t="str">
        <v>2025-10-16</v>
      </c>
      <c r="B24" t="str">
        <v>36047-XIFRE XIFRE JORDI-L:018-N:2-A:A14-POLLO AMARILLO HEMBRAS</v>
      </c>
      <c r="C24" t="str">
        <v>POLLO AMARILLO HEMBRAS</v>
      </c>
      <c r="D24" t="str">
        <v>3</v>
      </c>
      <c r="E24" t="str">
        <v>Broiler Amarillo</v>
      </c>
      <c r="F24" t="str">
        <v>57</v>
      </c>
      <c r="G24" t="str">
        <v>2025-08-20</v>
      </c>
      <c r="H24" t="str">
        <v>0</v>
      </c>
      <c r="I24" t="str">
        <v>Finalizado</v>
      </c>
      <c r="J24" t="str">
        <v>3.75300</v>
      </c>
      <c r="K24" t="str">
        <v>3.89152</v>
      </c>
      <c r="L24" t="str">
        <v>null</v>
      </c>
      <c r="M24" t="str">
        <v>null</v>
      </c>
      <c r="N24" t="str">
        <v>3.13600</v>
      </c>
      <c r="O24" t="str">
        <v>null</v>
      </c>
      <c r="P24" t="str">
        <v>15600.000</v>
      </c>
      <c r="Q24" t="str">
        <v>-272.000</v>
      </c>
      <c r="R24" t="str">
        <v>-15338.000</v>
      </c>
      <c r="S24" t="str">
        <v>534.000</v>
      </c>
      <c r="T24" t="str">
        <v>534.000</v>
      </c>
      <c r="U24" t="str">
        <v>234.000</v>
      </c>
      <c r="V24" t="str">
        <v>816.976</v>
      </c>
      <c r="W24" t="str">
        <v>0.00756351412502424203</v>
      </c>
      <c r="X24" t="str">
        <v>0.45387555555555555556</v>
      </c>
      <c r="Y24" t="str">
        <v>0.45387555555555555556</v>
      </c>
      <c r="Z24" t="str">
        <v>0.00756</v>
      </c>
      <c r="AA24" t="str">
        <v>1800.00000</v>
      </c>
      <c r="AB24" t="str">
        <v>36047-XIFRE XIFRE JORDI</v>
      </c>
    </row>
    <row r="25" spans="1:28" x14ac:dyDescent="0.25">
      <c r="A25" t="str">
        <v>2025-10-16</v>
      </c>
      <c r="B25" t="str">
        <v>36882-PONS TORRADES, JOSEP MA -villar--L:062-N:2-A:A15-POLLO AMARILLO MIXTO</v>
      </c>
      <c r="C25" t="str">
        <v>POLLO AMARILLO MIXTO</v>
      </c>
      <c r="D25" t="str">
        <v>3</v>
      </c>
      <c r="E25" t="str">
        <v>Broiler Amarillo</v>
      </c>
      <c r="F25" t="str">
        <v>50</v>
      </c>
      <c r="G25" t="str">
        <v>2025-08-27</v>
      </c>
      <c r="H25" t="str">
        <v>0</v>
      </c>
      <c r="I25" t="str">
        <v>Pre-Finalizado</v>
      </c>
      <c r="J25" t="str">
        <v>3.74753</v>
      </c>
      <c r="K25" t="str">
        <v>3.93367</v>
      </c>
      <c r="L25" t="str">
        <v>null</v>
      </c>
      <c r="M25" t="str">
        <v>null</v>
      </c>
      <c r="N25" t="str">
        <v>3.06000</v>
      </c>
      <c r="O25" t="str">
        <v>null</v>
      </c>
      <c r="P25" t="str">
        <v>24000.000</v>
      </c>
      <c r="Q25" t="str">
        <v>-516.000</v>
      </c>
      <c r="R25" t="str">
        <v>-23685.000</v>
      </c>
      <c r="S25" t="str">
        <v>831.000</v>
      </c>
      <c r="T25" t="str">
        <v>831.000</v>
      </c>
      <c r="U25" t="str">
        <v>-516.000</v>
      </c>
      <c r="V25" t="str">
        <v>-1933.725</v>
      </c>
      <c r="W25" t="str">
        <v>-0.02243478260869565217</v>
      </c>
      <c r="X25" t="str">
        <v>-1.2556655844155844</v>
      </c>
      <c r="Y25" t="str">
        <v>-1.2556655844155844</v>
      </c>
      <c r="Z25" t="str">
        <v>-0.02243</v>
      </c>
      <c r="AA25" t="str">
        <v>1540.00000</v>
      </c>
      <c r="AB25" t="str">
        <v>36882-PONS TORRADES, JOSEP MA -villar-</v>
      </c>
    </row>
    <row r="26" spans="1:28" x14ac:dyDescent="0.25">
      <c r="A26" t="str">
        <v>2025-10-16</v>
      </c>
      <c r="B26" t="str">
        <v>36046-(poble) AGROAVICOLA SANTIAGO SL-L:018-N:1-A:A13-POLLO AMARILLO MACHO</v>
      </c>
      <c r="C26" t="str">
        <v>POLLO AMARILLO MACHO</v>
      </c>
      <c r="D26" t="str">
        <v>3</v>
      </c>
      <c r="E26" t="str">
        <v>Broiler Amarillo</v>
      </c>
      <c r="F26" t="str">
        <v>55</v>
      </c>
      <c r="G26" t="str">
        <v>2025-08-22</v>
      </c>
      <c r="H26" t="str">
        <v>0</v>
      </c>
      <c r="I26" t="str">
        <v>Pre-Finalizado</v>
      </c>
      <c r="J26" t="str">
        <v>3.71800</v>
      </c>
      <c r="K26" t="str">
        <v>3.73546</v>
      </c>
      <c r="L26" t="str">
        <v>null</v>
      </c>
      <c r="M26" t="str">
        <v>null</v>
      </c>
      <c r="N26" t="str">
        <v>3.64600</v>
      </c>
      <c r="O26" t="str">
        <v>null</v>
      </c>
      <c r="P26" t="str">
        <v>8500.000</v>
      </c>
      <c r="Q26" t="str">
        <v>28.000</v>
      </c>
      <c r="R26" t="str">
        <v>-8064.000</v>
      </c>
      <c r="S26" t="str">
        <v>300.000</v>
      </c>
      <c r="T26" t="str">
        <v>300.000</v>
      </c>
      <c r="U26" t="str">
        <v>-73.000</v>
      </c>
      <c r="V26" t="str">
        <v>-221.924</v>
      </c>
      <c r="W26" t="str">
        <v>-0.00417142857142857143</v>
      </c>
      <c r="X26" t="str">
        <v>-0.22553252032520325203</v>
      </c>
      <c r="Y26" t="str">
        <v>-0.22553252032520325203</v>
      </c>
      <c r="Z26" t="str">
        <v>-0.00417</v>
      </c>
      <c r="AA26" t="str">
        <v>984.00000</v>
      </c>
      <c r="AB26" t="str">
        <v>36046-(poble) AGROAVICOLA SANTIAGO SL</v>
      </c>
    </row>
    <row r="27" spans="1:28" x14ac:dyDescent="0.25">
      <c r="A27" t="str">
        <v>2025-10-16</v>
      </c>
      <c r="B27" t="str">
        <v>36233-EXPLOTAC RAMADERES CURIA SCP-L:139-N:1-A:A13-POLLO AMARILLO MACHO</v>
      </c>
      <c r="C27" t="str">
        <v>POLLO AMARILLO MACHO</v>
      </c>
      <c r="D27" t="str">
        <v>3</v>
      </c>
      <c r="E27" t="str">
        <v>Broiler Amarillo</v>
      </c>
      <c r="F27" t="str">
        <v>49</v>
      </c>
      <c r="G27" t="str">
        <v>2025-08-28</v>
      </c>
      <c r="H27" t="str">
        <v>0</v>
      </c>
      <c r="I27" t="str">
        <v>Pre-Finalizado</v>
      </c>
      <c r="J27" t="str">
        <v>3.69156</v>
      </c>
      <c r="K27" t="str">
        <v>3.78633</v>
      </c>
      <c r="L27" t="str">
        <v>null</v>
      </c>
      <c r="M27" t="str">
        <v>null</v>
      </c>
      <c r="N27" t="str">
        <v>3.24900</v>
      </c>
      <c r="O27" t="str">
        <v>null</v>
      </c>
      <c r="P27" t="str">
        <v>10500.000</v>
      </c>
      <c r="Q27" t="str">
        <v>943.000</v>
      </c>
      <c r="R27" t="str">
        <v>-9000.000</v>
      </c>
      <c r="S27" t="str">
        <v>375.000</v>
      </c>
      <c r="T27" t="str">
        <v>375.000</v>
      </c>
      <c r="U27" t="str">
        <v>-549.000</v>
      </c>
      <c r="V27" t="str">
        <v>-1169.990</v>
      </c>
      <c r="W27" t="str">
        <v>-0.02859375000000000000</v>
      </c>
      <c r="X27" t="str">
        <v>-0.92856349206349206349</v>
      </c>
      <c r="Y27" t="str">
        <v>-0.92856349206349206349</v>
      </c>
      <c r="Z27" t="str">
        <v>-0.02859</v>
      </c>
      <c r="AA27" t="str">
        <v>1260.00000</v>
      </c>
      <c r="AB27" t="str">
        <v>36233-EXPLOTAC RAMADERES CURIA SCP</v>
      </c>
    </row>
    <row r="28" spans="1:28" x14ac:dyDescent="0.25">
      <c r="A28" t="str">
        <v>2025-10-16</v>
      </c>
      <c r="B28" t="str">
        <v>36233-EXPLOTAC RAMADERES CURIA SCP-L:139-N:2-A:A13-POLLO AMARILLO MACHO</v>
      </c>
      <c r="C28" t="str">
        <v>POLLO AMARILLO MACHO</v>
      </c>
      <c r="D28" t="str">
        <v>3</v>
      </c>
      <c r="E28" t="str">
        <v>Broiler Amarillo</v>
      </c>
      <c r="F28" t="str">
        <v>49</v>
      </c>
      <c r="G28" t="str">
        <v>2025-08-28</v>
      </c>
      <c r="H28" t="str">
        <v>0</v>
      </c>
      <c r="I28" t="str">
        <v>Pre-Finalizado</v>
      </c>
      <c r="J28" t="str">
        <v>3.67126</v>
      </c>
      <c r="K28" t="str">
        <v>3.74552</v>
      </c>
      <c r="L28" t="str">
        <v>null</v>
      </c>
      <c r="M28" t="str">
        <v>null</v>
      </c>
      <c r="N28" t="str">
        <v>3.24900</v>
      </c>
      <c r="O28" t="str">
        <v>null</v>
      </c>
      <c r="P28" t="str">
        <v>8000.000</v>
      </c>
      <c r="Q28" t="str">
        <v>-4178.000</v>
      </c>
      <c r="R28" t="str">
        <v>-11912.000</v>
      </c>
      <c r="S28" t="str">
        <v>266.000</v>
      </c>
      <c r="T28" t="str">
        <v>266.000</v>
      </c>
      <c r="U28" t="str">
        <v>-8547.000</v>
      </c>
      <c r="V28" t="str">
        <v>-30659.821</v>
      </c>
      <c r="W28" t="str">
        <v>-0.53418750000000000000</v>
      </c>
      <c r="X28" t="str">
        <v>-29.1998295238095238</v>
      </c>
      <c r="Y28" t="str">
        <v>-29.1998295238095238</v>
      </c>
      <c r="Z28" t="str">
        <v>-0.53419</v>
      </c>
      <c r="AA28" t="str">
        <v>1050.00000</v>
      </c>
      <c r="AB28" t="str">
        <v>36233-EXPLOTAC RAMADERES CURIA SCP</v>
      </c>
    </row>
    <row r="29" spans="1:28" x14ac:dyDescent="0.25">
      <c r="A29" t="str">
        <v>2025-10-16</v>
      </c>
      <c r="B29" t="str">
        <v>36840-AVICOLA NICOLAS SL-L:071-N:1-A:A13-POLLO AMARILLO MACHO</v>
      </c>
      <c r="C29" t="str">
        <v>POLLO AMARILLO MACHO</v>
      </c>
      <c r="D29" t="str">
        <v>3</v>
      </c>
      <c r="E29" t="str">
        <v>Broiler Amarillo</v>
      </c>
      <c r="F29" t="str">
        <v>49</v>
      </c>
      <c r="G29" t="str">
        <v>2025-08-28</v>
      </c>
      <c r="H29" t="str">
        <v>0</v>
      </c>
      <c r="I29" t="str">
        <v>Pre-Finalizado</v>
      </c>
      <c r="J29" t="str">
        <v>3.64486</v>
      </c>
      <c r="K29" t="str">
        <v>3.74599</v>
      </c>
      <c r="L29" t="str">
        <v>null</v>
      </c>
      <c r="M29" t="str">
        <v>null</v>
      </c>
      <c r="N29" t="str">
        <v>3.24900</v>
      </c>
      <c r="O29" t="str">
        <v>null</v>
      </c>
      <c r="P29" t="str">
        <v>16300.000</v>
      </c>
      <c r="Q29" t="str">
        <v>0.000</v>
      </c>
      <c r="R29" t="str">
        <v>-15652.000</v>
      </c>
      <c r="S29" t="str">
        <v>581.000</v>
      </c>
      <c r="T29" t="str">
        <v>581.000</v>
      </c>
      <c r="U29" t="str">
        <v>-1513.000</v>
      </c>
      <c r="V29" t="str">
        <v>-4752.863</v>
      </c>
      <c r="W29" t="str">
        <v>-0.04202777777777777778</v>
      </c>
      <c r="X29" t="str">
        <v>-2.6404794444444444</v>
      </c>
      <c r="Y29" t="str">
        <v>-2.6404794444444444</v>
      </c>
      <c r="Z29" t="str">
        <v>-0.04203</v>
      </c>
      <c r="AA29" t="str">
        <v>1800.00000</v>
      </c>
      <c r="AB29" t="str">
        <v>36840-AVICOLA NICOLAS SL</v>
      </c>
    </row>
    <row r="30" spans="1:28" x14ac:dyDescent="0.25">
      <c r="A30" t="str">
        <v>2025-10-16</v>
      </c>
      <c r="B30" t="str">
        <v>36021-IGNACIO ABAD MELE E HIJOS SCP-1-L:028-N:2-A:A14-POLLO AMARILLO HEMBRAS</v>
      </c>
      <c r="C30" t="str">
        <v>POLLO AMARILLO HEMBRAS</v>
      </c>
      <c r="D30" t="str">
        <v>3</v>
      </c>
      <c r="E30" t="str">
        <v>Broiler Amarillo</v>
      </c>
      <c r="F30" t="str">
        <v>58</v>
      </c>
      <c r="G30" t="str">
        <v>2025-08-19</v>
      </c>
      <c r="H30" t="str">
        <v>0</v>
      </c>
      <c r="I30" t="str">
        <v>Pre-Finalizado</v>
      </c>
      <c r="J30" t="str">
        <v>3.63500</v>
      </c>
      <c r="K30" t="str">
        <v>3.77462</v>
      </c>
      <c r="L30" t="str">
        <v>null</v>
      </c>
      <c r="M30" t="str">
        <v>null</v>
      </c>
      <c r="N30" t="str">
        <v>3.18300</v>
      </c>
      <c r="O30" t="str">
        <v>null</v>
      </c>
      <c r="P30" t="str">
        <v>7500.000</v>
      </c>
      <c r="Q30" t="str">
        <v>40.000</v>
      </c>
      <c r="R30" t="str">
        <v>-7096.000</v>
      </c>
      <c r="S30" t="str">
        <v>274.000</v>
      </c>
      <c r="T30" t="str">
        <v>274.000</v>
      </c>
      <c r="U30" t="str">
        <v>-855.000</v>
      </c>
      <c r="V30" t="str">
        <v>-3425.650</v>
      </c>
      <c r="W30" t="str">
        <v>-0.05951138024639799541</v>
      </c>
      <c r="X30" t="str">
        <v>-4.3253156565656566</v>
      </c>
      <c r="Y30" t="str">
        <v>-4.3253156565656566</v>
      </c>
      <c r="Z30" t="str">
        <v>-0.05951</v>
      </c>
      <c r="AA30" t="str">
        <v>792.00000</v>
      </c>
      <c r="AB30" t="str">
        <v>36021-IGNACIO ABAD MELE E HIJOS SCP-1</v>
      </c>
    </row>
    <row r="31" spans="1:28" x14ac:dyDescent="0.25">
      <c r="A31" t="str">
        <v>2025-10-16</v>
      </c>
      <c r="B31" t="str">
        <v>36047-XIFRE XIFRE JORDI-L:018-N:2-A:A13-POLLO AMARILLO MACHO</v>
      </c>
      <c r="C31" t="str">
        <v>POLLO AMARILLO MACHO</v>
      </c>
      <c r="D31" t="str">
        <v>3</v>
      </c>
      <c r="E31" t="str">
        <v>Broiler Amarillo</v>
      </c>
      <c r="F31" t="str">
        <v>57</v>
      </c>
      <c r="G31" t="str">
        <v>2025-08-20</v>
      </c>
      <c r="H31" t="str">
        <v>0</v>
      </c>
      <c r="I31" t="str">
        <v>Finalizado</v>
      </c>
      <c r="J31" t="str">
        <v>3.63200</v>
      </c>
      <c r="K31" t="str">
        <v>3.60098</v>
      </c>
      <c r="L31" t="str">
        <v>null</v>
      </c>
      <c r="M31" t="str">
        <v>null</v>
      </c>
      <c r="N31" t="str">
        <v>3.75800</v>
      </c>
      <c r="O31" t="str">
        <v>null</v>
      </c>
      <c r="P31" t="str">
        <v>15500.000</v>
      </c>
      <c r="Q31" t="str">
        <v>506.000</v>
      </c>
      <c r="R31" t="str">
        <v>-14409.000</v>
      </c>
      <c r="S31" t="str">
        <v>531.000</v>
      </c>
      <c r="T31" t="str">
        <v>531.000</v>
      </c>
      <c r="U31" t="str">
        <v>234.000</v>
      </c>
      <c r="V31" t="str">
        <v>816.976</v>
      </c>
      <c r="W31" t="str">
        <v>0.00756351412502424203</v>
      </c>
      <c r="X31" t="str">
        <v>0.45387555555555555556</v>
      </c>
      <c r="Y31" t="str">
        <v>0.45387555555555555556</v>
      </c>
      <c r="Z31" t="str">
        <v>0.00756</v>
      </c>
      <c r="AA31" t="str">
        <v>1800.00000</v>
      </c>
      <c r="AB31" t="str">
        <v>36047-XIFRE XIFRE JORDI</v>
      </c>
    </row>
    <row r="32" spans="1:28" x14ac:dyDescent="0.25">
      <c r="A32" t="str">
        <v>2025-10-16</v>
      </c>
      <c r="B32" t="str">
        <v>36840-AVICOLA NICOLAS SL-L:071-N:2-A:A13-POLLO AMARILLO MACHO</v>
      </c>
      <c r="C32" t="str">
        <v>POLLO AMARILLO MACHO</v>
      </c>
      <c r="D32" t="str">
        <v>3</v>
      </c>
      <c r="E32" t="str">
        <v>Broiler Amarillo</v>
      </c>
      <c r="F32" t="str">
        <v>49</v>
      </c>
      <c r="G32" t="str">
        <v>2025-08-28</v>
      </c>
      <c r="H32" t="str">
        <v>0</v>
      </c>
      <c r="I32" t="str">
        <v>Pre-Finalizado</v>
      </c>
      <c r="J32" t="str">
        <v>3.62706</v>
      </c>
      <c r="K32" t="str">
        <v>3.70802</v>
      </c>
      <c r="L32" t="str">
        <v>null</v>
      </c>
      <c r="M32" t="str">
        <v>null</v>
      </c>
      <c r="N32" t="str">
        <v>3.24900</v>
      </c>
      <c r="O32" t="str">
        <v>null</v>
      </c>
      <c r="P32" t="str">
        <v>16300.000</v>
      </c>
      <c r="Q32" t="str">
        <v>-11301.000</v>
      </c>
      <c r="R32" t="str">
        <v>-27020.000</v>
      </c>
      <c r="S32" t="str">
        <v>581.000</v>
      </c>
      <c r="T32" t="str">
        <v>581.000</v>
      </c>
      <c r="U32" t="str">
        <v>-17043.000</v>
      </c>
      <c r="V32" t="str">
        <v>-58812.401</v>
      </c>
      <c r="W32" t="str">
        <v>-0.47341666666666666667</v>
      </c>
      <c r="X32" t="str">
        <v>-32.6735561111111111</v>
      </c>
      <c r="Y32" t="str">
        <v>-32.6735561111111111</v>
      </c>
      <c r="Z32" t="str">
        <v>-0.47342</v>
      </c>
      <c r="AA32" t="str">
        <v>1800.00000</v>
      </c>
      <c r="AB32" t="str">
        <v>36840-AVICOLA NICOLAS SL</v>
      </c>
    </row>
    <row r="33" spans="1:28" x14ac:dyDescent="0.25">
      <c r="A33" t="str">
        <v>2025-10-16</v>
      </c>
      <c r="B33" t="str">
        <v>36233-EXPLOTAC RAMADERES CURIA SCP-L:139-N:3-A:A14-POLLO AMARILLO HEMBRAS</v>
      </c>
      <c r="C33" t="str">
        <v>POLLO AMARILLO HEMBRAS</v>
      </c>
      <c r="D33" t="str">
        <v>3</v>
      </c>
      <c r="E33" t="str">
        <v>Broiler Amarillo</v>
      </c>
      <c r="F33" t="str">
        <v>49</v>
      </c>
      <c r="G33" t="str">
        <v>2025-08-28</v>
      </c>
      <c r="H33" t="str">
        <v>0</v>
      </c>
      <c r="I33" t="str">
        <v>Pre-Finalizado</v>
      </c>
      <c r="J33" t="str">
        <v>3.61371</v>
      </c>
      <c r="K33" t="str">
        <v>3.75245</v>
      </c>
      <c r="L33" t="str">
        <v>null</v>
      </c>
      <c r="M33" t="str">
        <v>null</v>
      </c>
      <c r="N33" t="str">
        <v>2.74100</v>
      </c>
      <c r="O33" t="str">
        <v>null</v>
      </c>
      <c r="P33" t="str">
        <v>9500.000</v>
      </c>
      <c r="Q33" t="str">
        <v>-125.000</v>
      </c>
      <c r="R33" t="str">
        <v>-9300.000</v>
      </c>
      <c r="S33" t="str">
        <v>325.000</v>
      </c>
      <c r="T33" t="str">
        <v>325.000</v>
      </c>
      <c r="U33" t="str">
        <v>-4985.000</v>
      </c>
      <c r="V33" t="str">
        <v>-16677.796</v>
      </c>
      <c r="W33" t="str">
        <v>-0.29619726678550207962</v>
      </c>
      <c r="X33" t="str">
        <v>-15.0930280542986425</v>
      </c>
      <c r="Y33" t="str">
        <v>-15.0930280542986425</v>
      </c>
      <c r="Z33" t="str">
        <v>-0.29620</v>
      </c>
      <c r="AA33" t="str">
        <v>1105.00000</v>
      </c>
      <c r="AB33" t="str">
        <v>36233-EXPLOTAC RAMADERES CURIA SCP</v>
      </c>
    </row>
    <row r="34" spans="1:28" x14ac:dyDescent="0.25">
      <c r="A34" t="str">
        <v>2025-10-16</v>
      </c>
      <c r="B34" t="str">
        <v>36882-PONS TORRADES, JOSEP MA -villar--L:062-N:1-A:A15-POLLO AMARILLO MIXTO</v>
      </c>
      <c r="C34" t="str">
        <v>POLLO AMARILLO MIXTO</v>
      </c>
      <c r="D34" t="str">
        <v>3</v>
      </c>
      <c r="E34" t="str">
        <v>Broiler Amarillo</v>
      </c>
      <c r="F34" t="str">
        <v>50</v>
      </c>
      <c r="G34" t="str">
        <v>2025-08-27</v>
      </c>
      <c r="H34" t="str">
        <v>0</v>
      </c>
      <c r="I34" t="str">
        <v>Pre-Finalizado</v>
      </c>
      <c r="J34" t="str">
        <v>3.60448</v>
      </c>
      <c r="K34" t="str">
        <v>3.75190</v>
      </c>
      <c r="L34" t="str">
        <v>null</v>
      </c>
      <c r="M34" t="str">
        <v>null</v>
      </c>
      <c r="N34" t="str">
        <v>3.06000</v>
      </c>
      <c r="O34" t="str">
        <v>null</v>
      </c>
      <c r="P34" t="str">
        <v>16000.000</v>
      </c>
      <c r="Q34" t="str">
        <v>-134.000</v>
      </c>
      <c r="R34" t="str">
        <v>-15565.000</v>
      </c>
      <c r="S34" t="str">
        <v>569.000</v>
      </c>
      <c r="T34" t="str">
        <v>569.000</v>
      </c>
      <c r="U34" t="str">
        <v>-134.000</v>
      </c>
      <c r="V34" t="str">
        <v>-483.000</v>
      </c>
      <c r="W34" t="str">
        <v>-0.00788235294117647059</v>
      </c>
      <c r="X34" t="str">
        <v>-0.46000000000000000000</v>
      </c>
      <c r="Y34" t="str">
        <v>-0.46000000000000000000</v>
      </c>
      <c r="Z34" t="str">
        <v>-0.00788</v>
      </c>
      <c r="AA34" t="str">
        <v>1050.00000</v>
      </c>
      <c r="AB34" t="str">
        <v>36882-PONS TORRADES, JOSEP MA -villar-</v>
      </c>
    </row>
    <row r="35" spans="1:28" x14ac:dyDescent="0.25">
      <c r="A35" t="str">
        <v>2025-10-16</v>
      </c>
      <c r="B35" t="str">
        <v>36022-IGNACI ABAD MELE E HIJOS SCP-2-L:028-N:1-A:A14-POLLO AMARILLO HEMBRAS</v>
      </c>
      <c r="C35" t="str">
        <v>POLLO AMARILLO HEMBRAS</v>
      </c>
      <c r="D35" t="str">
        <v>3</v>
      </c>
      <c r="E35" t="str">
        <v>Broiler Amarillo</v>
      </c>
      <c r="F35" t="str">
        <v>58</v>
      </c>
      <c r="G35" t="str">
        <v>2025-08-19</v>
      </c>
      <c r="H35" t="str">
        <v>0</v>
      </c>
      <c r="I35" t="str">
        <v>Finalizado</v>
      </c>
      <c r="J35" t="str">
        <v>3.59100</v>
      </c>
      <c r="K35" t="str">
        <v>3.70288</v>
      </c>
      <c r="L35" t="str">
        <v>null</v>
      </c>
      <c r="M35" t="str">
        <v>null</v>
      </c>
      <c r="N35" t="str">
        <v>3.18300</v>
      </c>
      <c r="O35" t="str">
        <v>null</v>
      </c>
      <c r="P35" t="str">
        <v>11000.000</v>
      </c>
      <c r="Q35" t="str">
        <v>0.000</v>
      </c>
      <c r="R35" t="str">
        <v>-10494.000</v>
      </c>
      <c r="S35" t="str">
        <v>388.000</v>
      </c>
      <c r="T35" t="str">
        <v>388.000</v>
      </c>
      <c r="U35" t="str">
        <v>0.000</v>
      </c>
      <c r="V35" t="str">
        <v>0.000</v>
      </c>
      <c r="W35" t="str">
        <v>0.000000000000000000000000</v>
      </c>
      <c r="X35" t="str">
        <v>0.00000000000000000000</v>
      </c>
      <c r="Y35" t="str">
        <v>0.00000000000000000000</v>
      </c>
      <c r="Z35" t="str">
        <v>0.00000</v>
      </c>
      <c r="AA35" t="str">
        <v>1190.00000</v>
      </c>
      <c r="AB35" t="str">
        <v>36022-IGNACI ABAD MELE E HIJOS SCP-2</v>
      </c>
    </row>
    <row r="36" spans="1:28" x14ac:dyDescent="0.25">
      <c r="A36" t="str">
        <v>2025-10-16</v>
      </c>
      <c r="B36" t="str">
        <v>36047-XIFRE XIFRE JORDI-L:018-N:1-A:A14-POLLO AMARILLO HEMBRAS</v>
      </c>
      <c r="C36" t="str">
        <v>POLLO AMARILLO HEMBRAS</v>
      </c>
      <c r="D36" t="str">
        <v>3</v>
      </c>
      <c r="E36" t="str">
        <v>Broiler Amarillo</v>
      </c>
      <c r="F36" t="str">
        <v>57</v>
      </c>
      <c r="G36" t="str">
        <v>2025-08-20</v>
      </c>
      <c r="H36" t="str">
        <v>0</v>
      </c>
      <c r="I36" t="str">
        <v>Finalizado</v>
      </c>
      <c r="J36" t="str">
        <v>3.52600</v>
      </c>
      <c r="K36" t="str">
        <v>3.65314</v>
      </c>
      <c r="L36" t="str">
        <v>null</v>
      </c>
      <c r="M36" t="str">
        <v>null</v>
      </c>
      <c r="N36" t="str">
        <v>3.13600</v>
      </c>
      <c r="O36" t="str">
        <v>null</v>
      </c>
      <c r="P36" t="str">
        <v>12300.000</v>
      </c>
      <c r="Q36" t="str">
        <v>-76.000</v>
      </c>
      <c r="R36" t="str">
        <v>-11954.000</v>
      </c>
      <c r="S36" t="str">
        <v>422.000</v>
      </c>
      <c r="T36" t="str">
        <v>422.000</v>
      </c>
      <c r="U36" t="str">
        <v>-6.000</v>
      </c>
      <c r="V36" t="str">
        <v>6.214</v>
      </c>
      <c r="W36" t="str">
        <v>-0.00024935583077050952</v>
      </c>
      <c r="X36" t="str">
        <v>0.00443857142857142857</v>
      </c>
      <c r="Y36" t="str">
        <v>0.00443857142857142857</v>
      </c>
      <c r="Z36" t="str">
        <v>-0.00025</v>
      </c>
      <c r="AA36" t="str">
        <v>1400.00000</v>
      </c>
      <c r="AB36" t="str">
        <v>36047-XIFRE XIFRE JORDI</v>
      </c>
    </row>
    <row r="37" spans="1:28" x14ac:dyDescent="0.25">
      <c r="A37" t="str">
        <v>2025-10-16</v>
      </c>
      <c r="B37" t="str">
        <v>36642-GRANJA LA SAIRA (Vallpons 2011 SL)-L:131-N:1-A:A14-POLLO AMARILLO HEMBRAS</v>
      </c>
      <c r="C37" t="str">
        <v>POLLO AMARILLO HEMBRAS</v>
      </c>
      <c r="D37" t="str">
        <v>3</v>
      </c>
      <c r="E37" t="str">
        <v>Broiler Amarillo</v>
      </c>
      <c r="F37" t="str">
        <v>52</v>
      </c>
      <c r="G37" t="str">
        <v>2025-08-25</v>
      </c>
      <c r="H37" t="str">
        <v>0</v>
      </c>
      <c r="I37" t="str">
        <v>Pre-Finalizado</v>
      </c>
      <c r="J37" t="str">
        <v>3.51800</v>
      </c>
      <c r="K37" t="str">
        <v>3.65788</v>
      </c>
      <c r="L37" t="str">
        <v>null</v>
      </c>
      <c r="M37" t="str">
        <v>null</v>
      </c>
      <c r="N37" t="str">
        <v>2.90300</v>
      </c>
      <c r="O37" t="str">
        <v>null</v>
      </c>
      <c r="P37" t="str">
        <v>13600.000</v>
      </c>
      <c r="Q37" t="str">
        <v>0.000</v>
      </c>
      <c r="R37" t="str">
        <v>-13292.000</v>
      </c>
      <c r="S37" t="str">
        <v>234.000</v>
      </c>
      <c r="T37" t="str">
        <v>234.000</v>
      </c>
      <c r="U37" t="str">
        <v>815.000</v>
      </c>
      <c r="V37" t="str">
        <v>3075.574</v>
      </c>
      <c r="W37" t="str">
        <v>0.02716666666666666667</v>
      </c>
      <c r="X37" t="str">
        <v>2.0503826666666667</v>
      </c>
      <c r="Y37" t="str">
        <v>2.0503826666666667</v>
      </c>
      <c r="Z37" t="str">
        <v>0.02717</v>
      </c>
      <c r="AA37" t="str">
        <v>1500.00000</v>
      </c>
      <c r="AB37" t="str">
        <v>36642-GRANJA LA SAIRA (Vallpons 2011 SL)</v>
      </c>
    </row>
    <row r="38" spans="1:28" x14ac:dyDescent="0.25">
      <c r="A38" t="str">
        <v>2025-10-16</v>
      </c>
      <c r="B38" t="str">
        <v>36057-CRAVICOL, SL-L:007-N:1-A:A14-POLLO AMARILLO HEMBRAS</v>
      </c>
      <c r="C38" t="str">
        <v>POLLO AMARILLO HEMBRAS</v>
      </c>
      <c r="D38" t="str">
        <v>3</v>
      </c>
      <c r="E38" t="str">
        <v>Broiler Amarillo</v>
      </c>
      <c r="F38" t="str">
        <v>52</v>
      </c>
      <c r="G38" t="str">
        <v>2025-08-25</v>
      </c>
      <c r="H38" t="str">
        <v>0</v>
      </c>
      <c r="I38" t="str">
        <v>Pre-Finalizado</v>
      </c>
      <c r="J38" t="str">
        <v>3.50752</v>
      </c>
      <c r="K38" t="str">
        <v>3.66701</v>
      </c>
      <c r="L38" t="str">
        <v>null</v>
      </c>
      <c r="M38" t="str">
        <v>null</v>
      </c>
      <c r="N38" t="str">
        <v>2.90300</v>
      </c>
      <c r="O38" t="str">
        <v>null</v>
      </c>
      <c r="P38" t="str">
        <v>12600.000</v>
      </c>
      <c r="Q38" t="str">
        <v>147.000</v>
      </c>
      <c r="R38" t="str">
        <v>-12039.000</v>
      </c>
      <c r="S38" t="str">
        <v>366.000</v>
      </c>
      <c r="T38" t="str">
        <v>366.000</v>
      </c>
      <c r="U38" t="str">
        <v>974.000</v>
      </c>
      <c r="V38" t="str">
        <v>3719.527</v>
      </c>
      <c r="W38" t="str">
        <v>0.03445348425893172975</v>
      </c>
      <c r="X38" t="str">
        <v>2.4043484162895928</v>
      </c>
      <c r="Y38" t="str">
        <v>2.4043484162895928</v>
      </c>
      <c r="Z38" t="str">
        <v>0.03445</v>
      </c>
      <c r="AA38" t="str">
        <v>1547.00000</v>
      </c>
      <c r="AB38" t="str">
        <v>36057-CRAVICOL, SL</v>
      </c>
    </row>
    <row r="39" spans="1:28" x14ac:dyDescent="0.25">
      <c r="A39" t="str">
        <v>2025-10-16</v>
      </c>
      <c r="B39" t="str">
        <v>36233-EXPLOTAC RAMADERES CURIA SCP-L:139-N:2-A:A14-POLLO AMARILLO HEMBRAS</v>
      </c>
      <c r="C39" t="str">
        <v>POLLO AMARILLO HEMBRAS</v>
      </c>
      <c r="D39" t="str">
        <v>3</v>
      </c>
      <c r="E39" t="str">
        <v>Broiler Amarillo</v>
      </c>
      <c r="F39" t="str">
        <v>49</v>
      </c>
      <c r="G39" t="str">
        <v>2025-08-28</v>
      </c>
      <c r="H39" t="str">
        <v>0</v>
      </c>
      <c r="I39" t="str">
        <v>Pre-Finalizado</v>
      </c>
      <c r="J39" t="str">
        <v>3.50682</v>
      </c>
      <c r="K39" t="str">
        <v>3.65484</v>
      </c>
      <c r="L39" t="str">
        <v>null</v>
      </c>
      <c r="M39" t="str">
        <v>null</v>
      </c>
      <c r="N39" t="str">
        <v>2.74100</v>
      </c>
      <c r="O39" t="str">
        <v>null</v>
      </c>
      <c r="P39" t="str">
        <v>8000.000</v>
      </c>
      <c r="Q39" t="str">
        <v>-4369.000</v>
      </c>
      <c r="R39" t="str">
        <v>-12303.000</v>
      </c>
      <c r="S39" t="str">
        <v>66.000</v>
      </c>
      <c r="T39" t="str">
        <v>66.000</v>
      </c>
      <c r="U39" t="str">
        <v>-8547.000</v>
      </c>
      <c r="V39" t="str">
        <v>-30659.821</v>
      </c>
      <c r="W39" t="str">
        <v>-0.53418750000000000000</v>
      </c>
      <c r="X39" t="str">
        <v>-29.1998295238095238</v>
      </c>
      <c r="Y39" t="str">
        <v>-29.1998295238095238</v>
      </c>
      <c r="Z39" t="str">
        <v>-0.53419</v>
      </c>
      <c r="AA39" t="str">
        <v>1050.00000</v>
      </c>
      <c r="AB39" t="str">
        <v>36233-EXPLOTAC RAMADERES CURIA SCP</v>
      </c>
    </row>
    <row r="40" spans="1:28" x14ac:dyDescent="0.25">
      <c r="A40" t="str">
        <v>2025-10-16</v>
      </c>
      <c r="B40" t="str">
        <v>36046-(poble) AGROAVICOLA SANTIAGO SL-L:018-N:2-A:A14-POLLO AMARILLO HEMBRAS</v>
      </c>
      <c r="C40" t="str">
        <v>POLLO AMARILLO HEMBRAS</v>
      </c>
      <c r="D40" t="str">
        <v>3</v>
      </c>
      <c r="E40" t="str">
        <v>Broiler Amarillo</v>
      </c>
      <c r="F40" t="str">
        <v>55</v>
      </c>
      <c r="G40" t="str">
        <v>2025-08-22</v>
      </c>
      <c r="H40" t="str">
        <v>0</v>
      </c>
      <c r="I40" t="str">
        <v>Pre-Finalizado</v>
      </c>
      <c r="J40" t="str">
        <v>3.50300</v>
      </c>
      <c r="K40" t="str">
        <v>3.60334</v>
      </c>
      <c r="L40" t="str">
        <v>null</v>
      </c>
      <c r="M40" t="str">
        <v>null</v>
      </c>
      <c r="N40" t="str">
        <v>3.04300</v>
      </c>
      <c r="O40" t="str">
        <v>null</v>
      </c>
      <c r="P40" t="str">
        <v>8500.000</v>
      </c>
      <c r="Q40" t="str">
        <v>16.000</v>
      </c>
      <c r="R40" t="str">
        <v>-8112.000</v>
      </c>
      <c r="S40" t="str">
        <v>300.000</v>
      </c>
      <c r="T40" t="str">
        <v>300.000</v>
      </c>
      <c r="U40" t="str">
        <v>423.000</v>
      </c>
      <c r="V40" t="str">
        <v>1630.324</v>
      </c>
      <c r="W40" t="str">
        <v>0.02417142857142857143</v>
      </c>
      <c r="X40" t="str">
        <v>1.6568333333333333</v>
      </c>
      <c r="Y40" t="str">
        <v>1.6568333333333333</v>
      </c>
      <c r="Z40" t="str">
        <v>0.02417</v>
      </c>
      <c r="AA40" t="str">
        <v>984.00000</v>
      </c>
      <c r="AB40" t="str">
        <v>36046-(poble) AGROAVICOLA SANTIAGO SL</v>
      </c>
    </row>
    <row r="41" spans="1:28" x14ac:dyDescent="0.25">
      <c r="A41" t="str">
        <v>2025-10-16</v>
      </c>
      <c r="B41" t="str">
        <v>36021-IGNACIO ABAD MELE E HIJOS SCP-1-L:028-N:1-A:A14-POLLO AMARILLO HEMBRAS</v>
      </c>
      <c r="C41" t="str">
        <v>POLLO AMARILLO HEMBRAS</v>
      </c>
      <c r="D41" t="str">
        <v>3</v>
      </c>
      <c r="E41" t="str">
        <v>Broiler Amarillo</v>
      </c>
      <c r="F41" t="str">
        <v>58</v>
      </c>
      <c r="G41" t="str">
        <v>2025-08-19</v>
      </c>
      <c r="H41" t="str">
        <v>0</v>
      </c>
      <c r="I41" t="str">
        <v>Pre-Finalizado</v>
      </c>
      <c r="J41" t="str">
        <v>3.48800</v>
      </c>
      <c r="K41" t="str">
        <v>3.59351</v>
      </c>
      <c r="L41" t="str">
        <v>null</v>
      </c>
      <c r="M41" t="str">
        <v>null</v>
      </c>
      <c r="N41" t="str">
        <v>3.18300</v>
      </c>
      <c r="O41" t="str">
        <v>null</v>
      </c>
      <c r="P41" t="str">
        <v>7500.000</v>
      </c>
      <c r="Q41" t="str">
        <v>142.000</v>
      </c>
      <c r="R41" t="str">
        <v>-6994.000</v>
      </c>
      <c r="S41" t="str">
        <v>274.000</v>
      </c>
      <c r="T41" t="str">
        <v>274.000</v>
      </c>
      <c r="U41" t="str">
        <v>142.000</v>
      </c>
      <c r="V41" t="str">
        <v>495.296</v>
      </c>
      <c r="W41" t="str">
        <v>0.00959329820294554790</v>
      </c>
      <c r="X41" t="str">
        <v>0.60698039215686274510</v>
      </c>
      <c r="Y41" t="str">
        <v>0.60698039215686274510</v>
      </c>
      <c r="Z41" t="str">
        <v>0.00959</v>
      </c>
      <c r="AA41" t="str">
        <v>816.00000</v>
      </c>
      <c r="AB41" t="str">
        <v>36021-IGNACIO ABAD MELE E HIJOS SCP-1</v>
      </c>
    </row>
    <row r="42" spans="1:28" x14ac:dyDescent="0.25">
      <c r="A42" t="str">
        <v>2025-10-16</v>
      </c>
      <c r="B42" t="str">
        <v>36022-IGNACI ABAD MELE E HIJOS SCP-2-L:028-N:2-A:A14-POLLO AMARILLO HEMBRAS</v>
      </c>
      <c r="C42" t="str">
        <v>POLLO AMARILLO HEMBRAS</v>
      </c>
      <c r="D42" t="str">
        <v>3</v>
      </c>
      <c r="E42" t="str">
        <v>Broiler Amarillo</v>
      </c>
      <c r="F42" t="str">
        <v>58</v>
      </c>
      <c r="G42" t="str">
        <v>2025-08-19</v>
      </c>
      <c r="H42" t="str">
        <v>0</v>
      </c>
      <c r="I42" t="str">
        <v>Finalizado</v>
      </c>
      <c r="J42" t="str">
        <v>3.41200</v>
      </c>
      <c r="K42" t="str">
        <v>3.47483</v>
      </c>
      <c r="L42" t="str">
        <v>null</v>
      </c>
      <c r="M42" t="str">
        <v>null</v>
      </c>
      <c r="N42" t="str">
        <v>3.18300</v>
      </c>
      <c r="O42" t="str">
        <v>null</v>
      </c>
      <c r="P42" t="str">
        <v>11000.000</v>
      </c>
      <c r="Q42" t="str">
        <v>0.000</v>
      </c>
      <c r="R42" t="str">
        <v>-10492.000</v>
      </c>
      <c r="S42" t="str">
        <v>388.000</v>
      </c>
      <c r="T42" t="str">
        <v>388.000</v>
      </c>
      <c r="U42" t="str">
        <v>0.000</v>
      </c>
      <c r="V42" t="str">
        <v>0.000</v>
      </c>
      <c r="W42" t="str">
        <v>0.000000000000000000000000</v>
      </c>
      <c r="X42" t="str">
        <v>0.00000000000000000000</v>
      </c>
      <c r="Y42" t="str">
        <v>0.00000000000000000000</v>
      </c>
      <c r="Z42" t="str">
        <v>0.00000</v>
      </c>
      <c r="AA42" t="str">
        <v>1190.00000</v>
      </c>
      <c r="AB42" t="str">
        <v>36022-IGNACI ABAD MELE E HIJOS SCP-2</v>
      </c>
    </row>
    <row r="43" spans="1:28" x14ac:dyDescent="0.25">
      <c r="A43" t="str">
        <v>2025-10-16</v>
      </c>
      <c r="B43" t="str">
        <v>36233-EXPLOTAC RAMADERES CURIA SCP-L:139-N:3-A:A13-POLLO AMARILLO MACHO</v>
      </c>
      <c r="C43" t="str">
        <v>POLLO AMARILLO MACHO</v>
      </c>
      <c r="D43" t="str">
        <v>3</v>
      </c>
      <c r="E43" t="str">
        <v>Broiler Amarillo</v>
      </c>
      <c r="F43" t="str">
        <v>49</v>
      </c>
      <c r="G43" t="str">
        <v>2025-08-28</v>
      </c>
      <c r="H43" t="str">
        <v>0</v>
      </c>
      <c r="I43" t="str">
        <v>Pre-Finalizado</v>
      </c>
      <c r="J43" t="str">
        <v>3.33870</v>
      </c>
      <c r="K43" t="str">
        <v>3.34838</v>
      </c>
      <c r="L43" t="str">
        <v>null</v>
      </c>
      <c r="M43" t="str">
        <v>null</v>
      </c>
      <c r="N43" t="str">
        <v>3.24900</v>
      </c>
      <c r="O43" t="str">
        <v>null</v>
      </c>
      <c r="P43" t="str">
        <v>9500.000</v>
      </c>
      <c r="Q43" t="str">
        <v>-4860.000</v>
      </c>
      <c r="R43" t="str">
        <v>-14035.000</v>
      </c>
      <c r="S43" t="str">
        <v>325.000</v>
      </c>
      <c r="T43" t="str">
        <v>325.000</v>
      </c>
      <c r="U43" t="str">
        <v>-4985.000</v>
      </c>
      <c r="V43" t="str">
        <v>-16677.796</v>
      </c>
      <c r="W43" t="str">
        <v>-0.29619726678550207962</v>
      </c>
      <c r="X43" t="str">
        <v>-15.0930280542986425</v>
      </c>
      <c r="Y43" t="str">
        <v>-15.0930280542986425</v>
      </c>
      <c r="Z43" t="str">
        <v>-0.29620</v>
      </c>
      <c r="AA43" t="str">
        <v>1105.00000</v>
      </c>
      <c r="AB43" t="str">
        <v>36233-EXPLOTAC RAMADERES CURIA SCP</v>
      </c>
    </row>
    <row r="44" spans="1:28" x14ac:dyDescent="0.25">
      <c r="A44" t="str">
        <v>2025-10-16</v>
      </c>
      <c r="B44" t="str">
        <v>36233-EXPLOTAC RAMADERES CURIA SCP-L:139-N:4-A:A13-POLLO AMARILLO MACHO</v>
      </c>
      <c r="C44" t="str">
        <v>POLLO AMARILLO MACHO</v>
      </c>
      <c r="D44" t="str">
        <v>3</v>
      </c>
      <c r="E44" t="str">
        <v>Broiler Amarillo</v>
      </c>
      <c r="F44" t="str">
        <v>49</v>
      </c>
      <c r="G44" t="str">
        <v>2025-08-28</v>
      </c>
      <c r="H44" t="str">
        <v>0</v>
      </c>
      <c r="I44" t="str">
        <v>Pre-Finalizado</v>
      </c>
      <c r="J44" t="str">
        <v>3.24900</v>
      </c>
      <c r="K44" t="str">
        <v>3.24900</v>
      </c>
      <c r="L44" t="str">
        <v>null</v>
      </c>
      <c r="M44" t="str">
        <v>null</v>
      </c>
      <c r="N44" t="str">
        <v>3.24900</v>
      </c>
      <c r="O44" t="str">
        <v>null</v>
      </c>
      <c r="P44" t="str">
        <v>14000.000</v>
      </c>
      <c r="Q44" t="str">
        <v>130.000</v>
      </c>
      <c r="R44" t="str">
        <v>-13485.000</v>
      </c>
      <c r="S44" t="str">
        <v>175.000</v>
      </c>
      <c r="T44" t="str">
        <v>175.000</v>
      </c>
      <c r="U44" t="str">
        <v>348.000</v>
      </c>
      <c r="V44" t="str">
        <v>1019.908</v>
      </c>
      <c r="W44" t="str">
        <v>0.01384633748458202363</v>
      </c>
      <c r="X44" t="str">
        <v>0.61812606060606060606</v>
      </c>
      <c r="Y44" t="str">
        <v>0.61812606060606060606</v>
      </c>
      <c r="Z44" t="str">
        <v>0.01385</v>
      </c>
      <c r="AA44" t="str">
        <v>1650.00000</v>
      </c>
      <c r="AB44" t="str">
        <v>36233-EXPLOTAC RAMADERES CURIA SCP</v>
      </c>
    </row>
    <row r="45" spans="1:28" x14ac:dyDescent="0.25">
      <c r="A45" t="str">
        <v>2025-10-16</v>
      </c>
      <c r="B45" t="str">
        <v>36046-(poble) AGROAVICOLA SANTIAGO SL-L:018-N:1-A:A14-POLLO AMARILLO HEMBRAS</v>
      </c>
      <c r="C45" t="str">
        <v>POLLO AMARILLO HEMBRAS</v>
      </c>
      <c r="D45" t="str">
        <v>3</v>
      </c>
      <c r="E45" t="str">
        <v>Broiler Amarillo</v>
      </c>
      <c r="F45" t="str">
        <v>55</v>
      </c>
      <c r="G45" t="str">
        <v>2025-08-22</v>
      </c>
      <c r="H45" t="str">
        <v>0</v>
      </c>
      <c r="I45" t="str">
        <v>Pre-Finalizado</v>
      </c>
      <c r="J45" t="str">
        <v>3.22800</v>
      </c>
      <c r="K45" t="str">
        <v>3.32236</v>
      </c>
      <c r="L45" t="str">
        <v>null</v>
      </c>
      <c r="M45" t="str">
        <v>null</v>
      </c>
      <c r="N45" t="str">
        <v>3.04300</v>
      </c>
      <c r="O45" t="str">
        <v>null</v>
      </c>
      <c r="P45" t="str">
        <v>8500.000</v>
      </c>
      <c r="Q45" t="str">
        <v>-101.000</v>
      </c>
      <c r="R45" t="str">
        <v>-8301.000</v>
      </c>
      <c r="S45" t="str">
        <v>300.000</v>
      </c>
      <c r="T45" t="str">
        <v>300.000</v>
      </c>
      <c r="U45" t="str">
        <v>-73.000</v>
      </c>
      <c r="V45" t="str">
        <v>-221.924</v>
      </c>
      <c r="W45" t="str">
        <v>-0.00417142857142857143</v>
      </c>
      <c r="X45" t="str">
        <v>-0.22553252032520325203</v>
      </c>
      <c r="Y45" t="str">
        <v>-0.22553252032520325203</v>
      </c>
      <c r="Z45" t="str">
        <v>-0.00417</v>
      </c>
      <c r="AA45" t="str">
        <v>984.00000</v>
      </c>
      <c r="AB45" t="str">
        <v>36046-(poble) AGROAVICOLA SANTIAGO SL</v>
      </c>
    </row>
    <row r="46" spans="1:28" x14ac:dyDescent="0.25">
      <c r="A46" t="str">
        <v>2025-10-16</v>
      </c>
      <c r="B46" t="str">
        <v>36840-AVICOLA NICOLAS SL-L:071-N:1-A:A14-POLLO AMARILLO HEMBRAS</v>
      </c>
      <c r="C46" t="str">
        <v>POLLO AMARILLO HEMBRAS</v>
      </c>
      <c r="D46" t="str">
        <v>3</v>
      </c>
      <c r="E46" t="str">
        <v>Broiler Amarillo</v>
      </c>
      <c r="F46" t="str">
        <v>49</v>
      </c>
      <c r="G46" t="str">
        <v>2025-08-28</v>
      </c>
      <c r="H46" t="str">
        <v>0</v>
      </c>
      <c r="I46" t="str">
        <v>Pre-Finalizado</v>
      </c>
      <c r="J46" t="str">
        <v>3.14135</v>
      </c>
      <c r="K46" t="str">
        <v>3.23353</v>
      </c>
      <c r="L46" t="str">
        <v>null</v>
      </c>
      <c r="M46" t="str">
        <v>null</v>
      </c>
      <c r="N46" t="str">
        <v>2.74100</v>
      </c>
      <c r="O46" t="str">
        <v>null</v>
      </c>
      <c r="P46" t="str">
        <v>16200.000</v>
      </c>
      <c r="Q46" t="str">
        <v>-1513.000</v>
      </c>
      <c r="R46" t="str">
        <v>-17138.000</v>
      </c>
      <c r="S46" t="str">
        <v>575.000</v>
      </c>
      <c r="T46" t="str">
        <v>575.000</v>
      </c>
      <c r="U46" t="str">
        <v>-1513.000</v>
      </c>
      <c r="V46" t="str">
        <v>-4752.863</v>
      </c>
      <c r="W46" t="str">
        <v>-0.04202777777777777778</v>
      </c>
      <c r="X46" t="str">
        <v>-2.6404794444444444</v>
      </c>
      <c r="Y46" t="str">
        <v>-2.6404794444444444</v>
      </c>
      <c r="Z46" t="str">
        <v>-0.04203</v>
      </c>
      <c r="AA46" t="str">
        <v>1800.00000</v>
      </c>
      <c r="AB46" t="str">
        <v>36840-AVICOLA NICOLAS SL</v>
      </c>
    </row>
    <row r="47" spans="1:28" x14ac:dyDescent="0.25">
      <c r="A47" t="str">
        <v>2025-10-16</v>
      </c>
      <c r="B47" t="str">
        <v>36233-EXPLOTAC RAMADERES CURIA SCP-L:139-N:1-A:A14-POLLO AMARILLO HEMBRAS</v>
      </c>
      <c r="C47" t="str">
        <v>POLLO AMARILLO HEMBRAS</v>
      </c>
      <c r="D47" t="str">
        <v>3</v>
      </c>
      <c r="E47" t="str">
        <v>Broiler Amarillo</v>
      </c>
      <c r="F47" t="str">
        <v>49</v>
      </c>
      <c r="G47" t="str">
        <v>2025-08-28</v>
      </c>
      <c r="H47" t="str">
        <v>0</v>
      </c>
      <c r="I47" t="str">
        <v>Pre-Finalizado</v>
      </c>
      <c r="J47" t="str">
        <v>3.11738</v>
      </c>
      <c r="K47" t="str">
        <v>3.19016</v>
      </c>
      <c r="L47" t="str">
        <v>null</v>
      </c>
      <c r="M47" t="str">
        <v>null</v>
      </c>
      <c r="N47" t="str">
        <v>2.74100</v>
      </c>
      <c r="O47" t="str">
        <v>null</v>
      </c>
      <c r="P47" t="str">
        <v>10500.000</v>
      </c>
      <c r="Q47" t="str">
        <v>-1492.000</v>
      </c>
      <c r="R47" t="str">
        <v>-11617.000</v>
      </c>
      <c r="S47" t="str">
        <v>375.000</v>
      </c>
      <c r="T47" t="str">
        <v>375.000</v>
      </c>
      <c r="U47" t="str">
        <v>-549.000</v>
      </c>
      <c r="V47" t="str">
        <v>-1169.990</v>
      </c>
      <c r="W47" t="str">
        <v>-0.02859375000000000000</v>
      </c>
      <c r="X47" t="str">
        <v>-0.92856349206349206349</v>
      </c>
      <c r="Y47" t="str">
        <v>-0.92856349206349206349</v>
      </c>
      <c r="Z47" t="str">
        <v>-0.02859</v>
      </c>
      <c r="AA47" t="str">
        <v>1260.00000</v>
      </c>
      <c r="AB47" t="str">
        <v>36233-EXPLOTAC RAMADERES CURIA SCP</v>
      </c>
    </row>
    <row r="48" spans="1:28" x14ac:dyDescent="0.25">
      <c r="A48" t="str">
        <v>2025-10-16</v>
      </c>
      <c r="B48" t="str">
        <v>36840-AVICOLA NICOLAS SL-L:071-N:2-A:A14-POLLO AMARILLO HEMBRAS</v>
      </c>
      <c r="C48" t="str">
        <v>POLLO AMARILLO HEMBRAS</v>
      </c>
      <c r="D48" t="str">
        <v>3</v>
      </c>
      <c r="E48" t="str">
        <v>Broiler Amarillo</v>
      </c>
      <c r="F48" t="str">
        <v>49</v>
      </c>
      <c r="G48" t="str">
        <v>2025-08-28</v>
      </c>
      <c r="H48" t="str">
        <v>0</v>
      </c>
      <c r="I48" t="str">
        <v>Pre-Finalizado</v>
      </c>
      <c r="J48" t="str">
        <v>3.10397</v>
      </c>
      <c r="K48" t="str">
        <v>3.17412</v>
      </c>
      <c r="L48" t="str">
        <v>null</v>
      </c>
      <c r="M48" t="str">
        <v>null</v>
      </c>
      <c r="N48" t="str">
        <v>2.74100</v>
      </c>
      <c r="O48" t="str">
        <v>null</v>
      </c>
      <c r="P48" t="str">
        <v>16200.000</v>
      </c>
      <c r="Q48" t="str">
        <v>-5742.000</v>
      </c>
      <c r="R48" t="str">
        <v>-21367.000</v>
      </c>
      <c r="S48" t="str">
        <v>575.000</v>
      </c>
      <c r="T48" t="str">
        <v>575.000</v>
      </c>
      <c r="U48" t="str">
        <v>-17043.000</v>
      </c>
      <c r="V48" t="str">
        <v>-58812.401</v>
      </c>
      <c r="W48" t="str">
        <v>-0.47341666666666666667</v>
      </c>
      <c r="X48" t="str">
        <v>-32.6735561111111111</v>
      </c>
      <c r="Y48" t="str">
        <v>-32.6735561111111111</v>
      </c>
      <c r="Z48" t="str">
        <v>-0.47342</v>
      </c>
      <c r="AA48" t="str">
        <v>1800.00000</v>
      </c>
      <c r="AB48" t="str">
        <v>36840-AVICOLA NICOLAS SL</v>
      </c>
    </row>
    <row r="49" spans="1:28" x14ac:dyDescent="0.25">
      <c r="A49" t="str">
        <v>2025-10-16</v>
      </c>
      <c r="B49" t="str">
        <v>36001-RIERA CONDAL, JOSEP-L:031-N:1-A:A13-POLLO AMARILLO MACHO</v>
      </c>
      <c r="C49" t="str">
        <v>POLLO AMARILLO MACHO</v>
      </c>
      <c r="D49" t="str">
        <v>3</v>
      </c>
      <c r="E49" t="str">
        <v>Broiler Amarillo</v>
      </c>
      <c r="F49" t="str">
        <v>45</v>
      </c>
      <c r="G49" t="str">
        <v>2025-09-01</v>
      </c>
      <c r="H49" t="str">
        <v>0</v>
      </c>
      <c r="I49" t="str">
        <v>Abierto</v>
      </c>
      <c r="J49" t="str">
        <v>2.93300</v>
      </c>
      <c r="K49" t="str">
        <v>2.93300</v>
      </c>
      <c r="L49" t="str">
        <v>null</v>
      </c>
      <c r="M49" t="str">
        <v>null</v>
      </c>
      <c r="N49" t="str">
        <v>2.93300</v>
      </c>
      <c r="O49" t="str">
        <v>null</v>
      </c>
      <c r="P49" t="str">
        <v>18000.000</v>
      </c>
      <c r="Q49" t="str">
        <v>11056.000</v>
      </c>
      <c r="R49" t="str">
        <v>-6292.000</v>
      </c>
      <c r="S49" t="str">
        <v>622.000</v>
      </c>
      <c r="T49" t="str">
        <v>622.000</v>
      </c>
      <c r="U49" t="str">
        <v>10949.000</v>
      </c>
      <c r="V49" t="str">
        <v>32159.962</v>
      </c>
      <c r="W49" t="str">
        <v>0.33279635258358662614</v>
      </c>
      <c r="X49" t="str">
        <v>15.7646872549019608</v>
      </c>
      <c r="Y49" t="str">
        <v>15.7646872549019608</v>
      </c>
      <c r="Z49" t="str">
        <v>0.33280</v>
      </c>
      <c r="AA49" t="str">
        <v>2040.00000</v>
      </c>
      <c r="AB49" t="str">
        <v>36001-RIERA CONDAL, JOSEP</v>
      </c>
    </row>
    <row r="50" spans="1:28" x14ac:dyDescent="0.25">
      <c r="A50" t="str">
        <v>2025-10-16</v>
      </c>
      <c r="B50" t="str">
        <v>36865-LA TORRETA PECUARIA SLU-L:074-N:6-A:A13-POLLO AMARILLO MACHO</v>
      </c>
      <c r="C50" t="str">
        <v>POLLO AMARILLO MACHO</v>
      </c>
      <c r="D50" t="str">
        <v>3</v>
      </c>
      <c r="E50" t="str">
        <v>Broiler Amarillo</v>
      </c>
      <c r="F50" t="str">
        <v>41</v>
      </c>
      <c r="G50" t="str">
        <v>2025-09-05</v>
      </c>
      <c r="H50" t="str">
        <v>0</v>
      </c>
      <c r="I50" t="str">
        <v>Abierto</v>
      </c>
      <c r="J50" t="str">
        <v>2.78200</v>
      </c>
      <c r="K50" t="str">
        <v>2.82303</v>
      </c>
      <c r="L50" t="str">
        <v>null</v>
      </c>
      <c r="M50" t="str">
        <v>null</v>
      </c>
      <c r="N50" t="str">
        <v>2.58800</v>
      </c>
      <c r="O50" t="str">
        <v>null</v>
      </c>
      <c r="P50" t="str">
        <v>16700.000</v>
      </c>
      <c r="Q50" t="str">
        <v>8025.000</v>
      </c>
      <c r="R50" t="str">
        <v>-8069.000</v>
      </c>
      <c r="S50" t="str">
        <v>588.000</v>
      </c>
      <c r="T50" t="str">
        <v>588.000</v>
      </c>
      <c r="U50" t="str">
        <v>24119.000</v>
      </c>
      <c r="V50" t="str">
        <v>62206.482</v>
      </c>
      <c r="W50" t="str">
        <v>0.73241019100543560779</v>
      </c>
      <c r="X50" t="str">
        <v>34.5591566666666667</v>
      </c>
      <c r="Y50" t="str">
        <v>34.5591566666666667</v>
      </c>
      <c r="Z50" t="str">
        <v>0.73241</v>
      </c>
      <c r="AA50" t="str">
        <v>1800.00000</v>
      </c>
      <c r="AB50" t="str">
        <v>36865-LA TORRETA PECUARIA SLU</v>
      </c>
    </row>
    <row r="51" spans="1:28" x14ac:dyDescent="0.25">
      <c r="A51" t="str">
        <v>2025-10-16</v>
      </c>
      <c r="B51" t="str">
        <v>36865-LA TORRETA PECUARIA SLU-L:074-N:5-A:A13-POLLO AMARILLO MACHO</v>
      </c>
      <c r="C51" t="str">
        <v>POLLO AMARILLO MACHO</v>
      </c>
      <c r="D51" t="str">
        <v>3</v>
      </c>
      <c r="E51" t="str">
        <v>Broiler Amarillo</v>
      </c>
      <c r="F51" t="str">
        <v>41</v>
      </c>
      <c r="G51" t="str">
        <v>2025-09-05</v>
      </c>
      <c r="H51" t="str">
        <v>0</v>
      </c>
      <c r="I51" t="str">
        <v>Abierto</v>
      </c>
      <c r="J51" t="str">
        <v>2.76200</v>
      </c>
      <c r="K51" t="str">
        <v>2.79885</v>
      </c>
      <c r="L51" t="str">
        <v>null</v>
      </c>
      <c r="M51" t="str">
        <v>null</v>
      </c>
      <c r="N51" t="str">
        <v>2.58800</v>
      </c>
      <c r="O51" t="str">
        <v>null</v>
      </c>
      <c r="P51" t="str">
        <v>16700.000</v>
      </c>
      <c r="Q51" t="str">
        <v>8169.000</v>
      </c>
      <c r="R51" t="str">
        <v>-7925.000</v>
      </c>
      <c r="S51" t="str">
        <v>588.000</v>
      </c>
      <c r="T51" t="str">
        <v>588.000</v>
      </c>
      <c r="U51" t="str">
        <v>17405.000</v>
      </c>
      <c r="V51" t="str">
        <v>45357.226</v>
      </c>
      <c r="W51" t="str">
        <v>0.52852934924539187999</v>
      </c>
      <c r="X51" t="str">
        <v>25.1984588888888889</v>
      </c>
      <c r="Y51" t="str">
        <v>25.1984588888888889</v>
      </c>
      <c r="Z51" t="str">
        <v>0.52853</v>
      </c>
      <c r="AA51" t="str">
        <v>1800.00000</v>
      </c>
      <c r="AB51" t="str">
        <v>36865-LA TORRETA PECUARIA SLU</v>
      </c>
    </row>
    <row r="52" spans="1:28" x14ac:dyDescent="0.25">
      <c r="A52" t="str">
        <v>2025-10-16</v>
      </c>
      <c r="B52" t="str">
        <v>36233-EXPLOTAC RAMADERES CURIA SCP-L:139-N:4-A:A14-POLLO AMARILLO HEMBRAS</v>
      </c>
      <c r="C52" t="str">
        <v>POLLO AMARILLO HEMBRAS</v>
      </c>
      <c r="D52" t="str">
        <v>3</v>
      </c>
      <c r="E52" t="str">
        <v>Broiler Amarillo</v>
      </c>
      <c r="F52" t="str">
        <v>49</v>
      </c>
      <c r="G52" t="str">
        <v>2025-08-28</v>
      </c>
      <c r="H52" t="str">
        <v>0</v>
      </c>
      <c r="I52" t="str">
        <v>Pre-Finalizado</v>
      </c>
      <c r="J52" t="str">
        <v>2.74100</v>
      </c>
      <c r="K52" t="str">
        <v>2.74100</v>
      </c>
      <c r="L52" t="str">
        <v>null</v>
      </c>
      <c r="M52" t="str">
        <v>null</v>
      </c>
      <c r="N52" t="str">
        <v>2.74100</v>
      </c>
      <c r="O52" t="str">
        <v>null</v>
      </c>
      <c r="P52" t="str">
        <v>14000.000</v>
      </c>
      <c r="Q52" t="str">
        <v>218.000</v>
      </c>
      <c r="R52" t="str">
        <v>-13605.000</v>
      </c>
      <c r="S52" t="str">
        <v>107.000</v>
      </c>
      <c r="T52" t="str">
        <v>107.000</v>
      </c>
      <c r="U52" t="str">
        <v>348.000</v>
      </c>
      <c r="V52" t="str">
        <v>1019.908</v>
      </c>
      <c r="W52" t="str">
        <v>0.01384633748458202363</v>
      </c>
      <c r="X52" t="str">
        <v>0.61812606060606060606</v>
      </c>
      <c r="Y52" t="str">
        <v>0.61812606060606060606</v>
      </c>
      <c r="Z52" t="str">
        <v>0.01385</v>
      </c>
      <c r="AA52" t="str">
        <v>1650.00000</v>
      </c>
      <c r="AB52" t="str">
        <v>36233-EXPLOTAC RAMADERES CURIA SCP</v>
      </c>
    </row>
    <row r="53" spans="1:28" x14ac:dyDescent="0.25">
      <c r="A53" t="str">
        <v>2025-10-16</v>
      </c>
      <c r="B53" t="str">
        <v>36015-GJA BAIGET - MATEU JOVE, LLUIS-1-L:030-N:1-A:A13-POLLO AMARILLO MACHO</v>
      </c>
      <c r="C53" t="str">
        <v>POLLO AMARILLO MACHO</v>
      </c>
      <c r="D53" t="str">
        <v>3</v>
      </c>
      <c r="E53" t="str">
        <v>Broiler Amarillo</v>
      </c>
      <c r="F53" t="str">
        <v>37</v>
      </c>
      <c r="G53" t="str">
        <v>2025-09-09</v>
      </c>
      <c r="H53" t="str">
        <v>0</v>
      </c>
      <c r="I53" t="str">
        <v>Abierto</v>
      </c>
      <c r="J53" t="str">
        <v>2.71500</v>
      </c>
      <c r="K53" t="str">
        <v>2.81042</v>
      </c>
      <c r="L53" t="str">
        <v>null</v>
      </c>
      <c r="M53" t="str">
        <v>null</v>
      </c>
      <c r="N53" t="str">
        <v>2.22800</v>
      </c>
      <c r="O53" t="str">
        <v>null</v>
      </c>
      <c r="P53" t="str">
        <v>11600.000</v>
      </c>
      <c r="Q53" t="str">
        <v>9279.000</v>
      </c>
      <c r="R53" t="str">
        <v>-1924.000</v>
      </c>
      <c r="S53" t="str">
        <v>395.000</v>
      </c>
      <c r="T53" t="str">
        <v>215.000</v>
      </c>
      <c r="U53" t="str">
        <v>14811.000</v>
      </c>
      <c r="V53" t="str">
        <v>37993.533</v>
      </c>
      <c r="W53" t="str">
        <v>0.59244000000000000000</v>
      </c>
      <c r="X53" t="str">
        <v>27.1382378571428571</v>
      </c>
      <c r="Y53" t="str">
        <v>27.1382378571428571</v>
      </c>
      <c r="Z53" t="str">
        <v>0.59244</v>
      </c>
      <c r="AA53" t="str">
        <v>1400.00000</v>
      </c>
      <c r="AB53" t="str">
        <v>36015-GJA BAIGET - MATEU JOVE, LLUIS-1</v>
      </c>
    </row>
    <row r="54" spans="1:28" x14ac:dyDescent="0.25">
      <c r="A54" t="str">
        <v>2025-10-16</v>
      </c>
      <c r="B54" t="str">
        <v>36865-LA TORRETA PECUARIA SLU-L:074-N:4-A:A13-POLLO AMARILLO MACHO</v>
      </c>
      <c r="C54" t="str">
        <v>POLLO AMARILLO MACHO</v>
      </c>
      <c r="D54" t="str">
        <v>3</v>
      </c>
      <c r="E54" t="str">
        <v>Broiler Amarillo</v>
      </c>
      <c r="F54" t="str">
        <v>42</v>
      </c>
      <c r="G54" t="str">
        <v>2025-09-04</v>
      </c>
      <c r="H54" t="str">
        <v>0</v>
      </c>
      <c r="I54" t="str">
        <v>Abierto</v>
      </c>
      <c r="J54" t="str">
        <v>2.68800</v>
      </c>
      <c r="K54" t="str">
        <v>2.78757</v>
      </c>
      <c r="L54" t="str">
        <v>null</v>
      </c>
      <c r="M54" t="str">
        <v>null</v>
      </c>
      <c r="N54" t="str">
        <v>2.67600</v>
      </c>
      <c r="O54" t="str">
        <v>null</v>
      </c>
      <c r="P54" t="str">
        <v>16300.000</v>
      </c>
      <c r="Q54" t="str">
        <v>0.000</v>
      </c>
      <c r="R54" t="str">
        <v>0.000</v>
      </c>
      <c r="S54" t="str">
        <v>418.000</v>
      </c>
      <c r="T54" t="str">
        <v>418.000</v>
      </c>
      <c r="U54" t="str">
        <v>15969.000</v>
      </c>
      <c r="V54" t="str">
        <v>36680.793</v>
      </c>
      <c r="W54" t="str">
        <v>0.48492302086180194953</v>
      </c>
      <c r="X54" t="str">
        <v>20.3782183333333333</v>
      </c>
      <c r="Y54" t="str">
        <v>20.3782183333333333</v>
      </c>
      <c r="Z54" t="str">
        <v>0.48492</v>
      </c>
      <c r="AA54" t="str">
        <v>1800.00000</v>
      </c>
      <c r="AB54" t="str">
        <v>36865-LA TORRETA PECUARIA SLU</v>
      </c>
    </row>
    <row r="55" spans="1:28" x14ac:dyDescent="0.25">
      <c r="A55" t="str">
        <v>2025-10-16</v>
      </c>
      <c r="B55" t="str">
        <v>36029-CAMÍ DE FLIX - MATEU JOVE LLUIS-2-L:029-N:1-A:A13-POLLO AMARILLO MACHO</v>
      </c>
      <c r="C55" t="str">
        <v>POLLO AMARILLO MACHO</v>
      </c>
      <c r="D55" t="str">
        <v>3</v>
      </c>
      <c r="E55" t="str">
        <v>Broiler Amarillo</v>
      </c>
      <c r="F55" t="str">
        <v>37</v>
      </c>
      <c r="G55" t="str">
        <v>2025-09-09</v>
      </c>
      <c r="H55" t="str">
        <v>0</v>
      </c>
      <c r="I55" t="str">
        <v>Abierto</v>
      </c>
      <c r="J55" t="str">
        <v>2.56500</v>
      </c>
      <c r="K55" t="str">
        <v>2.63102</v>
      </c>
      <c r="L55" t="str">
        <v>null</v>
      </c>
      <c r="M55" t="str">
        <v>null</v>
      </c>
      <c r="N55" t="str">
        <v>2.22800</v>
      </c>
      <c r="O55" t="str">
        <v>null</v>
      </c>
      <c r="P55" t="str">
        <v>8800.000</v>
      </c>
      <c r="Q55" t="str">
        <v>8778.000</v>
      </c>
      <c r="R55" t="str">
        <v>0.000</v>
      </c>
      <c r="S55" t="str">
        <v>7.000</v>
      </c>
      <c r="T55" t="str">
        <v>7.000</v>
      </c>
      <c r="U55" t="str">
        <v>10166.000</v>
      </c>
      <c r="V55" t="str">
        <v>25212.454</v>
      </c>
      <c r="W55" t="str">
        <v>0.56477777777777777778</v>
      </c>
      <c r="X55" t="str">
        <v>24.0118609523809524</v>
      </c>
      <c r="Y55" t="str">
        <v>24.0118609523809524</v>
      </c>
      <c r="Z55" t="str">
        <v>0.56478</v>
      </c>
      <c r="AA55" t="str">
        <v>1050.00000</v>
      </c>
      <c r="AB55" t="str">
        <v>36029-CAMÍ DE FLIX - MATEU JOVE LLUIS-2</v>
      </c>
    </row>
    <row r="56" spans="1:28" x14ac:dyDescent="0.25">
      <c r="A56" t="str">
        <v>2025-10-16</v>
      </c>
      <c r="B56" t="str">
        <v>36001-RIERA CONDAL, JOSEP-L:031-N:1-A:A14-POLLO AMARILLO HEMBRAS</v>
      </c>
      <c r="C56" t="str">
        <v>POLLO AMARILLO HEMBRAS</v>
      </c>
      <c r="D56" t="str">
        <v>3</v>
      </c>
      <c r="E56" t="str">
        <v>Broiler Amarillo</v>
      </c>
      <c r="F56" t="str">
        <v>45</v>
      </c>
      <c r="G56" t="str">
        <v>2025-09-01</v>
      </c>
      <c r="H56" t="str">
        <v>0</v>
      </c>
      <c r="I56" t="str">
        <v>Abierto</v>
      </c>
      <c r="J56" t="str">
        <v>2.49800</v>
      </c>
      <c r="K56" t="str">
        <v>2.49800</v>
      </c>
      <c r="L56" t="str">
        <v>null</v>
      </c>
      <c r="M56" t="str">
        <v>null</v>
      </c>
      <c r="N56" t="str">
        <v>2.49800</v>
      </c>
      <c r="O56" t="str">
        <v>null</v>
      </c>
      <c r="P56" t="str">
        <v>18000.000</v>
      </c>
      <c r="Q56" t="str">
        <v>-107.000</v>
      </c>
      <c r="R56" t="str">
        <v>-17485.000</v>
      </c>
      <c r="S56" t="str">
        <v>622.000</v>
      </c>
      <c r="T56" t="str">
        <v>622.000</v>
      </c>
      <c r="U56" t="str">
        <v>10949.000</v>
      </c>
      <c r="V56" t="str">
        <v>32159.962</v>
      </c>
      <c r="W56" t="str">
        <v>0.33279635258358662614</v>
      </c>
      <c r="X56" t="str">
        <v>15.7646872549019608</v>
      </c>
      <c r="Y56" t="str">
        <v>15.7646872549019608</v>
      </c>
      <c r="Z56" t="str">
        <v>0.33280</v>
      </c>
      <c r="AA56" t="str">
        <v>2040.00000</v>
      </c>
      <c r="AB56" t="str">
        <v>36001-RIERA CONDAL, JOSEP</v>
      </c>
    </row>
    <row r="57" spans="1:28" x14ac:dyDescent="0.25">
      <c r="A57" t="str">
        <v>2025-10-16</v>
      </c>
      <c r="B57" t="str">
        <v>36865-LA TORRETA PECUARIA SLU-L:074-N:6-A:A14-POLLO AMARILLO HEMBRAS</v>
      </c>
      <c r="C57" t="str">
        <v>POLLO AMARILLO HEMBRAS</v>
      </c>
      <c r="D57" t="str">
        <v>3</v>
      </c>
      <c r="E57" t="str">
        <v>Broiler Amarillo</v>
      </c>
      <c r="F57" t="str">
        <v>41</v>
      </c>
      <c r="G57" t="str">
        <v>2025-09-05</v>
      </c>
      <c r="H57" t="str">
        <v>0</v>
      </c>
      <c r="I57" t="str">
        <v>Abierto</v>
      </c>
      <c r="J57" t="str">
        <v>2.47800</v>
      </c>
      <c r="K57" t="str">
        <v>2.52587</v>
      </c>
      <c r="L57" t="str">
        <v>null</v>
      </c>
      <c r="M57" t="str">
        <v>null</v>
      </c>
      <c r="N57" t="str">
        <v>2.22800</v>
      </c>
      <c r="O57" t="str">
        <v>null</v>
      </c>
      <c r="P57" t="str">
        <v>16700.000</v>
      </c>
      <c r="Q57" t="str">
        <v>16094.000</v>
      </c>
      <c r="R57" t="str">
        <v>0.000</v>
      </c>
      <c r="S57" t="str">
        <v>588.000</v>
      </c>
      <c r="T57" t="str">
        <v>588.000</v>
      </c>
      <c r="U57" t="str">
        <v>24119.000</v>
      </c>
      <c r="V57" t="str">
        <v>62206.482</v>
      </c>
      <c r="W57" t="str">
        <v>0.73241019100543560779</v>
      </c>
      <c r="X57" t="str">
        <v>34.5591566666666667</v>
      </c>
      <c r="Y57" t="str">
        <v>34.5591566666666667</v>
      </c>
      <c r="Z57" t="str">
        <v>0.73241</v>
      </c>
      <c r="AA57" t="str">
        <v>1800.00000</v>
      </c>
      <c r="AB57" t="str">
        <v>36865-LA TORRETA PECUARIA SLU</v>
      </c>
    </row>
    <row r="58" spans="1:28" x14ac:dyDescent="0.25">
      <c r="A58" t="str">
        <v>2025-10-16</v>
      </c>
      <c r="B58" t="str">
        <v>36865-LA TORRETA PECUARIA SLU-L:074-N:5-A:A14-POLLO AMARILLO HEMBRAS</v>
      </c>
      <c r="C58" t="str">
        <v>POLLO AMARILLO HEMBRAS</v>
      </c>
      <c r="D58" t="str">
        <v>3</v>
      </c>
      <c r="E58" t="str">
        <v>Broiler Amarillo</v>
      </c>
      <c r="F58" t="str">
        <v>41</v>
      </c>
      <c r="G58" t="str">
        <v>2025-09-05</v>
      </c>
      <c r="H58" t="str">
        <v>0</v>
      </c>
      <c r="I58" t="str">
        <v>Abierto</v>
      </c>
      <c r="J58" t="str">
        <v>2.46800</v>
      </c>
      <c r="K58" t="str">
        <v>2.51394</v>
      </c>
      <c r="L58" t="str">
        <v>null</v>
      </c>
      <c r="M58" t="str">
        <v>null</v>
      </c>
      <c r="N58" t="str">
        <v>2.22800</v>
      </c>
      <c r="O58" t="str">
        <v>null</v>
      </c>
      <c r="P58" t="str">
        <v>16700.000</v>
      </c>
      <c r="Q58" t="str">
        <v>9236.000</v>
      </c>
      <c r="R58" t="str">
        <v>-6858.000</v>
      </c>
      <c r="S58" t="str">
        <v>588.000</v>
      </c>
      <c r="T58" t="str">
        <v>588.000</v>
      </c>
      <c r="U58" t="str">
        <v>17405.000</v>
      </c>
      <c r="V58" t="str">
        <v>45357.226</v>
      </c>
      <c r="W58" t="str">
        <v>0.52852934924539187999</v>
      </c>
      <c r="X58" t="str">
        <v>25.1984588888888889</v>
      </c>
      <c r="Y58" t="str">
        <v>25.1984588888888889</v>
      </c>
      <c r="Z58" t="str">
        <v>0.52853</v>
      </c>
      <c r="AA58" t="str">
        <v>1800.00000</v>
      </c>
      <c r="AB58" t="str">
        <v>36865-LA TORRETA PECUARIA SLU</v>
      </c>
    </row>
    <row r="59" spans="1:28" x14ac:dyDescent="0.25">
      <c r="A59" t="str">
        <v>2025-10-16</v>
      </c>
      <c r="B59" t="str">
        <v>36786-BONFILL SABATE JOAQUIN-L:089-N:2-A:A13-POLLO AMARILLO MACHO</v>
      </c>
      <c r="C59" t="str">
        <v>POLLO AMARILLO MACHO</v>
      </c>
      <c r="D59" t="str">
        <v>3</v>
      </c>
      <c r="E59" t="str">
        <v>Broiler Amarillo</v>
      </c>
      <c r="F59" t="str">
        <v>38</v>
      </c>
      <c r="G59" t="str">
        <v>2025-09-08</v>
      </c>
      <c r="H59" t="str">
        <v>0</v>
      </c>
      <c r="I59" t="str">
        <v>Abierto</v>
      </c>
      <c r="J59" t="str">
        <v>2.37900</v>
      </c>
      <c r="K59" t="str">
        <v>2.41147</v>
      </c>
      <c r="L59" t="str">
        <v>null</v>
      </c>
      <c r="M59" t="str">
        <v>null</v>
      </c>
      <c r="N59" t="str">
        <v>2.31900</v>
      </c>
      <c r="O59" t="str">
        <v>null</v>
      </c>
      <c r="P59" t="str">
        <v>21000.000</v>
      </c>
      <c r="Q59" t="str">
        <v>20868.000</v>
      </c>
      <c r="R59" t="str">
        <v>0.000</v>
      </c>
      <c r="S59" t="str">
        <v>92.000</v>
      </c>
      <c r="T59" t="str">
        <v>92.000</v>
      </c>
      <c r="U59" t="str">
        <v>41689.000</v>
      </c>
      <c r="V59" t="str">
        <v>93556.461</v>
      </c>
      <c r="W59" t="str">
        <v>3.3086507936507937</v>
      </c>
      <c r="X59" t="str">
        <v>116.3637574626865672</v>
      </c>
      <c r="Y59" t="str">
        <v>116.3637574626865672</v>
      </c>
      <c r="Z59" t="str">
        <v>3.30865</v>
      </c>
      <c r="AA59" t="str">
        <v>804.00000</v>
      </c>
      <c r="AB59" t="str">
        <v>36786-BONFILL SABATE JOAQUIN</v>
      </c>
    </row>
    <row r="60" spans="1:28" x14ac:dyDescent="0.25">
      <c r="A60" t="str">
        <v>2025-10-16</v>
      </c>
      <c r="B60" t="str">
        <v>36786-BONFILL SABATE JOAQUIN-L:089-N:1-A:A13-POLLO AMARILLO MACHO</v>
      </c>
      <c r="C60" t="str">
        <v>POLLO AMARILLO MACHO</v>
      </c>
      <c r="D60" t="str">
        <v>3</v>
      </c>
      <c r="E60" t="str">
        <v>Broiler Amarillo</v>
      </c>
      <c r="F60" t="str">
        <v>38</v>
      </c>
      <c r="G60" t="str">
        <v>2025-09-08</v>
      </c>
      <c r="H60" t="str">
        <v>0</v>
      </c>
      <c r="I60" t="str">
        <v>Abierto</v>
      </c>
      <c r="J60" t="str">
        <v>2.36400</v>
      </c>
      <c r="K60" t="str">
        <v>2.38833</v>
      </c>
      <c r="L60" t="str">
        <v>null</v>
      </c>
      <c r="M60" t="str">
        <v>null</v>
      </c>
      <c r="N60" t="str">
        <v>2.31900</v>
      </c>
      <c r="O60" t="str">
        <v>null</v>
      </c>
      <c r="P60" t="str">
        <v>6500.000</v>
      </c>
      <c r="Q60" t="str">
        <v>6223.000</v>
      </c>
      <c r="R60" t="str">
        <v>0.000</v>
      </c>
      <c r="S60" t="str">
        <v>217.000</v>
      </c>
      <c r="T60" t="str">
        <v>217.000</v>
      </c>
      <c r="U60" t="str">
        <v>12506.000</v>
      </c>
      <c r="V60" t="str">
        <v>27899.189</v>
      </c>
      <c r="W60" t="str">
        <v>0.29565011820330969267</v>
      </c>
      <c r="X60" t="str">
        <v>10.3330329629629630</v>
      </c>
      <c r="Y60" t="str">
        <v>10.3330329629629630</v>
      </c>
      <c r="Z60" t="str">
        <v>0.29565</v>
      </c>
      <c r="AA60" t="str">
        <v>2700.00000</v>
      </c>
      <c r="AB60" t="str">
        <v>36786-BONFILL SABATE JOAQUIN</v>
      </c>
    </row>
    <row r="61" spans="1:28" x14ac:dyDescent="0.25">
      <c r="A61" t="str">
        <v>2025-10-16</v>
      </c>
      <c r="B61" t="str">
        <v>36843-ESPINET SOLE, JOSEP MARIA-L:081-N:4-A:A13-POLLO AMARILLO MACHO</v>
      </c>
      <c r="C61" t="str">
        <v>POLLO AMARILLO MACHO</v>
      </c>
      <c r="D61" t="str">
        <v>3</v>
      </c>
      <c r="E61" t="str">
        <v>Broiler Amarillo</v>
      </c>
      <c r="F61" t="str">
        <v>38</v>
      </c>
      <c r="G61" t="str">
        <v>2025-09-08</v>
      </c>
      <c r="H61" t="str">
        <v>0</v>
      </c>
      <c r="I61" t="str">
        <v>Abierto</v>
      </c>
      <c r="J61" t="str">
        <v>2.31400</v>
      </c>
      <c r="K61" t="str">
        <v>2.31132</v>
      </c>
      <c r="L61" t="str">
        <v>null</v>
      </c>
      <c r="M61" t="str">
        <v>null</v>
      </c>
      <c r="N61" t="str">
        <v>2.31900</v>
      </c>
      <c r="O61" t="str">
        <v>null</v>
      </c>
      <c r="P61" t="str">
        <v>7500.000</v>
      </c>
      <c r="Q61" t="str">
        <v>7199.000</v>
      </c>
      <c r="R61" t="str">
        <v>0.000</v>
      </c>
      <c r="S61" t="str">
        <v>271.000</v>
      </c>
      <c r="T61" t="str">
        <v>271.000</v>
      </c>
      <c r="U61" t="str">
        <v>10338.000</v>
      </c>
      <c r="V61" t="str">
        <v>22983.571</v>
      </c>
      <c r="W61" t="str">
        <v>0.72041811846689895470</v>
      </c>
      <c r="X61" t="str">
        <v>23.7925165631469979</v>
      </c>
      <c r="Y61" t="str">
        <v>23.7925165631469979</v>
      </c>
      <c r="Z61" t="str">
        <v>0.72042</v>
      </c>
      <c r="AA61" t="str">
        <v>966.00000</v>
      </c>
      <c r="AB61" t="str">
        <v>36843-ESPINET SOLE, JOSEP MARIA</v>
      </c>
    </row>
    <row r="62" spans="1:28" x14ac:dyDescent="0.25">
      <c r="A62" t="str">
        <v>2025-10-16</v>
      </c>
      <c r="B62" t="str">
        <v>36015-GJA BAIGET - MATEU JOVE, LLUIS-1-L:030-N:1-A:A14-POLLO AMARILLO HEMBRAS</v>
      </c>
      <c r="C62" t="str">
        <v>POLLO AMARILLO HEMBRAS</v>
      </c>
      <c r="D62" t="str">
        <v>3</v>
      </c>
      <c r="E62" t="str">
        <v>Broiler Amarillo</v>
      </c>
      <c r="F62" t="str">
        <v>37</v>
      </c>
      <c r="G62" t="str">
        <v>2025-09-09</v>
      </c>
      <c r="H62" t="str">
        <v>0</v>
      </c>
      <c r="I62" t="str">
        <v>Abierto</v>
      </c>
      <c r="J62" t="str">
        <v>2.31400</v>
      </c>
      <c r="K62" t="str">
        <v>2.38017</v>
      </c>
      <c r="L62" t="str">
        <v>null</v>
      </c>
      <c r="M62" t="str">
        <v>null</v>
      </c>
      <c r="N62" t="str">
        <v>1.94300</v>
      </c>
      <c r="O62" t="str">
        <v>null</v>
      </c>
      <c r="P62" t="str">
        <v>11700.000</v>
      </c>
      <c r="Q62" t="str">
        <v>5532.000</v>
      </c>
      <c r="R62" t="str">
        <v>-5867.000</v>
      </c>
      <c r="S62" t="str">
        <v>300.000</v>
      </c>
      <c r="T62" t="str">
        <v>361.000</v>
      </c>
      <c r="U62" t="str">
        <v>14811.000</v>
      </c>
      <c r="V62" t="str">
        <v>37993.533</v>
      </c>
      <c r="W62" t="str">
        <v>0.59244000000000000000</v>
      </c>
      <c r="X62" t="str">
        <v>27.1382378571428571</v>
      </c>
      <c r="Y62" t="str">
        <v>27.1382378571428571</v>
      </c>
      <c r="Z62" t="str">
        <v>0.59244</v>
      </c>
      <c r="AA62" t="str">
        <v>1400.00000</v>
      </c>
      <c r="AB62" t="str">
        <v>36015-GJA BAIGET - MATEU JOVE, LLUIS-1</v>
      </c>
    </row>
    <row r="63" spans="1:28" x14ac:dyDescent="0.25">
      <c r="A63" t="str">
        <v>2025-10-16</v>
      </c>
      <c r="B63" t="str">
        <v>36843-ESPINET SOLE, JOSEP MARIA-L:081-N:3-A:A13-POLLO AMARILLO MACHO</v>
      </c>
      <c r="C63" t="str">
        <v>POLLO AMARILLO MACHO</v>
      </c>
      <c r="D63" t="str">
        <v>3</v>
      </c>
      <c r="E63" t="str">
        <v>Broiler Amarillo</v>
      </c>
      <c r="F63" t="str">
        <v>38</v>
      </c>
      <c r="G63" t="str">
        <v>2025-09-08</v>
      </c>
      <c r="H63" t="str">
        <v>0</v>
      </c>
      <c r="I63" t="str">
        <v>Abierto</v>
      </c>
      <c r="J63" t="str">
        <v>2.31400</v>
      </c>
      <c r="K63" t="str">
        <v>2.31132</v>
      </c>
      <c r="L63" t="str">
        <v>null</v>
      </c>
      <c r="M63" t="str">
        <v>null</v>
      </c>
      <c r="N63" t="str">
        <v>2.31900</v>
      </c>
      <c r="O63" t="str">
        <v>null</v>
      </c>
      <c r="P63" t="str">
        <v>7000.000</v>
      </c>
      <c r="Q63" t="str">
        <v>6868.000</v>
      </c>
      <c r="R63" t="str">
        <v>0.000</v>
      </c>
      <c r="S63" t="str">
        <v>92.000</v>
      </c>
      <c r="T63" t="str">
        <v>92.000</v>
      </c>
      <c r="U63" t="str">
        <v>9706.000</v>
      </c>
      <c r="V63" t="str">
        <v>21611.122</v>
      </c>
      <c r="W63" t="str">
        <v>0.71795251128042014942</v>
      </c>
      <c r="X63" t="str">
        <v>23.7484857142857143</v>
      </c>
      <c r="Y63" t="str">
        <v>23.7484857142857143</v>
      </c>
      <c r="Z63" t="str">
        <v>0.71795</v>
      </c>
      <c r="AA63" t="str">
        <v>910.00000</v>
      </c>
      <c r="AB63" t="str">
        <v>36843-ESPINET SOLE, JOSEP MARIA</v>
      </c>
    </row>
    <row r="64" spans="1:28" x14ac:dyDescent="0.25">
      <c r="A64" t="str">
        <v>2025-10-16</v>
      </c>
      <c r="B64" t="str">
        <v>36843-ESPINET SOLE, JOSEP MARIA-L:081-N:1-A:A13-POLLO AMARILLO MACHO</v>
      </c>
      <c r="C64" t="str">
        <v>POLLO AMARILLO MACHO</v>
      </c>
      <c r="D64" t="str">
        <v>3</v>
      </c>
      <c r="E64" t="str">
        <v>Broiler Amarillo</v>
      </c>
      <c r="F64" t="str">
        <v>38</v>
      </c>
      <c r="G64" t="str">
        <v>2025-09-08</v>
      </c>
      <c r="H64" t="str">
        <v>0</v>
      </c>
      <c r="I64" t="str">
        <v>Abierto</v>
      </c>
      <c r="J64" t="str">
        <v>2.31400</v>
      </c>
      <c r="K64" t="str">
        <v>2.31132</v>
      </c>
      <c r="L64" t="str">
        <v>null</v>
      </c>
      <c r="M64" t="str">
        <v>null</v>
      </c>
      <c r="N64" t="str">
        <v>2.31900</v>
      </c>
      <c r="O64" t="str">
        <v>null</v>
      </c>
      <c r="P64" t="str">
        <v>7000.000</v>
      </c>
      <c r="Q64" t="str">
        <v>6718.000</v>
      </c>
      <c r="R64" t="str">
        <v>0.000</v>
      </c>
      <c r="S64" t="str">
        <v>232.000</v>
      </c>
      <c r="T64" t="str">
        <v>232.000</v>
      </c>
      <c r="U64" t="str">
        <v>9416.000</v>
      </c>
      <c r="V64" t="str">
        <v>20981.922</v>
      </c>
      <c r="W64" t="str">
        <v>0.69644970414201183432</v>
      </c>
      <c r="X64" t="str">
        <v>23.0570571428571429</v>
      </c>
      <c r="Y64" t="str">
        <v>23.0570571428571429</v>
      </c>
      <c r="Z64" t="str">
        <v>0.69645</v>
      </c>
      <c r="AA64" t="str">
        <v>910.00000</v>
      </c>
      <c r="AB64" t="str">
        <v>36843-ESPINET SOLE, JOSEP MARIA</v>
      </c>
    </row>
    <row r="65" spans="1:28" x14ac:dyDescent="0.25">
      <c r="A65" t="str">
        <v>2025-10-16</v>
      </c>
      <c r="B65" t="str">
        <v>36843-ESPINET SOLE, JOSEP MARIA-L:081-N:2-A:A13-POLLO AMARILLO MACHO</v>
      </c>
      <c r="C65" t="str">
        <v>POLLO AMARILLO MACHO</v>
      </c>
      <c r="D65" t="str">
        <v>3</v>
      </c>
      <c r="E65" t="str">
        <v>Broiler Amarillo</v>
      </c>
      <c r="F65" t="str">
        <v>38</v>
      </c>
      <c r="G65" t="str">
        <v>2025-09-08</v>
      </c>
      <c r="H65" t="str">
        <v>0</v>
      </c>
      <c r="I65" t="str">
        <v>Abierto</v>
      </c>
      <c r="J65" t="str">
        <v>2.31400</v>
      </c>
      <c r="K65" t="str">
        <v>2.31132</v>
      </c>
      <c r="L65" t="str">
        <v>null</v>
      </c>
      <c r="M65" t="str">
        <v>null</v>
      </c>
      <c r="N65" t="str">
        <v>2.31900</v>
      </c>
      <c r="O65" t="str">
        <v>null</v>
      </c>
      <c r="P65" t="str">
        <v>7500.000</v>
      </c>
      <c r="Q65" t="str">
        <v>7326.000</v>
      </c>
      <c r="R65" t="str">
        <v>0.000</v>
      </c>
      <c r="S65" t="str">
        <v>124.000</v>
      </c>
      <c r="T65" t="str">
        <v>124.000</v>
      </c>
      <c r="U65" t="str">
        <v>10673.000</v>
      </c>
      <c r="V65" t="str">
        <v>23696.569</v>
      </c>
      <c r="W65" t="str">
        <v>0.74840474020054694622</v>
      </c>
      <c r="X65" t="str">
        <v>24.6839260416666667</v>
      </c>
      <c r="Y65" t="str">
        <v>24.6839260416666667</v>
      </c>
      <c r="Z65" t="str">
        <v>0.74840</v>
      </c>
      <c r="AA65" t="str">
        <v>960.00000</v>
      </c>
      <c r="AB65" t="str">
        <v>36843-ESPINET SOLE, JOSEP MARIA</v>
      </c>
    </row>
    <row r="66" spans="1:28" x14ac:dyDescent="0.25">
      <c r="A66" t="str">
        <v>2025-10-16</v>
      </c>
      <c r="B66" t="str">
        <v>36967-BLAI PONS COLL (Culleré)-L:037-N:3-A:A13-POLLO AMARILLO MACHO</v>
      </c>
      <c r="C66" t="str">
        <v>POLLO AMARILLO MACHO</v>
      </c>
      <c r="D66" t="str">
        <v>3</v>
      </c>
      <c r="E66" t="str">
        <v>Broiler Amarillo</v>
      </c>
      <c r="F66" t="str">
        <v>34</v>
      </c>
      <c r="G66" t="str">
        <v>2025-09-12</v>
      </c>
      <c r="H66" t="str">
        <v>0</v>
      </c>
      <c r="I66" t="str">
        <v>Abierto</v>
      </c>
      <c r="J66" t="str">
        <v>2.30100</v>
      </c>
      <c r="K66" t="str">
        <v>2.37962</v>
      </c>
      <c r="L66" t="str">
        <v>null</v>
      </c>
      <c r="M66" t="str">
        <v>null</v>
      </c>
      <c r="N66" t="str">
        <v>1.95400</v>
      </c>
      <c r="O66" t="str">
        <v>null</v>
      </c>
      <c r="P66" t="str">
        <v>15400.000</v>
      </c>
      <c r="Q66" t="str">
        <v>15069.000</v>
      </c>
      <c r="R66" t="str">
        <v>0.000</v>
      </c>
      <c r="S66" t="str">
        <v>316.000</v>
      </c>
      <c r="T66" t="str">
        <v>316.000</v>
      </c>
      <c r="U66" t="str">
        <v>30158.000</v>
      </c>
      <c r="V66" t="str">
        <v>60687.205</v>
      </c>
      <c r="W66" t="str">
        <v>0.94243750000000000000</v>
      </c>
      <c r="X66" t="str">
        <v>33.7151138888888889</v>
      </c>
      <c r="Y66" t="str">
        <v>33.7151138888888889</v>
      </c>
      <c r="Z66" t="str">
        <v>0.94244</v>
      </c>
      <c r="AA66" t="str">
        <v>1800.00000</v>
      </c>
      <c r="AB66" t="str">
        <v>36967-BLAI PONS COLL (Culleré)</v>
      </c>
    </row>
    <row r="67" spans="1:28" x14ac:dyDescent="0.25">
      <c r="A67" t="str">
        <v>2025-10-16</v>
      </c>
      <c r="B67" t="str">
        <v>36865-LA TORRETA PECUARIA SLU-L:074-N:4-A:A14-POLLO AMARILLO HEMBRAS</v>
      </c>
      <c r="C67" t="str">
        <v>POLLO AMARILLO HEMBRAS</v>
      </c>
      <c r="D67" t="str">
        <v>3</v>
      </c>
      <c r="E67" t="str">
        <v>Broiler Amarillo</v>
      </c>
      <c r="F67" t="str">
        <v>42</v>
      </c>
      <c r="G67" t="str">
        <v>2025-09-04</v>
      </c>
      <c r="H67" t="str">
        <v>0</v>
      </c>
      <c r="I67" t="str">
        <v>Abierto</v>
      </c>
      <c r="J67" t="str">
        <v>2.29700</v>
      </c>
      <c r="K67" t="str">
        <v>2.29700</v>
      </c>
      <c r="L67" t="str">
        <v>null</v>
      </c>
      <c r="M67" t="str">
        <v>null</v>
      </c>
      <c r="N67" t="str">
        <v>2.29700</v>
      </c>
      <c r="O67" t="str">
        <v>null</v>
      </c>
      <c r="P67" t="str">
        <v>16300.000</v>
      </c>
      <c r="Q67" t="str">
        <v>15969.000</v>
      </c>
      <c r="R67" t="str">
        <v>0.000</v>
      </c>
      <c r="S67" t="str">
        <v>331.000</v>
      </c>
      <c r="T67" t="str">
        <v>331.000</v>
      </c>
      <c r="U67" t="str">
        <v>15969.000</v>
      </c>
      <c r="V67" t="str">
        <v>36680.793</v>
      </c>
      <c r="W67" t="str">
        <v>0.48492302086180194953</v>
      </c>
      <c r="X67" t="str">
        <v>20.3782183333333333</v>
      </c>
      <c r="Y67" t="str">
        <v>20.3782183333333333</v>
      </c>
      <c r="Z67" t="str">
        <v>0.48492</v>
      </c>
      <c r="AA67" t="str">
        <v>1800.00000</v>
      </c>
      <c r="AB67" t="str">
        <v>36865-LA TORRETA PECUARIA SLU</v>
      </c>
    </row>
    <row r="68" spans="1:28" x14ac:dyDescent="0.25">
      <c r="A68" t="str">
        <v>2025-10-16</v>
      </c>
      <c r="B68" t="str">
        <v>36990-SOLER SURIOL SCP-2-L:034-N:2-A:A13-POLLO AMARILLO MACHO</v>
      </c>
      <c r="C68" t="str">
        <v>POLLO AMARILLO MACHO</v>
      </c>
      <c r="D68" t="str">
        <v>3</v>
      </c>
      <c r="E68" t="str">
        <v>Broiler Amarillo</v>
      </c>
      <c r="F68" t="str">
        <v>34</v>
      </c>
      <c r="G68" t="str">
        <v>2025-09-12</v>
      </c>
      <c r="H68" t="str">
        <v>0</v>
      </c>
      <c r="I68" t="str">
        <v>Abierto</v>
      </c>
      <c r="J68" t="str">
        <v>2.13100</v>
      </c>
      <c r="K68" t="str">
        <v>2.17111</v>
      </c>
      <c r="L68" t="str">
        <v>null</v>
      </c>
      <c r="M68" t="str">
        <v>null</v>
      </c>
      <c r="N68" t="str">
        <v>1.95400</v>
      </c>
      <c r="O68" t="str">
        <v>null</v>
      </c>
      <c r="P68" t="str">
        <v>13400.000</v>
      </c>
      <c r="Q68" t="str">
        <v>12912.000</v>
      </c>
      <c r="R68" t="str">
        <v>0.000</v>
      </c>
      <c r="S68" t="str">
        <v>453.000</v>
      </c>
      <c r="T68" t="str">
        <v>453.000</v>
      </c>
      <c r="U68" t="str">
        <v>25742.000</v>
      </c>
      <c r="V68" t="str">
        <v>51058.522</v>
      </c>
      <c r="W68" t="str">
        <v>0.88612736660929432014</v>
      </c>
      <c r="X68" t="str">
        <v>34.7336884353741497</v>
      </c>
      <c r="Y68" t="str">
        <v>34.7336884353741497</v>
      </c>
      <c r="Z68" t="str">
        <v>0.88613</v>
      </c>
      <c r="AA68" t="str">
        <v>1470.00000</v>
      </c>
      <c r="AB68" t="str">
        <v>36990-SOLER SURIOL SCP-2</v>
      </c>
    </row>
    <row r="69" spans="1:28" x14ac:dyDescent="0.25">
      <c r="A69" t="str">
        <v>2025-10-16</v>
      </c>
      <c r="B69" t="str">
        <v>36990-SOLER SURIOL SCP-2-L:034-N:1-A:A13-POLLO AMARILLO MACHO</v>
      </c>
      <c r="C69" t="str">
        <v>POLLO AMARILLO MACHO</v>
      </c>
      <c r="D69" t="str">
        <v>3</v>
      </c>
      <c r="E69" t="str">
        <v>Broiler Amarillo</v>
      </c>
      <c r="F69" t="str">
        <v>34</v>
      </c>
      <c r="G69" t="str">
        <v>2025-09-12</v>
      </c>
      <c r="H69" t="str">
        <v>0</v>
      </c>
      <c r="I69" t="str">
        <v>Abierto</v>
      </c>
      <c r="J69" t="str">
        <v>2.13100</v>
      </c>
      <c r="K69" t="str">
        <v>2.17111</v>
      </c>
      <c r="L69" t="str">
        <v>null</v>
      </c>
      <c r="M69" t="str">
        <v>null</v>
      </c>
      <c r="N69" t="str">
        <v>1.95400</v>
      </c>
      <c r="O69" t="str">
        <v>null</v>
      </c>
      <c r="P69" t="str">
        <v>6700.000</v>
      </c>
      <c r="Q69" t="str">
        <v>6465.000</v>
      </c>
      <c r="R69" t="str">
        <v>0.000</v>
      </c>
      <c r="S69" t="str">
        <v>215.000</v>
      </c>
      <c r="T69" t="str">
        <v>215.000</v>
      </c>
      <c r="U69" t="str">
        <v>12940.000</v>
      </c>
      <c r="V69" t="str">
        <v>25593.790</v>
      </c>
      <c r="W69" t="str">
        <v>0.93497109826589595376</v>
      </c>
      <c r="X69" t="str">
        <v>36.5625571428571429</v>
      </c>
      <c r="Y69" t="str">
        <v>36.5625571428571429</v>
      </c>
      <c r="Z69" t="str">
        <v>0.93497</v>
      </c>
      <c r="AA69" t="str">
        <v>700.00000</v>
      </c>
      <c r="AB69" t="str">
        <v>36990-SOLER SURIOL SCP-2</v>
      </c>
    </row>
    <row r="70" spans="1:28" x14ac:dyDescent="0.25">
      <c r="A70" t="str">
        <v>2025-10-16</v>
      </c>
      <c r="B70" t="str">
        <v>36967-BLAI PONS COLL (Culleré)-L:037-N:1-A:A15-POLLO AMARILLO MIXTO</v>
      </c>
      <c r="C70" t="str">
        <v>POLLO AMARILLO MIXTO</v>
      </c>
      <c r="D70" t="str">
        <v>3</v>
      </c>
      <c r="E70" t="str">
        <v>Broiler Amarillo</v>
      </c>
      <c r="F70" t="str">
        <v>34</v>
      </c>
      <c r="G70" t="str">
        <v>2025-09-12</v>
      </c>
      <c r="H70" t="str">
        <v>0</v>
      </c>
      <c r="I70" t="str">
        <v>Abierto</v>
      </c>
      <c r="J70" t="str">
        <v>2.12700</v>
      </c>
      <c r="K70" t="str">
        <v>2.18957</v>
      </c>
      <c r="L70" t="str">
        <v>null</v>
      </c>
      <c r="M70" t="str">
        <v>null</v>
      </c>
      <c r="N70" t="str">
        <v>1.83800</v>
      </c>
      <c r="O70" t="str">
        <v>null</v>
      </c>
      <c r="P70" t="str">
        <v>22000.000</v>
      </c>
      <c r="Q70" t="str">
        <v>21960.000</v>
      </c>
      <c r="R70" t="str">
        <v>0.000</v>
      </c>
      <c r="S70" t="str">
        <v>25.000</v>
      </c>
      <c r="T70" t="str">
        <v>25.000</v>
      </c>
      <c r="U70" t="str">
        <v>21960.000</v>
      </c>
      <c r="V70" t="str">
        <v>46708.920</v>
      </c>
      <c r="W70" t="str">
        <v>1.09800000000000000000</v>
      </c>
      <c r="X70" t="str">
        <v>38.9241000000000000</v>
      </c>
      <c r="Y70" t="str">
        <v>38.9241000000000000</v>
      </c>
      <c r="Z70" t="str">
        <v>1.09800</v>
      </c>
      <c r="AA70" t="str">
        <v>1200.00000</v>
      </c>
      <c r="AB70" t="str">
        <v>36967-BLAI PONS COLL (Culleré)</v>
      </c>
    </row>
    <row r="71" spans="1:28" x14ac:dyDescent="0.25">
      <c r="A71" t="str">
        <v>2025-10-16</v>
      </c>
      <c r="B71" t="str">
        <v>36967-BLAI PONS COLL (Culleré)-L:037-N:2-A:A15-POLLO AMARILLO MIXTO</v>
      </c>
      <c r="C71" t="str">
        <v>POLLO AMARILLO MIXTO</v>
      </c>
      <c r="D71" t="str">
        <v>3</v>
      </c>
      <c r="E71" t="str">
        <v>Broiler Amarillo</v>
      </c>
      <c r="F71" t="str">
        <v>34</v>
      </c>
      <c r="G71" t="str">
        <v>2025-09-12</v>
      </c>
      <c r="H71" t="str">
        <v>0</v>
      </c>
      <c r="I71" t="str">
        <v>Abierto</v>
      </c>
      <c r="J71" t="str">
        <v>2.12700</v>
      </c>
      <c r="K71" t="str">
        <v>2.18957</v>
      </c>
      <c r="L71" t="str">
        <v>null</v>
      </c>
      <c r="M71" t="str">
        <v>null</v>
      </c>
      <c r="N71" t="str">
        <v>1.83800</v>
      </c>
      <c r="O71" t="str">
        <v>null</v>
      </c>
      <c r="P71" t="str">
        <v>22000.000</v>
      </c>
      <c r="Q71" t="str">
        <v>21244.000</v>
      </c>
      <c r="R71" t="str">
        <v>0.000</v>
      </c>
      <c r="S71" t="str">
        <v>741.000</v>
      </c>
      <c r="T71" t="str">
        <v>741.000</v>
      </c>
      <c r="U71" t="str">
        <v>21244.000</v>
      </c>
      <c r="V71" t="str">
        <v>45185.988</v>
      </c>
      <c r="W71" t="str">
        <v>1.06220000000000000000</v>
      </c>
      <c r="X71" t="str">
        <v>37.6549900000000000</v>
      </c>
      <c r="Y71" t="str">
        <v>37.6549900000000000</v>
      </c>
      <c r="Z71" t="str">
        <v>1.06220</v>
      </c>
      <c r="AA71" t="str">
        <v>1200.00000</v>
      </c>
      <c r="AB71" t="str">
        <v>36967-BLAI PONS COLL (Culleré)</v>
      </c>
    </row>
    <row r="72" spans="1:28" x14ac:dyDescent="0.25">
      <c r="A72" t="str">
        <v>2025-10-16</v>
      </c>
      <c r="B72" t="str">
        <v>36990-SOLER SURIOL SCP-2-L:034-N:3-A:A13-POLLO AMARILLO MACHO</v>
      </c>
      <c r="C72" t="str">
        <v>POLLO AMARILLO MACHO</v>
      </c>
      <c r="D72" t="str">
        <v>3</v>
      </c>
      <c r="E72" t="str">
        <v>Broiler Amarillo</v>
      </c>
      <c r="F72" t="str">
        <v>34</v>
      </c>
      <c r="G72" t="str">
        <v>2025-09-12</v>
      </c>
      <c r="H72" t="str">
        <v>0</v>
      </c>
      <c r="I72" t="str">
        <v>Abierto</v>
      </c>
      <c r="J72" t="str">
        <v>2.11100</v>
      </c>
      <c r="K72" t="str">
        <v>2.14659</v>
      </c>
      <c r="L72" t="str">
        <v>null</v>
      </c>
      <c r="M72" t="str">
        <v>null</v>
      </c>
      <c r="N72" t="str">
        <v>1.95400</v>
      </c>
      <c r="O72" t="str">
        <v>null</v>
      </c>
      <c r="P72" t="str">
        <v>13300.000</v>
      </c>
      <c r="Q72" t="str">
        <v>12924.000</v>
      </c>
      <c r="R72" t="str">
        <v>0.000</v>
      </c>
      <c r="S72" t="str">
        <v>346.000</v>
      </c>
      <c r="T72" t="str">
        <v>346.000</v>
      </c>
      <c r="U72" t="str">
        <v>25948.000</v>
      </c>
      <c r="V72" t="str">
        <v>51702.564</v>
      </c>
      <c r="W72" t="str">
        <v>0.89321858864027538726</v>
      </c>
      <c r="X72" t="str">
        <v>35.1718122448979592</v>
      </c>
      <c r="Y72" t="str">
        <v>35.1718122448979592</v>
      </c>
      <c r="Z72" t="str">
        <v>0.89322</v>
      </c>
      <c r="AA72" t="str">
        <v>1470.00000</v>
      </c>
      <c r="AB72" t="str">
        <v>36990-SOLER SURIOL SCP-2</v>
      </c>
    </row>
    <row r="73" spans="1:28" x14ac:dyDescent="0.25">
      <c r="A73" t="str">
        <v>2025-10-16</v>
      </c>
      <c r="B73" t="str">
        <v>36786-BONFILL SABATE JOAQUIN-L:089-N:2-A:A14-POLLO AMARILLO HEMBRAS</v>
      </c>
      <c r="C73" t="str">
        <v>POLLO AMARILLO HEMBRAS</v>
      </c>
      <c r="D73" t="str">
        <v>3</v>
      </c>
      <c r="E73" t="str">
        <v>Broiler Amarillo</v>
      </c>
      <c r="F73" t="str">
        <v>38</v>
      </c>
      <c r="G73" t="str">
        <v>2025-09-08</v>
      </c>
      <c r="H73" t="str">
        <v>0</v>
      </c>
      <c r="I73" t="str">
        <v>Abierto</v>
      </c>
      <c r="J73" t="str">
        <v>2.10900</v>
      </c>
      <c r="K73" t="str">
        <v>2.15468</v>
      </c>
      <c r="L73" t="str">
        <v>null</v>
      </c>
      <c r="M73" t="str">
        <v>null</v>
      </c>
      <c r="N73" t="str">
        <v>2.01500</v>
      </c>
      <c r="O73" t="str">
        <v>null</v>
      </c>
      <c r="P73" t="str">
        <v>21000.000</v>
      </c>
      <c r="Q73" t="str">
        <v>20821.000</v>
      </c>
      <c r="R73" t="str">
        <v>0.000</v>
      </c>
      <c r="S73" t="str">
        <v>179.000</v>
      </c>
      <c r="T73" t="str">
        <v>179.000</v>
      </c>
      <c r="U73" t="str">
        <v>41689.000</v>
      </c>
      <c r="V73" t="str">
        <v>93556.461</v>
      </c>
      <c r="W73" t="str">
        <v>3.3086507936507937</v>
      </c>
      <c r="X73" t="str">
        <v>116.3637574626865672</v>
      </c>
      <c r="Y73" t="str">
        <v>116.3637574626865672</v>
      </c>
      <c r="Z73" t="str">
        <v>3.30865</v>
      </c>
      <c r="AA73" t="str">
        <v>804.00000</v>
      </c>
      <c r="AB73" t="str">
        <v>36786-BONFILL SABATE JOAQUIN</v>
      </c>
    </row>
    <row r="74" spans="1:28" x14ac:dyDescent="0.25">
      <c r="A74" t="str">
        <v>2025-10-16</v>
      </c>
      <c r="B74" t="str">
        <v>36786-BONFILL SABATE JOAQUIN-L:089-N:1-A:A14-POLLO AMARILLO HEMBRAS</v>
      </c>
      <c r="C74" t="str">
        <v>POLLO AMARILLO HEMBRAS</v>
      </c>
      <c r="D74" t="str">
        <v>3</v>
      </c>
      <c r="E74" t="str">
        <v>Broiler Amarillo</v>
      </c>
      <c r="F74" t="str">
        <v>38</v>
      </c>
      <c r="G74" t="str">
        <v>2025-09-08</v>
      </c>
      <c r="H74" t="str">
        <v>0</v>
      </c>
      <c r="I74" t="str">
        <v>Abierto</v>
      </c>
      <c r="J74" t="str">
        <v>2.09900</v>
      </c>
      <c r="K74" t="str">
        <v>2.13980</v>
      </c>
      <c r="L74" t="str">
        <v>null</v>
      </c>
      <c r="M74" t="str">
        <v>null</v>
      </c>
      <c r="N74" t="str">
        <v>2.01500</v>
      </c>
      <c r="O74" t="str">
        <v>null</v>
      </c>
      <c r="P74" t="str">
        <v>6500.000</v>
      </c>
      <c r="Q74" t="str">
        <v>6283.000</v>
      </c>
      <c r="R74" t="str">
        <v>0.000</v>
      </c>
      <c r="S74" t="str">
        <v>217.000</v>
      </c>
      <c r="T74" t="str">
        <v>217.000</v>
      </c>
      <c r="U74" t="str">
        <v>12506.000</v>
      </c>
      <c r="V74" t="str">
        <v>27899.189</v>
      </c>
      <c r="W74" t="str">
        <v>0.29565011820330969267</v>
      </c>
      <c r="X74" t="str">
        <v>10.3330329629629630</v>
      </c>
      <c r="Y74" t="str">
        <v>10.3330329629629630</v>
      </c>
      <c r="Z74" t="str">
        <v>0.29565</v>
      </c>
      <c r="AA74" t="str">
        <v>2700.00000</v>
      </c>
      <c r="AB74" t="str">
        <v>36786-BONFILL SABATE JOAQUIN</v>
      </c>
    </row>
    <row r="75" spans="1:28" x14ac:dyDescent="0.25">
      <c r="A75" t="str">
        <v>2025-10-16</v>
      </c>
      <c r="B75" t="str">
        <v>36843-ESPINET SOLE, JOSEP MARIA-L:081-N:4-A:A14-POLLO AMARILLO HEMBRAS</v>
      </c>
      <c r="C75" t="str">
        <v>POLLO AMARILLO HEMBRAS</v>
      </c>
      <c r="D75" t="str">
        <v>3</v>
      </c>
      <c r="E75" t="str">
        <v>Broiler Amarillo</v>
      </c>
      <c r="F75" t="str">
        <v>38</v>
      </c>
      <c r="G75" t="str">
        <v>2025-09-08</v>
      </c>
      <c r="H75" t="str">
        <v>0</v>
      </c>
      <c r="I75" t="str">
        <v>Abierto</v>
      </c>
      <c r="J75" t="str">
        <v>2.01500</v>
      </c>
      <c r="K75" t="str">
        <v>2.01500</v>
      </c>
      <c r="L75" t="str">
        <v>null</v>
      </c>
      <c r="M75" t="str">
        <v>null</v>
      </c>
      <c r="N75" t="str">
        <v>2.01500</v>
      </c>
      <c r="O75" t="str">
        <v>null</v>
      </c>
      <c r="P75" t="str">
        <v>7500.000</v>
      </c>
      <c r="Q75" t="str">
        <v>3139.000</v>
      </c>
      <c r="R75" t="str">
        <v>-4050.000</v>
      </c>
      <c r="S75" t="str">
        <v>271.000</v>
      </c>
      <c r="T75" t="str">
        <v>271.000</v>
      </c>
      <c r="U75" t="str">
        <v>10338.000</v>
      </c>
      <c r="V75" t="str">
        <v>22983.571</v>
      </c>
      <c r="W75" t="str">
        <v>0.72041811846689895470</v>
      </c>
      <c r="X75" t="str">
        <v>23.7925165631469979</v>
      </c>
      <c r="Y75" t="str">
        <v>23.7925165631469979</v>
      </c>
      <c r="Z75" t="str">
        <v>0.72042</v>
      </c>
      <c r="AA75" t="str">
        <v>966.00000</v>
      </c>
      <c r="AB75" t="str">
        <v>36843-ESPINET SOLE, JOSEP MARIA</v>
      </c>
    </row>
    <row r="76" spans="1:28" x14ac:dyDescent="0.25">
      <c r="A76" t="str">
        <v>2025-10-16</v>
      </c>
      <c r="B76" t="str">
        <v>36843-ESPINET SOLE, JOSEP MARIA-L:081-N:3-A:A14-POLLO AMARILLO HEMBRAS</v>
      </c>
      <c r="C76" t="str">
        <v>POLLO AMARILLO HEMBRAS</v>
      </c>
      <c r="D76" t="str">
        <v>3</v>
      </c>
      <c r="E76" t="str">
        <v>Broiler Amarillo</v>
      </c>
      <c r="F76" t="str">
        <v>38</v>
      </c>
      <c r="G76" t="str">
        <v>2025-09-08</v>
      </c>
      <c r="H76" t="str">
        <v>0</v>
      </c>
      <c r="I76" t="str">
        <v>Abierto</v>
      </c>
      <c r="J76" t="str">
        <v>2.01500</v>
      </c>
      <c r="K76" t="str">
        <v>2.01500</v>
      </c>
      <c r="L76" t="str">
        <v>null</v>
      </c>
      <c r="M76" t="str">
        <v>null</v>
      </c>
      <c r="N76" t="str">
        <v>2.01500</v>
      </c>
      <c r="O76" t="str">
        <v>null</v>
      </c>
      <c r="P76" t="str">
        <v>7000.000</v>
      </c>
      <c r="Q76" t="str">
        <v>2838.000</v>
      </c>
      <c r="R76" t="str">
        <v>-4050.000</v>
      </c>
      <c r="S76" t="str">
        <v>92.000</v>
      </c>
      <c r="T76" t="str">
        <v>92.000</v>
      </c>
      <c r="U76" t="str">
        <v>9706.000</v>
      </c>
      <c r="V76" t="str">
        <v>21611.122</v>
      </c>
      <c r="W76" t="str">
        <v>0.71795251128042014942</v>
      </c>
      <c r="X76" t="str">
        <v>23.7484857142857143</v>
      </c>
      <c r="Y76" t="str">
        <v>23.7484857142857143</v>
      </c>
      <c r="Z76" t="str">
        <v>0.71795</v>
      </c>
      <c r="AA76" t="str">
        <v>910.00000</v>
      </c>
      <c r="AB76" t="str">
        <v>36843-ESPINET SOLE, JOSEP MARIA</v>
      </c>
    </row>
    <row r="77" spans="1:28" x14ac:dyDescent="0.25">
      <c r="A77" t="str">
        <v>2025-10-16</v>
      </c>
      <c r="B77" t="str">
        <v>36843-ESPINET SOLE, JOSEP MARIA-L:081-N:1-A:A14-POLLO AMARILLO HEMBRAS</v>
      </c>
      <c r="C77" t="str">
        <v>POLLO AMARILLO HEMBRAS</v>
      </c>
      <c r="D77" t="str">
        <v>3</v>
      </c>
      <c r="E77" t="str">
        <v>Broiler Amarillo</v>
      </c>
      <c r="F77" t="str">
        <v>38</v>
      </c>
      <c r="G77" t="str">
        <v>2025-09-08</v>
      </c>
      <c r="H77" t="str">
        <v>0</v>
      </c>
      <c r="I77" t="str">
        <v>Abierto</v>
      </c>
      <c r="J77" t="str">
        <v>2.01500</v>
      </c>
      <c r="K77" t="str">
        <v>2.01500</v>
      </c>
      <c r="L77" t="str">
        <v>null</v>
      </c>
      <c r="M77" t="str">
        <v>null</v>
      </c>
      <c r="N77" t="str">
        <v>2.01500</v>
      </c>
      <c r="O77" t="str">
        <v>null</v>
      </c>
      <c r="P77" t="str">
        <v>7000.000</v>
      </c>
      <c r="Q77" t="str">
        <v>2698.000</v>
      </c>
      <c r="R77" t="str">
        <v>-4050.000</v>
      </c>
      <c r="S77" t="str">
        <v>232.000</v>
      </c>
      <c r="T77" t="str">
        <v>232.000</v>
      </c>
      <c r="U77" t="str">
        <v>9416.000</v>
      </c>
      <c r="V77" t="str">
        <v>20981.922</v>
      </c>
      <c r="W77" t="str">
        <v>0.69644970414201183432</v>
      </c>
      <c r="X77" t="str">
        <v>23.0570571428571429</v>
      </c>
      <c r="Y77" t="str">
        <v>23.0570571428571429</v>
      </c>
      <c r="Z77" t="str">
        <v>0.69645</v>
      </c>
      <c r="AA77" t="str">
        <v>910.00000</v>
      </c>
      <c r="AB77" t="str">
        <v>36843-ESPINET SOLE, JOSEP MARIA</v>
      </c>
    </row>
    <row r="78" spans="1:28" x14ac:dyDescent="0.25">
      <c r="A78" t="str">
        <v>2025-10-16</v>
      </c>
      <c r="B78" t="str">
        <v>36843-ESPINET SOLE, JOSEP MARIA-L:081-N:2-A:A14-POLLO AMARILLO HEMBRAS</v>
      </c>
      <c r="C78" t="str">
        <v>POLLO AMARILLO HEMBRAS</v>
      </c>
      <c r="D78" t="str">
        <v>3</v>
      </c>
      <c r="E78" t="str">
        <v>Broiler Amarillo</v>
      </c>
      <c r="F78" t="str">
        <v>38</v>
      </c>
      <c r="G78" t="str">
        <v>2025-09-08</v>
      </c>
      <c r="H78" t="str">
        <v>0</v>
      </c>
      <c r="I78" t="str">
        <v>Abierto</v>
      </c>
      <c r="J78" t="str">
        <v>2.01500</v>
      </c>
      <c r="K78" t="str">
        <v>2.01500</v>
      </c>
      <c r="L78" t="str">
        <v>null</v>
      </c>
      <c r="M78" t="str">
        <v>null</v>
      </c>
      <c r="N78" t="str">
        <v>2.01500</v>
      </c>
      <c r="O78" t="str">
        <v>null</v>
      </c>
      <c r="P78" t="str">
        <v>7500.000</v>
      </c>
      <c r="Q78" t="str">
        <v>3347.000</v>
      </c>
      <c r="R78" t="str">
        <v>-4050.000</v>
      </c>
      <c r="S78" t="str">
        <v>73.000</v>
      </c>
      <c r="T78" t="str">
        <v>73.000</v>
      </c>
      <c r="U78" t="str">
        <v>10673.000</v>
      </c>
      <c r="V78" t="str">
        <v>23696.569</v>
      </c>
      <c r="W78" t="str">
        <v>0.74840474020054694622</v>
      </c>
      <c r="X78" t="str">
        <v>24.6839260416666667</v>
      </c>
      <c r="Y78" t="str">
        <v>24.6839260416666667</v>
      </c>
      <c r="Z78" t="str">
        <v>0.74840</v>
      </c>
      <c r="AA78" t="str">
        <v>960.00000</v>
      </c>
      <c r="AB78" t="str">
        <v>36843-ESPINET SOLE, JOSEP MARIA</v>
      </c>
    </row>
    <row r="79" spans="1:28" x14ac:dyDescent="0.25">
      <c r="A79" t="str">
        <v>2025-10-16</v>
      </c>
      <c r="B79" t="str">
        <v>36029-CAMÍ DE FLIX - MATEU JOVE LLUIS-2-L:029-N:1-A:A14-POLLO AMARILLO HEMBRAS</v>
      </c>
      <c r="C79" t="str">
        <v>POLLO AMARILLO HEMBRAS</v>
      </c>
      <c r="D79" t="str">
        <v>3</v>
      </c>
      <c r="E79" t="str">
        <v>Broiler Amarillo</v>
      </c>
      <c r="F79" t="str">
        <v>37</v>
      </c>
      <c r="G79" t="str">
        <v>2025-09-09</v>
      </c>
      <c r="H79" t="str">
        <v>0</v>
      </c>
      <c r="I79" t="str">
        <v>Abierto</v>
      </c>
      <c r="J79" t="str">
        <v>1.94300</v>
      </c>
      <c r="K79" t="str">
        <v>1.94300</v>
      </c>
      <c r="L79" t="str">
        <v>null</v>
      </c>
      <c r="M79" t="str">
        <v>null</v>
      </c>
      <c r="N79" t="str">
        <v>1.94300</v>
      </c>
      <c r="O79" t="str">
        <v>null</v>
      </c>
      <c r="P79" t="str">
        <v>8800.000</v>
      </c>
      <c r="Q79" t="str">
        <v>1388.000</v>
      </c>
      <c r="R79" t="str">
        <v>-7200.000</v>
      </c>
      <c r="S79" t="str">
        <v>196.000</v>
      </c>
      <c r="T79" t="str">
        <v>196.000</v>
      </c>
      <c r="U79" t="str">
        <v>10166.000</v>
      </c>
      <c r="V79" t="str">
        <v>25212.454</v>
      </c>
      <c r="W79" t="str">
        <v>0.56477777777777777778</v>
      </c>
      <c r="X79" t="str">
        <v>24.0118609523809524</v>
      </c>
      <c r="Y79" t="str">
        <v>24.0118609523809524</v>
      </c>
      <c r="Z79" t="str">
        <v>0.56478</v>
      </c>
      <c r="AA79" t="str">
        <v>1050.00000</v>
      </c>
      <c r="AB79" t="str">
        <v>36029-CAMÍ DE FLIX - MATEU JOVE LLUIS-2</v>
      </c>
    </row>
    <row r="80" spans="1:28" x14ac:dyDescent="0.25">
      <c r="A80" t="str">
        <v>2025-10-16</v>
      </c>
      <c r="B80" t="str">
        <v>36990-SOLER SURIOL SCP-2-L:034-N:3-A:A14-POLLO AMARILLO HEMBRAS</v>
      </c>
      <c r="C80" t="str">
        <v>POLLO AMARILLO HEMBRAS</v>
      </c>
      <c r="D80" t="str">
        <v>3</v>
      </c>
      <c r="E80" t="str">
        <v>Broiler Amarillo</v>
      </c>
      <c r="F80" t="str">
        <v>34</v>
      </c>
      <c r="G80" t="str">
        <v>2025-09-12</v>
      </c>
      <c r="H80" t="str">
        <v>0</v>
      </c>
      <c r="I80" t="str">
        <v>Abierto</v>
      </c>
      <c r="J80" t="str">
        <v>1.87500</v>
      </c>
      <c r="K80" t="str">
        <v>1.90619</v>
      </c>
      <c r="L80" t="str">
        <v>null</v>
      </c>
      <c r="M80" t="str">
        <v>null</v>
      </c>
      <c r="N80" t="str">
        <v>1.72400</v>
      </c>
      <c r="O80" t="str">
        <v>null</v>
      </c>
      <c r="P80" t="str">
        <v>13400.000</v>
      </c>
      <c r="Q80" t="str">
        <v>13024.000</v>
      </c>
      <c r="R80" t="str">
        <v>0.000</v>
      </c>
      <c r="S80" t="str">
        <v>361.000</v>
      </c>
      <c r="T80" t="str">
        <v>361.000</v>
      </c>
      <c r="U80" t="str">
        <v>25948.000</v>
      </c>
      <c r="V80" t="str">
        <v>51702.564</v>
      </c>
      <c r="W80" t="str">
        <v>0.89321858864027538726</v>
      </c>
      <c r="X80" t="str">
        <v>35.1718122448979592</v>
      </c>
      <c r="Y80" t="str">
        <v>35.1718122448979592</v>
      </c>
      <c r="Z80" t="str">
        <v>0.89322</v>
      </c>
      <c r="AA80" t="str">
        <v>1470.00000</v>
      </c>
      <c r="AB80" t="str">
        <v>36990-SOLER SURIOL SCP-2</v>
      </c>
    </row>
    <row r="81" spans="1:28" x14ac:dyDescent="0.25">
      <c r="A81" t="str">
        <v>2025-10-16</v>
      </c>
      <c r="B81" t="str">
        <v>36990-SOLER SURIOL SCP-2-L:034-N:2-A:A14-POLLO AMARILLO HEMBRAS</v>
      </c>
      <c r="C81" t="str">
        <v>POLLO AMARILLO HEMBRAS</v>
      </c>
      <c r="D81" t="str">
        <v>3</v>
      </c>
      <c r="E81" t="str">
        <v>Broiler Amarillo</v>
      </c>
      <c r="F81" t="str">
        <v>34</v>
      </c>
      <c r="G81" t="str">
        <v>2025-09-12</v>
      </c>
      <c r="H81" t="str">
        <v>0</v>
      </c>
      <c r="I81" t="str">
        <v>Abierto</v>
      </c>
      <c r="J81" t="str">
        <v>1.83500</v>
      </c>
      <c r="K81" t="str">
        <v>1.85792</v>
      </c>
      <c r="L81" t="str">
        <v>null</v>
      </c>
      <c r="M81" t="str">
        <v>null</v>
      </c>
      <c r="N81" t="str">
        <v>1.72400</v>
      </c>
      <c r="O81" t="str">
        <v>null</v>
      </c>
      <c r="P81" t="str">
        <v>13300.000</v>
      </c>
      <c r="Q81" t="str">
        <v>12830.000</v>
      </c>
      <c r="R81" t="str">
        <v>0.000</v>
      </c>
      <c r="S81" t="str">
        <v>450.000</v>
      </c>
      <c r="T81" t="str">
        <v>450.000</v>
      </c>
      <c r="U81" t="str">
        <v>25742.000</v>
      </c>
      <c r="V81" t="str">
        <v>51058.522</v>
      </c>
      <c r="W81" t="str">
        <v>0.88612736660929432014</v>
      </c>
      <c r="X81" t="str">
        <v>34.7336884353741497</v>
      </c>
      <c r="Y81" t="str">
        <v>34.7336884353741497</v>
      </c>
      <c r="Z81" t="str">
        <v>0.88613</v>
      </c>
      <c r="AA81" t="str">
        <v>1470.00000</v>
      </c>
      <c r="AB81" t="str">
        <v>36990-SOLER SURIOL SCP-2</v>
      </c>
    </row>
    <row r="82" spans="1:28" x14ac:dyDescent="0.25">
      <c r="A82" t="str">
        <v>2025-10-16</v>
      </c>
      <c r="B82" t="str">
        <v>36990-SOLER SURIOL SCP-2-L:034-N:1-A:A14-POLLO AMARILLO HEMBRAS</v>
      </c>
      <c r="C82" t="str">
        <v>POLLO AMARILLO HEMBRAS</v>
      </c>
      <c r="D82" t="str">
        <v>3</v>
      </c>
      <c r="E82" t="str">
        <v>Broiler Amarillo</v>
      </c>
      <c r="F82" t="str">
        <v>34</v>
      </c>
      <c r="G82" t="str">
        <v>2025-09-12</v>
      </c>
      <c r="H82" t="str">
        <v>0</v>
      </c>
      <c r="I82" t="str">
        <v>Abierto</v>
      </c>
      <c r="J82" t="str">
        <v>1.82500</v>
      </c>
      <c r="K82" t="str">
        <v>1.84585</v>
      </c>
      <c r="L82" t="str">
        <v>null</v>
      </c>
      <c r="M82" t="str">
        <v>null</v>
      </c>
      <c r="N82" t="str">
        <v>1.72400</v>
      </c>
      <c r="O82" t="str">
        <v>null</v>
      </c>
      <c r="P82" t="str">
        <v>6700.000</v>
      </c>
      <c r="Q82" t="str">
        <v>6475.000</v>
      </c>
      <c r="R82" t="str">
        <v>0.000</v>
      </c>
      <c r="S82" t="str">
        <v>215.000</v>
      </c>
      <c r="T82" t="str">
        <v>215.000</v>
      </c>
      <c r="U82" t="str">
        <v>12940.000</v>
      </c>
      <c r="V82" t="str">
        <v>25593.790</v>
      </c>
      <c r="W82" t="str">
        <v>0.93497109826589595376</v>
      </c>
      <c r="X82" t="str">
        <v>36.5625571428571429</v>
      </c>
      <c r="Y82" t="str">
        <v>36.5625571428571429</v>
      </c>
      <c r="Z82" t="str">
        <v>0.93497</v>
      </c>
      <c r="AA82" t="str">
        <v>700.00000</v>
      </c>
      <c r="AB82" t="str">
        <v>36990-SOLER SURIOL SCP-2</v>
      </c>
    </row>
    <row r="83" spans="1:28" x14ac:dyDescent="0.25">
      <c r="A83" t="str">
        <v>2025-10-16</v>
      </c>
      <c r="B83" t="str">
        <v>36736-RIBELLES SEGURA SCP-L:117-N:2-A:A13-POLLO AMARILLO MACHO</v>
      </c>
      <c r="C83" t="str">
        <v>POLLO AMARILLO MACHO</v>
      </c>
      <c r="D83" t="str">
        <v>3</v>
      </c>
      <c r="E83" t="str">
        <v>Broiler Amarillo</v>
      </c>
      <c r="F83" t="str">
        <v>30</v>
      </c>
      <c r="G83" t="str">
        <v>2025-09-16</v>
      </c>
      <c r="H83" t="str">
        <v>0</v>
      </c>
      <c r="I83" t="str">
        <v>Abierto</v>
      </c>
      <c r="J83" t="str">
        <v>1.81000</v>
      </c>
      <c r="K83" t="str">
        <v>1.96351</v>
      </c>
      <c r="L83" t="str">
        <v>null</v>
      </c>
      <c r="M83" t="str">
        <v>null</v>
      </c>
      <c r="N83" t="str">
        <v>1.59300</v>
      </c>
      <c r="O83" t="str">
        <v>null</v>
      </c>
      <c r="P83" t="str">
        <v>10500.000</v>
      </c>
      <c r="Q83" t="str">
        <v>10134.000</v>
      </c>
      <c r="R83" t="str">
        <v>0.000</v>
      </c>
      <c r="S83" t="str">
        <v>339.000</v>
      </c>
      <c r="T83" t="str">
        <v>339.000</v>
      </c>
      <c r="U83" t="str">
        <v>20169.000</v>
      </c>
      <c r="V83" t="str">
        <v>33997.140</v>
      </c>
      <c r="W83" t="str">
        <v>0.89640000000000000000</v>
      </c>
      <c r="X83" t="str">
        <v>26.8752094861660079</v>
      </c>
      <c r="Y83" t="str">
        <v>26.8752094861660079</v>
      </c>
      <c r="Z83" t="str">
        <v>0.89640</v>
      </c>
      <c r="AA83" t="str">
        <v>1265.00000</v>
      </c>
      <c r="AB83" t="str">
        <v>36736-RIBELLES SEGURA SCP</v>
      </c>
    </row>
    <row r="84" spans="1:28" x14ac:dyDescent="0.25">
      <c r="A84" t="str">
        <v>2025-10-16</v>
      </c>
      <c r="B84" t="str">
        <v>36736-RIBELLES SEGURA SCP-L:117-N:1-A:A13-POLLO AMARILLO MACHO</v>
      </c>
      <c r="C84" t="str">
        <v>POLLO AMARILLO MACHO</v>
      </c>
      <c r="D84" t="str">
        <v>3</v>
      </c>
      <c r="E84" t="str">
        <v>Broiler Amarillo</v>
      </c>
      <c r="F84" t="str">
        <v>30</v>
      </c>
      <c r="G84" t="str">
        <v>2025-09-16</v>
      </c>
      <c r="H84" t="str">
        <v>0</v>
      </c>
      <c r="I84" t="str">
        <v>Abierto</v>
      </c>
      <c r="J84" t="str">
        <v>1.76000</v>
      </c>
      <c r="K84" t="str">
        <v>1.87813</v>
      </c>
      <c r="L84" t="str">
        <v>null</v>
      </c>
      <c r="M84" t="str">
        <v>null</v>
      </c>
      <c r="N84" t="str">
        <v>1.59300</v>
      </c>
      <c r="O84" t="str">
        <v>null</v>
      </c>
      <c r="P84" t="str">
        <v>8300.000</v>
      </c>
      <c r="Q84" t="str">
        <v>8004.000</v>
      </c>
      <c r="R84" t="str">
        <v>0.000</v>
      </c>
      <c r="S84" t="str">
        <v>269.000</v>
      </c>
      <c r="T84" t="str">
        <v>269.000</v>
      </c>
      <c r="U84" t="str">
        <v>20182.000</v>
      </c>
      <c r="V84" t="str">
        <v>33084.720</v>
      </c>
      <c r="W84" t="str">
        <v>0.89697777777777777778</v>
      </c>
      <c r="X84" t="str">
        <v>26.1539288537549407</v>
      </c>
      <c r="Y84" t="str">
        <v>26.1539288537549407</v>
      </c>
      <c r="Z84" t="str">
        <v>0.89698</v>
      </c>
      <c r="AA84" t="str">
        <v>1265.00000</v>
      </c>
      <c r="AB84" t="str">
        <v>36736-RIBELLES SEGURA SCP</v>
      </c>
    </row>
    <row r="85" spans="1:28" x14ac:dyDescent="0.25">
      <c r="A85" t="str">
        <v>2025-10-16</v>
      </c>
      <c r="B85" t="str">
        <v>36991-PESSARRODONA AVIRAM SL-L:034-N:1-A:A13-POLLO AMARILLO MACHO</v>
      </c>
      <c r="C85" t="str">
        <v>POLLO AMARILLO MACHO</v>
      </c>
      <c r="D85" t="str">
        <v>3</v>
      </c>
      <c r="E85" t="str">
        <v>Broiler Amarillo</v>
      </c>
      <c r="F85" t="str">
        <v>30</v>
      </c>
      <c r="G85" t="str">
        <v>2025-09-16</v>
      </c>
      <c r="H85" t="str">
        <v>0</v>
      </c>
      <c r="I85" t="str">
        <v>Abierto</v>
      </c>
      <c r="J85" t="str">
        <v>1.74500</v>
      </c>
      <c r="K85" t="str">
        <v>1.87524</v>
      </c>
      <c r="L85" t="str">
        <v>null</v>
      </c>
      <c r="M85" t="str">
        <v>null</v>
      </c>
      <c r="N85" t="str">
        <v>1.59300</v>
      </c>
      <c r="O85" t="str">
        <v>null</v>
      </c>
      <c r="P85" t="str">
        <v>11700.000</v>
      </c>
      <c r="Q85" t="str">
        <v>11282.000</v>
      </c>
      <c r="R85" t="str">
        <v>0.000</v>
      </c>
      <c r="S85" t="str">
        <v>368.000</v>
      </c>
      <c r="T85" t="str">
        <v>368.000</v>
      </c>
      <c r="U85" t="str">
        <v>22686.000</v>
      </c>
      <c r="V85" t="str">
        <v>37066.786</v>
      </c>
      <c r="W85" t="str">
        <v>1.02535593220338983051</v>
      </c>
      <c r="X85" t="str">
        <v>26.4762757142857143</v>
      </c>
      <c r="Y85" t="str">
        <v>26.4762757142857143</v>
      </c>
      <c r="Z85" t="str">
        <v>1.02536</v>
      </c>
      <c r="AA85" t="str">
        <v>1400.00000</v>
      </c>
      <c r="AB85" t="str">
        <v>36991-PESSARRODONA AVIRAM SL</v>
      </c>
    </row>
    <row r="86" spans="1:28" x14ac:dyDescent="0.25">
      <c r="A86" t="str">
        <v>2025-10-16</v>
      </c>
      <c r="B86" t="str">
        <v>36016-SANFELIU IBAÑEZ EUGENI-L:030-N:2-A:A15-POLLO AMARILLO MIXTO</v>
      </c>
      <c r="C86" t="str">
        <v>POLLO AMARILLO MIXTO</v>
      </c>
      <c r="D86" t="str">
        <v>3</v>
      </c>
      <c r="E86" t="str">
        <v>Broiler Amarillo</v>
      </c>
      <c r="F86" t="str">
        <v>31</v>
      </c>
      <c r="G86" t="str">
        <v>2025-09-15</v>
      </c>
      <c r="H86" t="str">
        <v>0</v>
      </c>
      <c r="I86" t="str">
        <v>Abierto</v>
      </c>
      <c r="J86" t="str">
        <v>1.74100</v>
      </c>
      <c r="K86" t="str">
        <v>1.85528</v>
      </c>
      <c r="L86" t="str">
        <v>null</v>
      </c>
      <c r="M86" t="str">
        <v>null</v>
      </c>
      <c r="N86" t="str">
        <v>1.59200</v>
      </c>
      <c r="O86" t="str">
        <v>null</v>
      </c>
      <c r="P86" t="str">
        <v>30000.000</v>
      </c>
      <c r="Q86" t="str">
        <v>28992.000</v>
      </c>
      <c r="R86" t="str">
        <v>0.000</v>
      </c>
      <c r="S86" t="str">
        <v>978.000</v>
      </c>
      <c r="T86" t="str">
        <v>978.000</v>
      </c>
      <c r="U86" t="str">
        <v>28992.000</v>
      </c>
      <c r="V86" t="str">
        <v>50475.072</v>
      </c>
      <c r="W86" t="str">
        <v>1.05425454545454545455</v>
      </c>
      <c r="X86" t="str">
        <v>31.5469200000000000</v>
      </c>
      <c r="Y86" t="str">
        <v>31.5469200000000000</v>
      </c>
      <c r="Z86" t="str">
        <v>1.05425</v>
      </c>
      <c r="AA86" t="str">
        <v>1600.00000</v>
      </c>
      <c r="AB86" t="str">
        <v>36016-SANFELIU IBAÑEZ EUGENI</v>
      </c>
    </row>
    <row r="87" spans="1:28" x14ac:dyDescent="0.25">
      <c r="A87" t="str">
        <v>2025-10-16</v>
      </c>
      <c r="B87" t="str">
        <v>36991-PESSARRODONA AVIRAM SL-L:034-N:2-A:A13-POLLO AMARILLO MACHO</v>
      </c>
      <c r="C87" t="str">
        <v>POLLO AMARILLO MACHO</v>
      </c>
      <c r="D87" t="str">
        <v>3</v>
      </c>
      <c r="E87" t="str">
        <v>Broiler Amarillo</v>
      </c>
      <c r="F87" t="str">
        <v>30</v>
      </c>
      <c r="G87" t="str">
        <v>2025-09-16</v>
      </c>
      <c r="H87" t="str">
        <v>0</v>
      </c>
      <c r="I87" t="str">
        <v>Abierto</v>
      </c>
      <c r="J87" t="str">
        <v>1.73500</v>
      </c>
      <c r="K87" t="str">
        <v>1.85663</v>
      </c>
      <c r="L87" t="str">
        <v>null</v>
      </c>
      <c r="M87" t="str">
        <v>null</v>
      </c>
      <c r="N87" t="str">
        <v>1.59300</v>
      </c>
      <c r="O87" t="str">
        <v>null</v>
      </c>
      <c r="P87" t="str">
        <v>22600.000</v>
      </c>
      <c r="Q87" t="str">
        <v>21796.000</v>
      </c>
      <c r="R87" t="str">
        <v>0.000</v>
      </c>
      <c r="S87" t="str">
        <v>724.000</v>
      </c>
      <c r="T87" t="str">
        <v>724.000</v>
      </c>
      <c r="U87" t="str">
        <v>45084.000</v>
      </c>
      <c r="V87" t="str">
        <v>72841.212</v>
      </c>
      <c r="W87" t="str">
        <v>0.99053059430956827420</v>
      </c>
      <c r="X87" t="str">
        <v>25.2920875000000000</v>
      </c>
      <c r="Y87" t="str">
        <v>25.2920875000000000</v>
      </c>
      <c r="Z87" t="str">
        <v>0.99053</v>
      </c>
      <c r="AA87" t="str">
        <v>2880.00000</v>
      </c>
      <c r="AB87" t="str">
        <v>36991-PESSARRODONA AVIRAM SL</v>
      </c>
    </row>
    <row r="88" spans="1:28" x14ac:dyDescent="0.25">
      <c r="A88" t="str">
        <v>2025-10-16</v>
      </c>
      <c r="B88" t="str">
        <v>36387-AGROPECUARIA SAUS-L:090-N:4-A:A13-POLLO AMARILLO MACHO</v>
      </c>
      <c r="C88" t="str">
        <v>POLLO AMARILLO MACHO</v>
      </c>
      <c r="D88" t="str">
        <v>3</v>
      </c>
      <c r="E88" t="str">
        <v>Broiler Amarillo</v>
      </c>
      <c r="F88" t="str">
        <v>31</v>
      </c>
      <c r="G88" t="str">
        <v>2025-09-15</v>
      </c>
      <c r="H88" t="str">
        <v>0</v>
      </c>
      <c r="I88" t="str">
        <v>Abierto</v>
      </c>
      <c r="J88" t="str">
        <v>1.73300</v>
      </c>
      <c r="K88" t="str">
        <v>1.74245</v>
      </c>
      <c r="L88" t="str">
        <v>null</v>
      </c>
      <c r="M88" t="str">
        <v>null</v>
      </c>
      <c r="N88" t="str">
        <v>1.68200</v>
      </c>
      <c r="O88" t="str">
        <v>null</v>
      </c>
      <c r="P88" t="str">
        <v>9200.000</v>
      </c>
      <c r="Q88" t="str">
        <v>8992.000</v>
      </c>
      <c r="R88" t="str">
        <v>0.000</v>
      </c>
      <c r="S88" t="str">
        <v>200.000</v>
      </c>
      <c r="T88" t="str">
        <v>295.000</v>
      </c>
      <c r="U88" t="str">
        <v>17869.000</v>
      </c>
      <c r="V88" t="str">
        <v>29502.272</v>
      </c>
      <c r="W88" t="str">
        <v>0.97166938553561718325</v>
      </c>
      <c r="X88" t="str">
        <v>23.4145015873015873</v>
      </c>
      <c r="Y88" t="str">
        <v>23.4145015873015873</v>
      </c>
      <c r="Z88" t="str">
        <v>0.97167</v>
      </c>
      <c r="AA88" t="str">
        <v>1260.00000</v>
      </c>
      <c r="AB88" t="str">
        <v>36387-AGROPECUARIA SAUS</v>
      </c>
    </row>
    <row r="89" spans="1:28" x14ac:dyDescent="0.25">
      <c r="A89" t="str">
        <v>2025-10-16</v>
      </c>
      <c r="B89" t="str">
        <v>36967-BLAI PONS COLL (Culleré)-L:037-N:3-A:A14-POLLO AMARILLO HEMBRAS</v>
      </c>
      <c r="C89" t="str">
        <v>POLLO AMARILLO HEMBRAS</v>
      </c>
      <c r="D89" t="str">
        <v>3</v>
      </c>
      <c r="E89" t="str">
        <v>Broiler Amarillo</v>
      </c>
      <c r="F89" t="str">
        <v>34</v>
      </c>
      <c r="G89" t="str">
        <v>2025-09-12</v>
      </c>
      <c r="H89" t="str">
        <v>0</v>
      </c>
      <c r="I89" t="str">
        <v>Abierto</v>
      </c>
      <c r="J89" t="str">
        <v>1.72400</v>
      </c>
      <c r="K89" t="str">
        <v>1.72400</v>
      </c>
      <c r="L89" t="str">
        <v>null</v>
      </c>
      <c r="M89" t="str">
        <v>null</v>
      </c>
      <c r="N89" t="str">
        <v>1.72400</v>
      </c>
      <c r="O89" t="str">
        <v>null</v>
      </c>
      <c r="P89" t="str">
        <v>15400.000</v>
      </c>
      <c r="Q89" t="str">
        <v>15089.000</v>
      </c>
      <c r="R89" t="str">
        <v>0.000</v>
      </c>
      <c r="S89" t="str">
        <v>311.000</v>
      </c>
      <c r="T89" t="str">
        <v>311.000</v>
      </c>
      <c r="U89" t="str">
        <v>30158.000</v>
      </c>
      <c r="V89" t="str">
        <v>60687.205</v>
      </c>
      <c r="W89" t="str">
        <v>0.94243750000000000000</v>
      </c>
      <c r="X89" t="str">
        <v>33.7151138888888889</v>
      </c>
      <c r="Y89" t="str">
        <v>33.7151138888888889</v>
      </c>
      <c r="Z89" t="str">
        <v>0.94244</v>
      </c>
      <c r="AA89" t="str">
        <v>1800.00000</v>
      </c>
      <c r="AB89" t="str">
        <v>36967-BLAI PONS COLL (Culleré)</v>
      </c>
    </row>
    <row r="90" spans="1:28" x14ac:dyDescent="0.25">
      <c r="A90" t="str">
        <v>2025-10-16</v>
      </c>
      <c r="B90" t="str">
        <v>36387-AGROPECUARIA SAUS-L:090-N:3-A:A13-POLLO AMARILLO MACHO</v>
      </c>
      <c r="C90" t="str">
        <v>POLLO AMARILLO MACHO</v>
      </c>
      <c r="D90" t="str">
        <v>3</v>
      </c>
      <c r="E90" t="str">
        <v>Broiler Amarillo</v>
      </c>
      <c r="F90" t="str">
        <v>31</v>
      </c>
      <c r="G90" t="str">
        <v>2025-09-15</v>
      </c>
      <c r="H90" t="str">
        <v>0</v>
      </c>
      <c r="I90" t="str">
        <v>Abierto</v>
      </c>
      <c r="J90" t="str">
        <v>1.71300</v>
      </c>
      <c r="K90" t="str">
        <v>1.71873</v>
      </c>
      <c r="L90" t="str">
        <v>null</v>
      </c>
      <c r="M90" t="str">
        <v>null</v>
      </c>
      <c r="N90" t="str">
        <v>1.68200</v>
      </c>
      <c r="O90" t="str">
        <v>null</v>
      </c>
      <c r="P90" t="str">
        <v>9100.000</v>
      </c>
      <c r="Q90" t="str">
        <v>8845.000</v>
      </c>
      <c r="R90" t="str">
        <v>0.000</v>
      </c>
      <c r="S90" t="str">
        <v>250.000</v>
      </c>
      <c r="T90" t="str">
        <v>291.000</v>
      </c>
      <c r="U90" t="str">
        <v>17705.000</v>
      </c>
      <c r="V90" t="str">
        <v>28778.165</v>
      </c>
      <c r="W90" t="str">
        <v>0.96275149537792278412</v>
      </c>
      <c r="X90" t="str">
        <v>22.8398134920634921</v>
      </c>
      <c r="Y90" t="str">
        <v>22.8398134920634921</v>
      </c>
      <c r="Z90" t="str">
        <v>0.96275</v>
      </c>
      <c r="AA90" t="str">
        <v>1260.00000</v>
      </c>
      <c r="AB90" t="str">
        <v>36387-AGROPECUARIA SAUS</v>
      </c>
    </row>
    <row r="91" spans="1:28" x14ac:dyDescent="0.25">
      <c r="A91" t="str">
        <v>2025-10-16</v>
      </c>
      <c r="B91" t="str">
        <v>36016-SANFELIU IBAÑEZ EUGENI-L:030-N:1-A:A15-POLLO AMARILLO MIXTO</v>
      </c>
      <c r="C91" t="str">
        <v>POLLO AMARILLO MIXTO</v>
      </c>
      <c r="D91" t="str">
        <v>3</v>
      </c>
      <c r="E91" t="str">
        <v>Broiler Amarillo</v>
      </c>
      <c r="F91" t="str">
        <v>31</v>
      </c>
      <c r="G91" t="str">
        <v>2025-09-15</v>
      </c>
      <c r="H91" t="str">
        <v>0</v>
      </c>
      <c r="I91" t="str">
        <v>Abierto</v>
      </c>
      <c r="J91" t="str">
        <v>1.69100</v>
      </c>
      <c r="K91" t="str">
        <v>1.76692</v>
      </c>
      <c r="L91" t="str">
        <v>null</v>
      </c>
      <c r="M91" t="str">
        <v>null</v>
      </c>
      <c r="N91" t="str">
        <v>1.59200</v>
      </c>
      <c r="O91" t="str">
        <v>null</v>
      </c>
      <c r="P91" t="str">
        <v>30000.000</v>
      </c>
      <c r="Q91" t="str">
        <v>28992.000</v>
      </c>
      <c r="R91" t="str">
        <v>0.000</v>
      </c>
      <c r="S91" t="str">
        <v>978.000</v>
      </c>
      <c r="T91" t="str">
        <v>978.000</v>
      </c>
      <c r="U91" t="str">
        <v>28992.000</v>
      </c>
      <c r="V91" t="str">
        <v>49025.472</v>
      </c>
      <c r="W91" t="str">
        <v>1.05425454545454545455</v>
      </c>
      <c r="X91" t="str">
        <v>30.2626370370370370</v>
      </c>
      <c r="Y91" t="str">
        <v>30.2626370370370370</v>
      </c>
      <c r="Z91" t="str">
        <v>1.05425</v>
      </c>
      <c r="AA91" t="str">
        <v>1620.00000</v>
      </c>
      <c r="AB91" t="str">
        <v>36016-SANFELIU IBAÑEZ EUGENI</v>
      </c>
    </row>
    <row r="92" spans="1:28" x14ac:dyDescent="0.25">
      <c r="A92" t="str">
        <v>2025-10-16</v>
      </c>
      <c r="B92" t="str">
        <v>36387-AGROPECUARIA SAUS-L:090-N:1-A:A15-POLLO AMARILLO MIXTO</v>
      </c>
      <c r="C92" t="str">
        <v>POLLO AMARILLO MIXTO</v>
      </c>
      <c r="D92" t="str">
        <v>3</v>
      </c>
      <c r="E92" t="str">
        <v>Broiler Amarillo</v>
      </c>
      <c r="F92" t="str">
        <v>31</v>
      </c>
      <c r="G92" t="str">
        <v>2025-09-15</v>
      </c>
      <c r="H92" t="str">
        <v>0</v>
      </c>
      <c r="I92" t="str">
        <v>Abierto</v>
      </c>
      <c r="J92" t="str">
        <v>1.64100</v>
      </c>
      <c r="K92" t="str">
        <v>1.64974</v>
      </c>
      <c r="L92" t="str">
        <v>null</v>
      </c>
      <c r="M92" t="str">
        <v>null</v>
      </c>
      <c r="N92" t="str">
        <v>1.59200</v>
      </c>
      <c r="O92" t="str">
        <v>null</v>
      </c>
      <c r="P92" t="str">
        <v>19440.000</v>
      </c>
      <c r="Q92" t="str">
        <v>18710.000</v>
      </c>
      <c r="R92" t="str">
        <v>0.000</v>
      </c>
      <c r="S92" t="str">
        <v>720.000</v>
      </c>
      <c r="T92" t="str">
        <v>0.000</v>
      </c>
      <c r="U92" t="str">
        <v>18710.000</v>
      </c>
      <c r="V92" t="str">
        <v>30703.110</v>
      </c>
      <c r="W92" t="str">
        <v>0.97906855049712192569</v>
      </c>
      <c r="X92" t="str">
        <v>23.4374885496183206</v>
      </c>
      <c r="Y92" t="str">
        <v>23.4374885496183206</v>
      </c>
      <c r="Z92" t="str">
        <v>0.97907</v>
      </c>
      <c r="AA92" t="str">
        <v>1310.00000</v>
      </c>
      <c r="AB92" t="str">
        <v>36387-AGROPECUARIA SAUS</v>
      </c>
    </row>
    <row r="93" spans="1:28" x14ac:dyDescent="0.25">
      <c r="A93" t="str">
        <v>2025-10-16</v>
      </c>
      <c r="B93" t="str">
        <v>36387-AGROPECUARIA SAUS-L:090-N:2-A:A15-POLLO AMARILLO MIXTO</v>
      </c>
      <c r="C93" t="str">
        <v>POLLO AMARILLO MIXTO</v>
      </c>
      <c r="D93" t="str">
        <v>3</v>
      </c>
      <c r="E93" t="str">
        <v>Broiler Amarillo</v>
      </c>
      <c r="F93" t="str">
        <v>31</v>
      </c>
      <c r="G93" t="str">
        <v>2025-09-15</v>
      </c>
      <c r="H93" t="str">
        <v>0</v>
      </c>
      <c r="I93" t="str">
        <v>Abierto</v>
      </c>
      <c r="J93" t="str">
        <v>1.58100</v>
      </c>
      <c r="K93" t="str">
        <v>1.57904</v>
      </c>
      <c r="L93" t="str">
        <v>null</v>
      </c>
      <c r="M93" t="str">
        <v>null</v>
      </c>
      <c r="N93" t="str">
        <v>1.59200</v>
      </c>
      <c r="O93" t="str">
        <v>null</v>
      </c>
      <c r="P93" t="str">
        <v>19440.000</v>
      </c>
      <c r="Q93" t="str">
        <v>18085.000</v>
      </c>
      <c r="R93" t="str">
        <v>0.000</v>
      </c>
      <c r="S93" t="str">
        <v>1350.000</v>
      </c>
      <c r="T93" t="str">
        <v>95.000</v>
      </c>
      <c r="U93" t="str">
        <v>18085.000</v>
      </c>
      <c r="V93" t="str">
        <v>28592.385</v>
      </c>
      <c r="W93" t="str">
        <v>0.94636316064887493459</v>
      </c>
      <c r="X93" t="str">
        <v>21.8262480916030534</v>
      </c>
      <c r="Y93" t="str">
        <v>21.8262480916030534</v>
      </c>
      <c r="Z93" t="str">
        <v>0.94636</v>
      </c>
      <c r="AA93" t="str">
        <v>1310.00000</v>
      </c>
      <c r="AB93" t="str">
        <v>36387-AGROPECUARIA SAUS</v>
      </c>
    </row>
    <row r="94" spans="1:28" x14ac:dyDescent="0.25">
      <c r="A94" t="str">
        <v>2025-10-16</v>
      </c>
      <c r="B94" t="str">
        <v>36526-FARRUS FARRAN ANTONIO-L:148-N:1-A:A15-POLLO AMARILLO MIXTO</v>
      </c>
      <c r="C94" t="str">
        <v>POLLO AMARILLO MIXTO</v>
      </c>
      <c r="D94" t="str">
        <v>3</v>
      </c>
      <c r="E94" t="str">
        <v>Broiler Amarillo</v>
      </c>
      <c r="F94" t="str">
        <v>29</v>
      </c>
      <c r="G94" t="str">
        <v>2025-09-17</v>
      </c>
      <c r="H94" t="str">
        <v>0</v>
      </c>
      <c r="I94" t="str">
        <v>Abierto</v>
      </c>
      <c r="J94" t="str">
        <v>1.58000</v>
      </c>
      <c r="K94" t="str">
        <v>2.41811</v>
      </c>
      <c r="L94" t="str">
        <v>null</v>
      </c>
      <c r="M94" t="str">
        <v>null</v>
      </c>
      <c r="N94" t="str">
        <v>1.43100</v>
      </c>
      <c r="O94" t="str">
        <v>null</v>
      </c>
      <c r="P94" t="str">
        <v>12500.000</v>
      </c>
      <c r="Q94" t="str">
        <v>11962.000</v>
      </c>
      <c r="R94" t="str">
        <v>0.000</v>
      </c>
      <c r="S94" t="str">
        <v>391.000</v>
      </c>
      <c r="T94" t="str">
        <v>391.000</v>
      </c>
      <c r="U94" t="str">
        <v>11962.000</v>
      </c>
      <c r="V94" t="str">
        <v>18899.960</v>
      </c>
      <c r="W94" t="str">
        <v>0.88607407407407407407</v>
      </c>
      <c r="X94" t="str">
        <v>22.4999523809523810</v>
      </c>
      <c r="Y94" t="str">
        <v>22.4999523809523810</v>
      </c>
      <c r="Z94" t="str">
        <v>0.88607</v>
      </c>
      <c r="AA94" t="str">
        <v>840.00000</v>
      </c>
      <c r="AB94" t="str">
        <v>36526-FARRUS FARRAN ANTONIO</v>
      </c>
    </row>
    <row r="95" spans="1:28" x14ac:dyDescent="0.25">
      <c r="A95" t="str">
        <v>2025-10-16</v>
      </c>
      <c r="B95" t="str">
        <v>36526-FARRUS FARRAN ANTONIO-L:148-N:2-A:A15-POLLO AMARILLO MIXTO</v>
      </c>
      <c r="C95" t="str">
        <v>POLLO AMARILLO MIXTO</v>
      </c>
      <c r="D95" t="str">
        <v>3</v>
      </c>
      <c r="E95" t="str">
        <v>Broiler Amarillo</v>
      </c>
      <c r="F95" t="str">
        <v>29</v>
      </c>
      <c r="G95" t="str">
        <v>2025-09-17</v>
      </c>
      <c r="H95" t="str">
        <v>0</v>
      </c>
      <c r="I95" t="str">
        <v>Abierto</v>
      </c>
      <c r="J95" t="str">
        <v>1.58000</v>
      </c>
      <c r="K95" t="str">
        <v>2.41811</v>
      </c>
      <c r="L95" t="str">
        <v>null</v>
      </c>
      <c r="M95" t="str">
        <v>null</v>
      </c>
      <c r="N95" t="str">
        <v>1.43100</v>
      </c>
      <c r="O95" t="str">
        <v>null</v>
      </c>
      <c r="P95" t="str">
        <v>12500.000</v>
      </c>
      <c r="Q95" t="str">
        <v>11983.000</v>
      </c>
      <c r="R95" t="str">
        <v>0.000</v>
      </c>
      <c r="S95" t="str">
        <v>391.000</v>
      </c>
      <c r="T95" t="str">
        <v>391.000</v>
      </c>
      <c r="U95" t="str">
        <v>11983.000</v>
      </c>
      <c r="V95" t="str">
        <v>18933.140</v>
      </c>
      <c r="W95" t="str">
        <v>0.88762962962962962963</v>
      </c>
      <c r="X95" t="str">
        <v>22.5394523809523810</v>
      </c>
      <c r="Y95" t="str">
        <v>22.5394523809523810</v>
      </c>
      <c r="Z95" t="str">
        <v>0.88763</v>
      </c>
      <c r="AA95" t="str">
        <v>840.00000</v>
      </c>
      <c r="AB95" t="str">
        <v>36526-FARRUS FARRAN ANTONIO</v>
      </c>
    </row>
    <row r="96" spans="1:28" x14ac:dyDescent="0.25">
      <c r="A96" t="str">
        <v>2025-10-16</v>
      </c>
      <c r="B96" t="str">
        <v>36387-AGROPECUARIA SAUS-L:090-N:4-A:A14-POLLO AMARILLO HEMBRAS</v>
      </c>
      <c r="C96" t="str">
        <v>POLLO AMARILLO HEMBRAS</v>
      </c>
      <c r="D96" t="str">
        <v>3</v>
      </c>
      <c r="E96" t="str">
        <v>Broiler Amarillo</v>
      </c>
      <c r="F96" t="str">
        <v>31</v>
      </c>
      <c r="G96" t="str">
        <v>2025-09-15</v>
      </c>
      <c r="H96" t="str">
        <v>0</v>
      </c>
      <c r="I96" t="str">
        <v>Abierto</v>
      </c>
      <c r="J96" t="str">
        <v>1.56800</v>
      </c>
      <c r="K96" t="str">
        <v>1.57920</v>
      </c>
      <c r="L96" t="str">
        <v>null</v>
      </c>
      <c r="M96" t="str">
        <v>null</v>
      </c>
      <c r="N96" t="str">
        <v>1.50200</v>
      </c>
      <c r="O96" t="str">
        <v>null</v>
      </c>
      <c r="P96" t="str">
        <v>9000.000</v>
      </c>
      <c r="Q96" t="str">
        <v>8877.000</v>
      </c>
      <c r="R96" t="str">
        <v>0.000</v>
      </c>
      <c r="S96" t="str">
        <v>120.000</v>
      </c>
      <c r="T96" t="str">
        <v>288.000</v>
      </c>
      <c r="U96" t="str">
        <v>17869.000</v>
      </c>
      <c r="V96" t="str">
        <v>29502.272</v>
      </c>
      <c r="W96" t="str">
        <v>0.97166938553561718325</v>
      </c>
      <c r="X96" t="str">
        <v>23.4145015873015873</v>
      </c>
      <c r="Y96" t="str">
        <v>23.4145015873015873</v>
      </c>
      <c r="Z96" t="str">
        <v>0.97167</v>
      </c>
      <c r="AA96" t="str">
        <v>1260.00000</v>
      </c>
      <c r="AB96" t="str">
        <v>36387-AGROPECUARIA SAUS</v>
      </c>
    </row>
    <row r="97" spans="1:28" x14ac:dyDescent="0.25">
      <c r="A97" t="str">
        <v>2025-10-16</v>
      </c>
      <c r="B97" t="str">
        <v>36736-RIBELLES SEGURA SCP-L:117-N:2-A:A14-POLLO AMARILLO HEMBRAS</v>
      </c>
      <c r="C97" t="str">
        <v>POLLO AMARILLO HEMBRAS</v>
      </c>
      <c r="D97" t="str">
        <v>3</v>
      </c>
      <c r="E97" t="str">
        <v>Broiler Amarillo</v>
      </c>
      <c r="F97" t="str">
        <v>30</v>
      </c>
      <c r="G97" t="str">
        <v>2025-09-16</v>
      </c>
      <c r="H97" t="str">
        <v>0</v>
      </c>
      <c r="I97" t="str">
        <v>Abierto</v>
      </c>
      <c r="J97" t="str">
        <v>1.56000</v>
      </c>
      <c r="K97" t="str">
        <v>1.64440</v>
      </c>
      <c r="L97" t="str">
        <v>null</v>
      </c>
      <c r="M97" t="str">
        <v>null</v>
      </c>
      <c r="N97" t="str">
        <v>1.42900</v>
      </c>
      <c r="O97" t="str">
        <v>null</v>
      </c>
      <c r="P97" t="str">
        <v>10400.000</v>
      </c>
      <c r="Q97" t="str">
        <v>10035.000</v>
      </c>
      <c r="R97" t="str">
        <v>0.000</v>
      </c>
      <c r="S97" t="str">
        <v>338.000</v>
      </c>
      <c r="T97" t="str">
        <v>338.000</v>
      </c>
      <c r="U97" t="str">
        <v>20169.000</v>
      </c>
      <c r="V97" t="str">
        <v>33997.140</v>
      </c>
      <c r="W97" t="str">
        <v>0.89640000000000000000</v>
      </c>
      <c r="X97" t="str">
        <v>26.8752094861660079</v>
      </c>
      <c r="Y97" t="str">
        <v>26.8752094861660079</v>
      </c>
      <c r="Z97" t="str">
        <v>0.89640</v>
      </c>
      <c r="AA97" t="str">
        <v>1265.00000</v>
      </c>
      <c r="AB97" t="str">
        <v>36736-RIBELLES SEGURA SCP</v>
      </c>
    </row>
    <row r="98" spans="1:28" x14ac:dyDescent="0.25">
      <c r="A98" t="str">
        <v>2025-10-16</v>
      </c>
      <c r="B98" t="str">
        <v>36736-RIBELLES SEGURA SCP-L:117-N:1-A:A14-POLLO AMARILLO HEMBRAS</v>
      </c>
      <c r="C98" t="str">
        <v>POLLO AMARILLO HEMBRAS</v>
      </c>
      <c r="D98" t="str">
        <v>3</v>
      </c>
      <c r="E98" t="str">
        <v>Broiler Amarillo</v>
      </c>
      <c r="F98" t="str">
        <v>30</v>
      </c>
      <c r="G98" t="str">
        <v>2025-09-16</v>
      </c>
      <c r="H98" t="str">
        <v>0</v>
      </c>
      <c r="I98" t="str">
        <v>Abierto</v>
      </c>
      <c r="J98" t="str">
        <v>1.56000</v>
      </c>
      <c r="K98" t="str">
        <v>1.64440</v>
      </c>
      <c r="L98" t="str">
        <v>null</v>
      </c>
      <c r="M98" t="str">
        <v>null</v>
      </c>
      <c r="N98" t="str">
        <v>1.42900</v>
      </c>
      <c r="O98" t="str">
        <v>null</v>
      </c>
      <c r="P98" t="str">
        <v>12600.000</v>
      </c>
      <c r="Q98" t="str">
        <v>12178.000</v>
      </c>
      <c r="R98" t="str">
        <v>0.000</v>
      </c>
      <c r="S98" t="str">
        <v>395.000</v>
      </c>
      <c r="T98" t="str">
        <v>395.000</v>
      </c>
      <c r="U98" t="str">
        <v>20182.000</v>
      </c>
      <c r="V98" t="str">
        <v>33084.720</v>
      </c>
      <c r="W98" t="str">
        <v>0.89697777777777777778</v>
      </c>
      <c r="X98" t="str">
        <v>26.1539288537549407</v>
      </c>
      <c r="Y98" t="str">
        <v>26.1539288537549407</v>
      </c>
      <c r="Z98" t="str">
        <v>0.89698</v>
      </c>
      <c r="AA98" t="str">
        <v>1265.00000</v>
      </c>
      <c r="AB98" t="str">
        <v>36736-RIBELLES SEGURA SCP</v>
      </c>
    </row>
    <row r="99" spans="1:28" x14ac:dyDescent="0.25">
      <c r="A99" t="str">
        <v>2025-10-16</v>
      </c>
      <c r="B99" t="str">
        <v>36387-AGROPECUARIA SAUS-L:090-N:3-A:A14-POLLO AMARILLO HEMBRAS</v>
      </c>
      <c r="C99" t="str">
        <v>POLLO AMARILLO HEMBRAS</v>
      </c>
      <c r="D99" t="str">
        <v>3</v>
      </c>
      <c r="E99" t="str">
        <v>Broiler Amarillo</v>
      </c>
      <c r="F99" t="str">
        <v>31</v>
      </c>
      <c r="G99" t="str">
        <v>2025-09-15</v>
      </c>
      <c r="H99" t="str">
        <v>0</v>
      </c>
      <c r="I99" t="str">
        <v>Abierto</v>
      </c>
      <c r="J99" t="str">
        <v>1.53800</v>
      </c>
      <c r="K99" t="str">
        <v>1.54410</v>
      </c>
      <c r="L99" t="str">
        <v>null</v>
      </c>
      <c r="M99" t="str">
        <v>null</v>
      </c>
      <c r="N99" t="str">
        <v>1.50200</v>
      </c>
      <c r="O99" t="str">
        <v>null</v>
      </c>
      <c r="P99" t="str">
        <v>9000.000</v>
      </c>
      <c r="Q99" t="str">
        <v>8860.000</v>
      </c>
      <c r="R99" t="str">
        <v>0.000</v>
      </c>
      <c r="S99" t="str">
        <v>136.000</v>
      </c>
      <c r="T99" t="str">
        <v>288.000</v>
      </c>
      <c r="U99" t="str">
        <v>17705.000</v>
      </c>
      <c r="V99" t="str">
        <v>28778.165</v>
      </c>
      <c r="W99" t="str">
        <v>0.96275149537792278412</v>
      </c>
      <c r="X99" t="str">
        <v>22.8398134920634921</v>
      </c>
      <c r="Y99" t="str">
        <v>22.8398134920634921</v>
      </c>
      <c r="Z99" t="str">
        <v>0.96275</v>
      </c>
      <c r="AA99" t="str">
        <v>1260.00000</v>
      </c>
      <c r="AB99" t="str">
        <v>36387-AGROPECUARIA SAUS</v>
      </c>
    </row>
    <row r="100" spans="1:28" x14ac:dyDescent="0.25">
      <c r="A100" t="str">
        <v>2025-10-16</v>
      </c>
      <c r="B100" t="str">
        <v>36991-PESSARRODONA AVIRAM SL-L:034-N:1-A:A14-POLLO AMARILLO HEMBRAS</v>
      </c>
      <c r="C100" t="str">
        <v>POLLO AMARILLO HEMBRAS</v>
      </c>
      <c r="D100" t="str">
        <v>3</v>
      </c>
      <c r="E100" t="str">
        <v>Broiler Amarillo</v>
      </c>
      <c r="F100" t="str">
        <v>30</v>
      </c>
      <c r="G100" t="str">
        <v>2025-09-16</v>
      </c>
      <c r="H100" t="str">
        <v>0</v>
      </c>
      <c r="I100" t="str">
        <v>Abierto</v>
      </c>
      <c r="J100" t="str">
        <v>1.52400</v>
      </c>
      <c r="K100" t="str">
        <v>1.59763</v>
      </c>
      <c r="L100" t="str">
        <v>null</v>
      </c>
      <c r="M100" t="str">
        <v>null</v>
      </c>
      <c r="N100" t="str">
        <v>1.42900</v>
      </c>
      <c r="O100" t="str">
        <v>null</v>
      </c>
      <c r="P100" t="str">
        <v>11800.000</v>
      </c>
      <c r="Q100" t="str">
        <v>11404.000</v>
      </c>
      <c r="R100" t="str">
        <v>0.000</v>
      </c>
      <c r="S100" t="str">
        <v>376.000</v>
      </c>
      <c r="T100" t="str">
        <v>376.000</v>
      </c>
      <c r="U100" t="str">
        <v>22686.000</v>
      </c>
      <c r="V100" t="str">
        <v>37066.786</v>
      </c>
      <c r="W100" t="str">
        <v>1.02535593220338983051</v>
      </c>
      <c r="X100" t="str">
        <v>26.4762757142857143</v>
      </c>
      <c r="Y100" t="str">
        <v>26.4762757142857143</v>
      </c>
      <c r="Z100" t="str">
        <v>1.02536</v>
      </c>
      <c r="AA100" t="str">
        <v>1400.00000</v>
      </c>
      <c r="AB100" t="str">
        <v>36991-PESSARRODONA AVIRAM SL</v>
      </c>
    </row>
    <row r="101" spans="1:28" x14ac:dyDescent="0.25">
      <c r="A101" t="str">
        <v>2025-10-16</v>
      </c>
      <c r="B101" t="str">
        <v>36527-GEMMARTI-L:050-N:1-A:A15-POLLO AMARILLO MIXTO</v>
      </c>
      <c r="C101" t="str">
        <v>POLLO AMARILLO MIXTO</v>
      </c>
      <c r="D101" t="str">
        <v>3</v>
      </c>
      <c r="E101" t="str">
        <v>Broiler Amarillo</v>
      </c>
      <c r="F101" t="str">
        <v>28</v>
      </c>
      <c r="G101" t="str">
        <v>2025-09-18</v>
      </c>
      <c r="H101" t="str">
        <v>0</v>
      </c>
      <c r="I101" t="str">
        <v>Abierto</v>
      </c>
      <c r="J101" t="str">
        <v>1.50500</v>
      </c>
      <c r="K101" t="str">
        <v>2.31425</v>
      </c>
      <c r="L101" t="str">
        <v>null</v>
      </c>
      <c r="M101" t="str">
        <v>null</v>
      </c>
      <c r="N101" t="str">
        <v>1.35100</v>
      </c>
      <c r="O101" t="str">
        <v>null</v>
      </c>
      <c r="P101" t="str">
        <v>9270.000</v>
      </c>
      <c r="Q101" t="str">
        <v>9025.000</v>
      </c>
      <c r="R101" t="str">
        <v>0.000</v>
      </c>
      <c r="S101" t="str">
        <v>85.000</v>
      </c>
      <c r="T101" t="str">
        <v>85.000</v>
      </c>
      <c r="U101" t="str">
        <v>9025.000</v>
      </c>
      <c r="V101" t="str">
        <v>13582.625</v>
      </c>
      <c r="W101" t="str">
        <v>0.85952380952380952381</v>
      </c>
      <c r="X101" t="str">
        <v>20.8963461538461538</v>
      </c>
      <c r="Y101" t="str">
        <v>20.8963461538461538</v>
      </c>
      <c r="Z101" t="str">
        <v>0.85952</v>
      </c>
      <c r="AA101" t="str">
        <v>650.00000</v>
      </c>
      <c r="AB101" t="str">
        <v>36527-GEMMARTI</v>
      </c>
    </row>
    <row r="102" spans="1:28" x14ac:dyDescent="0.25">
      <c r="A102" t="str">
        <v>2025-10-16</v>
      </c>
      <c r="B102" t="str">
        <v>36527-GEMMARTI-L:050-N:2-A:A15-POLLO AMARILLO MIXTO</v>
      </c>
      <c r="C102" t="str">
        <v>POLLO AMARILLO MIXTO</v>
      </c>
      <c r="D102" t="str">
        <v>3</v>
      </c>
      <c r="E102" t="str">
        <v>Broiler Amarillo</v>
      </c>
      <c r="F102" t="str">
        <v>28</v>
      </c>
      <c r="G102" t="str">
        <v>2025-09-18</v>
      </c>
      <c r="H102" t="str">
        <v>0</v>
      </c>
      <c r="I102" t="str">
        <v>Abierto</v>
      </c>
      <c r="J102" t="str">
        <v>1.50500</v>
      </c>
      <c r="K102" t="str">
        <v>2.31425</v>
      </c>
      <c r="L102" t="str">
        <v>null</v>
      </c>
      <c r="M102" t="str">
        <v>null</v>
      </c>
      <c r="N102" t="str">
        <v>1.35100</v>
      </c>
      <c r="O102" t="str">
        <v>null</v>
      </c>
      <c r="P102" t="str">
        <v>9270.000</v>
      </c>
      <c r="Q102" t="str">
        <v>8904.000</v>
      </c>
      <c r="R102" t="str">
        <v>0.000</v>
      </c>
      <c r="S102" t="str">
        <v>286.000</v>
      </c>
      <c r="T102" t="str">
        <v>286.000</v>
      </c>
      <c r="U102" t="str">
        <v>8904.000</v>
      </c>
      <c r="V102" t="str">
        <v>13400.520</v>
      </c>
      <c r="W102" t="str">
        <v>0.84800000000000000000</v>
      </c>
      <c r="X102" t="str">
        <v>20.6161846153846154</v>
      </c>
      <c r="Y102" t="str">
        <v>20.6161846153846154</v>
      </c>
      <c r="Z102" t="str">
        <v>0.84800</v>
      </c>
      <c r="AA102" t="str">
        <v>650.00000</v>
      </c>
      <c r="AB102" t="str">
        <v>36527-GEMMARTI</v>
      </c>
    </row>
    <row r="103" spans="1:28" x14ac:dyDescent="0.25">
      <c r="A103" t="str">
        <v>2025-10-16</v>
      </c>
      <c r="B103" t="str">
        <v>36991-PESSARRODONA AVIRAM SL-L:034-N:2-A:A14-POLLO AMARILLO HEMBRAS</v>
      </c>
      <c r="C103" t="str">
        <v>POLLO AMARILLO HEMBRAS</v>
      </c>
      <c r="D103" t="str">
        <v>3</v>
      </c>
      <c r="E103" t="str">
        <v>Broiler Amarillo</v>
      </c>
      <c r="F103" t="str">
        <v>30</v>
      </c>
      <c r="G103" t="str">
        <v>2025-09-16</v>
      </c>
      <c r="H103" t="str">
        <v>0</v>
      </c>
      <c r="I103" t="str">
        <v>Abierto</v>
      </c>
      <c r="J103" t="str">
        <v>1.50400</v>
      </c>
      <c r="K103" t="str">
        <v>1.56215</v>
      </c>
      <c r="L103" t="str">
        <v>null</v>
      </c>
      <c r="M103" t="str">
        <v>null</v>
      </c>
      <c r="N103" t="str">
        <v>1.42900</v>
      </c>
      <c r="O103" t="str">
        <v>null</v>
      </c>
      <c r="P103" t="str">
        <v>24000.000</v>
      </c>
      <c r="Q103" t="str">
        <v>23288.000</v>
      </c>
      <c r="R103" t="str">
        <v>0.000</v>
      </c>
      <c r="S103" t="str">
        <v>662.000</v>
      </c>
      <c r="T103" t="str">
        <v>662.000</v>
      </c>
      <c r="U103" t="str">
        <v>45084.000</v>
      </c>
      <c r="V103" t="str">
        <v>72841.212</v>
      </c>
      <c r="W103" t="str">
        <v>0.99053059430956827420</v>
      </c>
      <c r="X103" t="str">
        <v>25.2920875000000000</v>
      </c>
      <c r="Y103" t="str">
        <v>25.2920875000000000</v>
      </c>
      <c r="Z103" t="str">
        <v>0.99053</v>
      </c>
      <c r="AA103" t="str">
        <v>2880.00000</v>
      </c>
      <c r="AB103" t="str">
        <v>36991-PESSARRODONA AVIRAM SL</v>
      </c>
    </row>
    <row r="104" spans="1:28" x14ac:dyDescent="0.25">
      <c r="A104" t="str">
        <v>2025-10-16</v>
      </c>
      <c r="B104" t="str">
        <v>36991-PESSARRODONA AVIRAM SL-L:034-N:3-A:A13-POLLO AMARILLO MACHO</v>
      </c>
      <c r="C104" t="str">
        <v>POLLO AMARILLO MACHO</v>
      </c>
      <c r="D104" t="str">
        <v>3</v>
      </c>
      <c r="E104" t="str">
        <v>Broiler Amarillo</v>
      </c>
      <c r="F104" t="str">
        <v>27</v>
      </c>
      <c r="G104" t="str">
        <v>2025-09-19</v>
      </c>
      <c r="H104" t="str">
        <v>0</v>
      </c>
      <c r="I104" t="str">
        <v>Abierto</v>
      </c>
      <c r="J104" t="str">
        <v>1.49100</v>
      </c>
      <c r="K104" t="str">
        <v>2.55750</v>
      </c>
      <c r="L104" t="str">
        <v>null</v>
      </c>
      <c r="M104" t="str">
        <v>null</v>
      </c>
      <c r="N104" t="str">
        <v>1.33300</v>
      </c>
      <c r="O104" t="str">
        <v>null</v>
      </c>
      <c r="P104" t="str">
        <v>19000.000</v>
      </c>
      <c r="Q104" t="str">
        <v>18623.000</v>
      </c>
      <c r="R104" t="str">
        <v>0.000</v>
      </c>
      <c r="S104" t="str">
        <v>377.000</v>
      </c>
      <c r="T104" t="str">
        <v>377.000</v>
      </c>
      <c r="U104" t="str">
        <v>37168.000</v>
      </c>
      <c r="V104" t="str">
        <v>52765.553</v>
      </c>
      <c r="W104" t="str">
        <v>0.97996203332630246783</v>
      </c>
      <c r="X104" t="str">
        <v>21.9856470833333333</v>
      </c>
      <c r="Y104" t="str">
        <v>21.9856470833333333</v>
      </c>
      <c r="Z104" t="str">
        <v>0.97996</v>
      </c>
      <c r="AA104" t="str">
        <v>2400.00000</v>
      </c>
      <c r="AB104" t="str">
        <v>36991-PESSARRODONA AVIRAM SL</v>
      </c>
    </row>
    <row r="105" spans="1:28" x14ac:dyDescent="0.25">
      <c r="A105" t="str">
        <v>2025-10-16</v>
      </c>
      <c r="B105" t="str">
        <v>36991-PESSARRODONA AVIRAM SL-L:034-N:3-A:A14-POLLO AMARILLO HEMBRAS</v>
      </c>
      <c r="C105" t="str">
        <v>POLLO AMARILLO HEMBRAS</v>
      </c>
      <c r="D105" t="str">
        <v>3</v>
      </c>
      <c r="E105" t="str">
        <v>Broiler Amarillo</v>
      </c>
      <c r="F105" t="str">
        <v>27</v>
      </c>
      <c r="G105" t="str">
        <v>2025-09-19</v>
      </c>
      <c r="H105" t="str">
        <v>0</v>
      </c>
      <c r="I105" t="str">
        <v>Abierto</v>
      </c>
      <c r="J105" t="str">
        <v>1.34800</v>
      </c>
      <c r="K105" t="str">
        <v>2.17591</v>
      </c>
      <c r="L105" t="str">
        <v>null</v>
      </c>
      <c r="M105" t="str">
        <v>null</v>
      </c>
      <c r="N105" t="str">
        <v>1.21200</v>
      </c>
      <c r="O105" t="str">
        <v>null</v>
      </c>
      <c r="P105" t="str">
        <v>19000.000</v>
      </c>
      <c r="Q105" t="str">
        <v>18545.000</v>
      </c>
      <c r="R105" t="str">
        <v>0.000</v>
      </c>
      <c r="S105" t="str">
        <v>455.000</v>
      </c>
      <c r="T105" t="str">
        <v>455.000</v>
      </c>
      <c r="U105" t="str">
        <v>37168.000</v>
      </c>
      <c r="V105" t="str">
        <v>52765.553</v>
      </c>
      <c r="W105" t="str">
        <v>0.97996203332630246783</v>
      </c>
      <c r="X105" t="str">
        <v>21.9856470833333333</v>
      </c>
      <c r="Y105" t="str">
        <v>21.9856470833333333</v>
      </c>
      <c r="Z105" t="str">
        <v>0.97996</v>
      </c>
      <c r="AA105" t="str">
        <v>2400.00000</v>
      </c>
      <c r="AB105" t="str">
        <v>36991-PESSARRODONA AVIRAM SL</v>
      </c>
    </row>
    <row r="106" spans="1:28" x14ac:dyDescent="0.25">
      <c r="A106" t="str">
        <v>2025-10-16</v>
      </c>
      <c r="B106" t="str">
        <v>36946-TRIBO MUÑOZ CRISTINA - 2-L:040-N:1-A:A13-POLLO AMARILLO MACHO</v>
      </c>
      <c r="C106" t="str">
        <v>POLLO AMARILLO MACHO</v>
      </c>
      <c r="D106" t="str">
        <v>3</v>
      </c>
      <c r="E106" t="str">
        <v>Broiler Amarillo</v>
      </c>
      <c r="F106" t="str">
        <v>24</v>
      </c>
      <c r="G106" t="str">
        <v>2025-09-22</v>
      </c>
      <c r="H106" t="str">
        <v>0</v>
      </c>
      <c r="I106" t="str">
        <v>Abierto</v>
      </c>
      <c r="J106" t="str">
        <v>1.11700</v>
      </c>
      <c r="K106" t="str">
        <v>1.21744</v>
      </c>
      <c r="L106" t="str">
        <v>null</v>
      </c>
      <c r="M106" t="str">
        <v>null</v>
      </c>
      <c r="N106" t="str">
        <v>1.08700</v>
      </c>
      <c r="O106" t="str">
        <v>null</v>
      </c>
      <c r="P106" t="str">
        <v>4500.000</v>
      </c>
      <c r="Q106" t="str">
        <v>4331.000</v>
      </c>
      <c r="R106" t="str">
        <v>0.000</v>
      </c>
      <c r="S106" t="str">
        <v>139.000</v>
      </c>
      <c r="T106" t="str">
        <v>139.000</v>
      </c>
      <c r="U106" t="str">
        <v>8692.000</v>
      </c>
      <c r="V106" t="str">
        <v>9211.810</v>
      </c>
      <c r="W106" t="str">
        <v>1.0225882352941176</v>
      </c>
      <c r="X106" t="str">
        <v>15.3530166666666667</v>
      </c>
      <c r="Y106" t="str">
        <v>15.3530166666666667</v>
      </c>
      <c r="Z106" t="str">
        <v>1.02259</v>
      </c>
      <c r="AA106" t="str">
        <v>600.00000</v>
      </c>
      <c r="AB106" t="str">
        <v>36946-TRIBO MUÑOZ CRISTINA - 2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USAGE</vt:lpstr>
      <vt:lpstr>USAGE_JSON</vt:lpstr>
      <vt:lpstr>USAGE_JSON_2</vt:lpstr>
      <vt:lpstr>USAGE_JSON_3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2025-10-16T13:58:47Z</dcterms:modified>
</cp:coreProperties>
</file>