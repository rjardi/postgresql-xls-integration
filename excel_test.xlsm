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ostgresql-xls-integration\"/>
    </mc:Choice>
  </mc:AlternateContent>
  <xr:revisionPtr revIDLastSave="0" documentId="13_ncr:1_{9A2C8CCE-2361-4ADE-ACB4-1067333C9425}" xr6:coauthVersionLast="47" xr6:coauthVersionMax="47" xr10:uidLastSave="{00000000-0000-0000-0000-000000000000}"/>
  <bookViews>
    <workbookView xWindow="-120" yWindow="-120" windowWidth="29040" windowHeight="17520" activeTab="2" xr2:uid="{05E6C5A0-7147-4ACB-A5C3-F7A1309D5382}"/>
  </bookViews>
  <sheets>
    <sheet name="README" sheetId="2" r:id="rId1"/>
    <sheet name="USAGE" sheetId="1" r:id="rId2"/>
    <sheet name="USAGE_2D" sheetId="3" r:id="rId3"/>
    <sheet name="USAGE_2D_2" sheetId="5" r:id="rId4"/>
    <sheet name="USAGE_2D_3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3" i="1" s="1"/>
  <c r="D4" i="1" a="1"/>
  <c r="D4" i="1" s="1"/>
  <c r="D5" i="1" a="1"/>
  <c r="D5" i="1" s="1"/>
  <c r="D2" i="1" a="1"/>
  <c r="C100" i="2" a="1"/>
  <c r="C97" i="2" a="1"/>
  <c r="C95" i="2" a="1"/>
  <c r="C115" i="2" a="1"/>
  <c r="C110" i="2" a="1"/>
  <c r="C107" i="2" a="1"/>
  <c r="C105" i="2" a="1"/>
  <c r="R4" i="1" a="1"/>
  <c r="R3" i="1" a="1"/>
  <c r="R2" i="1" a="1"/>
  <c r="A5" i="5" a="1"/>
  <c r="A5" i="6" a="1"/>
  <c r="A5" i="3" a="1"/>
  <c r="A5" i="5" l="1"/>
  <c r="A5" i="6"/>
  <c r="A5" i="3"/>
  <c r="C115" i="2"/>
  <c r="C110" i="2"/>
  <c r="C107" i="2"/>
  <c r="C105" i="2"/>
  <c r="R2" i="1"/>
  <c r="R3" i="1"/>
  <c r="R4" i="1"/>
  <c r="C100" i="2"/>
  <c r="C97" i="2"/>
  <c r="C95" i="2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<sst xmlns="http://schemas.openxmlformats.org/spreadsheetml/2006/main" count="945" uniqueCount="177">
  <si>
    <t>PDX</t>
  </si>
  <si>
    <t>BRAM</t>
  </si>
  <si>
    <t>p_empavi</t>
  </si>
  <si>
    <t>p_erpcodave</t>
  </si>
  <si>
    <t>p_fch</t>
  </si>
  <si>
    <t>Function</t>
  </si>
  <si>
    <t>BRMCD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</si>
  <si>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</si>
  <si>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</si>
  <si>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</si>
  <si>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</si>
  <si>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</si>
  <si>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</si>
  <si>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</si>
  <si>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</si>
  <si>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</si>
  <si>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</si>
  <si>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</si>
  <si>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</si>
  <si>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</si>
  <si>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</si>
  <si>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</si>
  <si>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</si>
  <si>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</si>
  <si>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</si>
  <si>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</si>
  <si>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</si>
  <si>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</si>
  <si>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</si>
  <si>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</si>
  <si>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</si>
  <si>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</si>
  <si>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</si>
  <si>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</si>
  <si>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</si>
  <si>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</si>
  <si>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</si>
  <si>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</si>
  <si>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</si>
  <si>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</si>
  <si>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</si>
  <si>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</si>
  <si>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</si>
  <si>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</si>
  <si>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ENTRADAS</t>
  </si>
  <si>
    <t>STOCK</t>
  </si>
  <si>
    <t>api_xls.f_pla_get_data_stock</t>
  </si>
  <si>
    <t>FUNCION POSTGRES</t>
  </si>
  <si>
    <t>STOCK_QTY</t>
  </si>
  <si>
    <t>ENTRADAS_QTY</t>
  </si>
  <si>
    <t>SALIDAS_QTY</t>
  </si>
  <si>
    <t>Result</t>
  </si>
  <si>
    <t>GetStockData</t>
  </si>
  <si>
    <t>.</t>
  </si>
  <si>
    <t>Empresa</t>
  </si>
  <si>
    <t>Dato</t>
  </si>
  <si>
    <t>Producto Venta</t>
  </si>
  <si>
    <t>Fecha Stock</t>
  </si>
  <si>
    <t>Desde Fecha</t>
  </si>
  <si>
    <t>Hasta Fecha</t>
  </si>
  <si>
    <t>Desde días de Vida</t>
  </si>
  <si>
    <t>Hasta Días de Vida</t>
  </si>
  <si>
    <t>Peso Inicial</t>
  </si>
  <si>
    <t>Peso Final</t>
  </si>
  <si>
    <t>TOR</t>
  </si>
  <si>
    <t>GRJ_STOCK_QTY</t>
  </si>
  <si>
    <t>GetSetStockAvi</t>
  </si>
  <si>
    <t>FUNCIONES EXCEL  -&gt;JSON</t>
  </si>
  <si>
    <t>GetSetStockAvi  -&gt; Datos Stock</t>
  </si>
  <si>
    <t>GetSetEntradaAvi -&gt; Datos Entrada Granja</t>
  </si>
  <si>
    <t>GetSetSalidasAvi -&gt; Datos Salida Granja</t>
  </si>
  <si>
    <t>Ejemplos:</t>
  </si>
  <si>
    <t>select api_xls.f_pla_get_set_data_stock('TOR','GRJ_STOCK_QTY','BRAM', CURRENT_DATE::DATE,</t>
  </si>
  <si>
    <t>Presentación de los datos devueltos:</t>
  </si>
  <si>
    <t>Iniciar la presentación tres filas por debajo de la casilla del grup "data"</t>
  </si>
  <si>
    <t>Primera linea -&gt; Pintar el nombre de las claves del json</t>
  </si>
  <si>
    <t>Líneas Restantes -&gt; Pintar los valores de la clave</t>
  </si>
  <si>
    <t>Borrar 5 lineas por debajo de la última fila presentada,</t>
  </si>
  <si>
    <t>Ejemplo json:</t>
  </si>
  <si>
    <t xml:space="preserve">{"status" : 0, "message" : "OK", "parameters" : {"unidad_operacional" : "TOR", "peticion" : "GRJ_STOCK_QTY", "fecha_dato" : "2025-10-16", "coduop_interno" : 20, "codave_interno" : 5}, "data" : [{"fecha_stock":"2025-10-16","granja_lote_nave_art":"20399T-GRANJA TONIC-L:39-N:1-A:3001-POLLO AMARILLO MACHO","articulo":"POLLO AMARILLO MACHO","gst_codave":5,"producto_venta":"Broiler Amarillo","dias_vida":51,"fecha_entrada":"2025-08-26","cantidad_entrada":0,"estado":"Pre-Finalizado","peso_real":4.12103,"peso_real_rev":4.19291,"peso_matadero":null,"peso_granja":null,"peso_teorico":3.83400,"peso_avicontrol":null,"cantidad_entrada":14600.000,"stock_inicial":-5806.000,"ventas_acumuladas":-19940.000,"bajas_acumuladas":466.000,"bajas_teoricas":466.000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</si>
  <si>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{"fecha_stock":"2025-10-16","granja_lote_nave_art":"20388T-GRANJA CAMAR-L:38-N:2-A:3001-POLLO AMARILLO MACHO","articulo":"POLLO AMARILLO MACHO","gst_codave":5,"producto_venta":"Broiler Amarillo","dias_vida":52,"fecha_entrada":"2025-08-25","cantidad_entrada":0,"estado":"Pre-Finalizado","peso_real":4.07691,"peso_real_rev":4.11921,"peso_matadero":null,"peso_granja":null,"peso_teorico":3.92600,"peso_avicontrol":null,"cantidad_entrada":16000.000,"stock_inicial":-13156.000,"ventas_acumuladas":-28632.000,"bajas_acumuladas":524.000,"bajas_teoricas":524.000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</si>
  <si>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{"fecha_stock":"2025-10-16","granja_lote_nave_art":"20260T-DUARRI-MANONELLES SCP naus 1,2,3,4-L:38-N:1-A:3001-POLLO AMARILLO MACHO","articulo":"POLLO AMARILLO MACHO","gst_codave":5,"producto_venta":"Broiler Amarillo","dias_vida":48,"fecha_entrada":"2025-08-29","cantidad_entrada":0,"estado":"Pre-Finalizado","peso_real":4.04626,"peso_real_rev":4.09019,"peso_matadero":null,"peso_granja":null,"peso_teorico":3.55200,"peso_avicontrol":null,"cantidad_entrada":9000.000,"stock_inicial":120.000,"ventas_acumuladas":-8593.000,"bajas_acumuladas":287.000,"bajas_teoricas":287.000,"stock_nave":363.000,"kilos_nave":1246.646,"capacidad_nave":0.02268750000000000000,"densidad_nave":1.0493653198653199,"kgm2_nave":1.0493653198653199,"capacidad_nave":0.02269,"m2_nave":1188.00000,"granja":"20260T-DUARRI-MANONELLES SCP naus 1,2,3,4"}, </t>
  </si>
  <si>
    <t xml:space="preserve"> {"fecha_stock":"2025-10-16","granja_lote_nave_art":"20358T-CA L.IGNASI-L:38-N:2-A:3001-POLLO AMARILLO MACHO","articulo":"POLLO AMARILLO MACHO","gst_codave":5,"producto_venta":"Broiler Amarillo","dias_vida":51,"fecha_entrada":"2025-08-26","cantidad_entrada":0,"estado":"Pre-Finalizado","peso_real":3.92142,"peso_real_rev":3.94701,"peso_matadero":null,"peso_granja":null,"peso_teorico":3.83400,"peso_avicontrol":null,"cantidad_entrada":17200.000,"stock_inicial":-4621.000,"ventas_acumuladas":-21269.000,"bajas_acumuladas":552.000,"bajas_teoricas":552.000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</si>
  <si>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{"fecha_stock":"2025-10-16","granja_lote_nave_art":"20416T-PUJANTELL-AVICOLA-L:31-N:1-A:3001-POLLO AMARILLO MACHO","articulo":"POLLO AMARILLO MACHO","gst_codave":5,"producto_venta":"Broiler Amarillo","dias_vida":49,"fecha_entrada":"2025-08-28","cantidad_entrada":0,"estado":"Pre-Finalizado","peso_real":3.89229,"peso_real_rev":3.90586,"peso_matadero":null,"peso_granja":null,"peso_teorico":3.64700,"peso_avicontrol":null,"cantidad_entrada":22000.000,"stock_inicial":385.000,"ventas_acumuladas":-20728.000,"bajas_acumuladas":719.000,"bajas_teoricas":719.000,"stock_nave":275.000,"kilos_nave":1164.761,"capacidad_nave":0.00639534883720930233,"densidad_nave":0.49146033755274261603,"kgm2_nave":0.49146033755274261603,"capacidad_nave":0.00640,"m2_nave":2370.00000,"granja":"20416T-PUJANTELL-AVICOLA"}, </t>
  </si>
  <si>
    <t xml:space="preserve"> {"fecha_stock":"2025-10-16","granja_lote_nave_art":"20260T-DUARRI-MANONELLES SCP naus 1,2,3,4-L:38-N:4-A:3001-POLLO AMARILLO MACHO","articulo":"POLLO AMARILLO MACHO","gst_codave":5,"producto_venta":"Broiler Amarillo","dias_vida":48,"fecha_entrada":"2025-08-29","cantidad_entrada":0,"estado":"Pre-Finalizado","peso_real":3.88245,"peso_real_rev":3.90133,"peso_matadero":null,"peso_granja":null,"peso_teorico":3.55200,"peso_avicontrol":null,"cantidad_entrada":4700.000,"stock_inicial":0.000,"ventas_acumuladas":-4471.000,"bajas_acumuladas":109.000,"bajas_teoricas":109.000,"stock_nave":0.000,"kilos_nave":0.000,"capacidad_nave":0.00000000000000000000,"densidad_nave":0.00000000000000000000,"kgm2_nave":0.00000000000000000000,"capacidad_nave":0.00000,"m2_nave":407.00000,"granja":"20260T-DUARRI-MANONELLES SCP naus 1,2,3,4"}, </t>
  </si>
  <si>
    <t xml:space="preserve"> {"fecha_stock":"2025-10-16","granja_lote_nave_art":"20260T-DUARRI-MANONELLES SCP naus 1,2,3,4-L:38-N:2-A:3001-POLLO AMARILLO MACHO","articulo":"POLLO AMARILLO MACHO","gst_codave":5,"producto_venta":"Broiler Amarillo","dias_vida":48,"fecha_entrada":"2025-08-29","cantidad_entrada":0,"estado":"Pre-Finalizado","peso_real":3.85944,"peso_real_rev":3.86798,"peso_matadero":null,"peso_granja":null,"peso_teorico":3.55200,"peso_avicontrol":null,"cantidad_entrada":16500.000,"stock_inicial":1530.000,"ventas_acumuladas":-14427.000,"bajas_acumuladas":535.000,"bajas_teoricas":535.000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</si>
  <si>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{"fecha_stock":"2025-10-16","granja_lote_nave_art":"20358T-CA L.IGNASI-L:38-N:1-A:3001-POLLO AMARILLO MACHO","articulo":"POLLO AMARILLO MACHO","gst_codave":5,"producto_venta":"Broiler Amarillo","dias_vida":51,"fecha_entrada":"2025-08-26","cantidad_entrada":0,"estado":"Abierto","peso_real":3.66413,"peso_real_rev":3.48776,"peso_matadero":null,"peso_granja":null,"peso_teorico":3.83400,"peso_avicontrol":null,"cantidad_entrada":16800.000,"stock_inicial":-1157.000,"ventas_acumuladas":-17762.000,"bajas_acumuladas":195.000,"bajas_teoricas":195.000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</si>
  <si>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{"fecha_stock":"2025-10-16","granja_lote_nave_art":"20388T-GRANJA CAMAR-L:38-N:1-A:3001-POLLO AMARILLO MACHO","articulo":"POLLO AMARILLO MACHO","gst_codave":5,"producto_venta":"Broiler Amarillo","dias_vida":52,"fecha_entrada":"2025-08-25","cantidad_entrada":0,"estado":"Pre-Finalizado","peso_real":3.63802,"peso_real_rev":3.58951,"peso_matadero":null,"peso_granja":null,"peso_teorico":3.92600,"peso_avicontrol":null,"cantidad_entrada":15500.000,"stock_inicial":-11813.000,"ventas_acumuladas":-26825.000,"bajas_acumuladas":488.000,"bajas_teoricas":488.000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</si>
  <si>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{"fecha_stock":"2025-10-16","granja_lote_nave_art":"20268T-CIRERA-L:37-N:3-A:3001-POLLO AMARILLO MACHO","articulo":"POLLO AMARILLO MACHO","gst_codave":5,"producto_venta":"Broiler Amarillo","dias_vida":49,"fecha_entrada":"2025-08-28","cantidad_entrada":0,"estado":"Pre-Finalizado","peso_real":3.61606,"peso_real_rev":3.61343,"peso_matadero":null,"peso_granja":null,"peso_teorico":3.64700,"peso_avicontrol":null,"cantidad_entrada":15000.000,"stock_inicial":-258.000,"ventas_acumuladas":-14450.000,"bajas_acumuladas":808.000,"bajas_teoricas":477.000,"stock_nave":-825.000,"kilos_nave":-2650.692,"capacidad_nave":-0.02844827586206896552,"densidad_nave":-1.6241985294117647,"kgm2_nave":-1.6241985294117647,"capacidad_nave":-0.02845,"m2_nave":1632.00000,"granja":"20268T-CIRERA"}, </t>
  </si>
  <si>
    <t xml:space="preserve"> {"fecha_stock":"2025-10-16","granja_lote_nave_art":"20260T-DUARRI-MANONELLES SCP naus 1,2,3,4-L:38-N:3-A:3001-POLLO AMARILLO MACHO","articulo":"POLLO AMARILLO MACHO","gst_codave":5,"producto_venta":"Broiler Amarillo","dias_vida":48,"fecha_entrada":"2025-08-29","cantidad_entrada":0,"estado":"Pre-Finalizado","peso_real":3.51988,"peso_real_rev":3.51804,"peso_matadero":null,"peso_granja":null,"peso_teorico":3.55200,"peso_avicontrol":null,"cantidad_entrada":9800.000,"stock_inicial":0.000,"ventas_acumuladas":-9421.000,"bajas_acumuladas":304.000,"bajas_teoricas":304.000,"stock_nave":431.000,"kilos_nave":1378.709,"capacidad_nave":0.02155000000000000000,"densidad_nave":1.1723715986394558,"kgm2_nave":1.1723715986394558,"capacidad_nave":0.02155,"m2_nave":1176.00000,"granja":"20260T-DUARRI-MANONELLES SCP naus 1,2,3,4"}, </t>
  </si>
  <si>
    <t xml:space="preserve"> {"fecha_stock":"2025-10-16","granja_lote_nave_art":"20268T-CIRERA-L:37-N:1-A:3003-POLLO AMARILLO MIXTO","articulo":"POLLO AMARILLO MIXTO","gst_codave":5,"producto_venta":"Broiler Amarillo","dias_vida":49,"fecha_entrada":"2025-08-28","cantidad_entrada":0,"estado":"Pre-Finalizado","peso_real":3.51455,"peso_real_rev":3.53188,"peso_matadero":null,"peso_granja":null,"peso_teorico":3.36100,"peso_avicontrol":null,"cantidad_entrada":27000.000,"stock_inicial":294.000,"ventas_acumuladas":-25848.000,"bajas_acumuladas":858.000,"bajas_teoricas":858.000,"stock_nave":294.000,"kilos_nave":1033.278,"capacidad_nave":0.01013793103448275862,"densidad_nave":0.63313602941176470588,"kgm2_nave":0.63313602941176470588,"capacidad_nave":0.01014,"m2_nave":1632.00000,"granja":"20268T-CIRERA"}, </t>
  </si>
  <si>
    <t xml:space="preserve"> {"fecha_stock":"2025-10-16","granja_lote_nave_art":"20260T-DUARRI-MANONELLES SCP naus 1,2,3,4-L:38-N:2-A:3002-POLLO AMARILLO HEMBRAS","articulo":"POLLO AMARILLO HEMBRAS","gst_codave":5,"producto_venta":"Broiler Amarillo","dias_vida":48,"fecha_entrada":"2025-08-29","cantidad_entrada":0,"estado":"Pre-Finalizado","peso_real":3.50523,"peso_real_rev":3.54979,"peso_matadero":null,"peso_granja":null,"peso_teorico":2.95200,"peso_avicontrol":null,"cantidad_entrada":16200.000,"stock_inicial":-803.000,"ventas_acumuladas":-16467.000,"bajas_acumuladas":536.000,"bajas_teoricas":536.000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</si>
  <si>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{"fecha_stock":"2025-10-16","granja_lote_nave_art":"20427T-MARIA PRAT NOGUERA-L:23-N:3-A:3002-POLLO AMARILLO HEMBRAS","articulo":"POLLO AMARILLO HEMBRAS","gst_codave":5,"producto_venta":"Broiler Amarillo","dias_vida":55,"fecha_entrada":"2025-08-22","cantidad_entrada":0,"estado":"Pre-Finalizado","peso_real":3.48322,"peso_real_rev":3.45074,"peso_matadero":null,"peso_granja":null,"peso_teorico":3.43500,"peso_avicontrol":null,"cantidad_entrada":13500.000,"stock_inicial":190.000,"ventas_acumuladas":-13109.000,"bajas_acumuladas":448.000,"bajas_teoricas":448.000,"stock_nave":190.000,"kilos_nave":661.812,"capacidad_nave":0.00703703703703703704,"densidad_nave":0.41966518706404565631,"kgm2_nave":0.41966518706404565631,"capacidad_nave":-0.01126,"m2_nave":1577.00000,"granja":"20427T-MARIA PRAT NOGUERA"}, </t>
  </si>
  <si>
    <t xml:space="preserve"> {"fecha_stock":"2025-10-16","granja_lote_nave_art":"20388T-GRANJA CAMAR-L:38-N:1-A:3002-POLLO AMARILLO HEMBRAS","articulo":"POLLO AMARILLO HEMBRAS","gst_codave":5,"producto_venta":"Broiler Amarillo","dias_vida":52,"fecha_entrada":"2025-08-25","cantidad_entrada":0,"estado":"Pre-Finalizado","peso_real":3.47425,"peso_real_rev":3.51088,"peso_matadero":null,"peso_granja":null,"peso_teorico":3.23400,"peso_avicontrol":null,"cantidad_entrada":15500.000,"stock_inicial":-11426.000,"ventas_acumuladas":-26433.000,"bajas_acumuladas":493.000,"bajas_teoricas":493.000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</si>
  <si>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{"fecha_stock":"2025-10-16","granja_lote_nave_art":"20388T-GRANJA CAMAR-L:38-N:2-A:3002-POLLO AMARILLO HEMBRAS","articulo":"POLLO AMARILLO HEMBRAS","gst_codave":5,"producto_venta":"Broiler Amarillo","dias_vida":52,"fecha_entrada":"2025-08-25","cantidad_entrada":0,"estado":"Pre-Finalizado","peso_real":3.39827,"peso_real_rev":3.42331,"peso_matadero":null,"peso_granja":null,"peso_teorico":3.23400,"peso_avicontrol":null,"cantidad_entrada":16000.000,"stock_inicial":3217.000,"ventas_acumuladas":-12253.000,"bajas_acumuladas":530.000,"bajas_teoricas":530.000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</si>
  <si>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{"fecha_stock":"2025-10-16","granja_lote_nave_art":"20358T-CA L.IGNASI-L:38-N:4-A:3002-POLLO AMARILLO HEMBRAS","articulo":"POLLO AMARILLO HEMBRAS","gst_codave":5,"producto_venta":"Broiler Amarillo","dias_vida":55,"fecha_entrada":"2025-08-22","cantidad_entrada":0,"estado":"Pre-Finalizado","peso_real":3.39611,"peso_real_rev":3.28483,"peso_matadero":null,"peso_granja":null,"peso_teorico":3.43500,"peso_avicontrol":null,"cantidad_entrada":18500.000,"stock_inicial":-242.000,"ventas_acumuladas":-18154.000,"bajas_acumuladas":588.000,"bajas_teoricas":588.000,"stock_nave":-242.000,"kilos_nave":-821.859,"capacidad_nave":-0.00636842105263157895,"densidad_nave":-0.41092950000000000000,"kgm2_nave":-0.41092950000000000000,"capacidad_nave":-0.00637,"m2_nave":2000.00000,"granja":"20358T-CA L.IGNASI"}, </t>
  </si>
  <si>
    <t xml:space="preserve"> {"fecha_stock":"2025-10-16","granja_lote_nave_art":"20358T-CA L.IGNASI-L:38-N:1-A:3002-POLLO AMARILLO HEMBRAS","articulo":"POLLO AMARILLO HEMBRAS","gst_codave":5,"producto_venta":"Broiler Amarillo","dias_vida":51,"fecha_entrada":"2025-08-26","cantidad_entrada":0,"estado":"Abierto","peso_real":3.38031,"peso_real_rev":3.40164,"peso_matadero":null,"peso_granja":null,"peso_teorico":3.16500,"peso_avicontrol":null,"cantidad_entrada":16800.000,"stock_inicial":5501.000,"ventas_acumuladas":-11016.000,"bajas_acumuladas":206.000,"bajas_teoricas":206.000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</si>
  <si>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{"fecha_stock":"2025-10-16","granja_lote_nave_art":"20432T-CASANOVA DEL PUIG (Cal Tiet)-L:21-N:1-A:3001-POLLO AMARILLO MACHO","articulo":"POLLO AMARILLO MACHO","gst_codave":5,"producto_venta":"Broiler Amarillo","dias_vida":44,"fecha_entrada":"2025-09-02","cantidad_entrada":0,"estado":"Abierto","peso_real":3.34800,"peso_real_rev":3.35388,"peso_matadero":null,"peso_granja":null,"peso_teorico":3.16400,"peso_avicontrol":null,"cantidad_entrada":15500.000,"stock_inicial":2704.000,"ventas_acumuladas":-12308.000,"bajas_acumuladas":488.000,"bajas_teoricas":488.000,"stock_nave":18663.000,"kilos_nave":53658.397,"capacidad_nave":0.58873817034700315457,"densidad_nave":30.4877255681818182,"kgm2_nave":30.4877255681818182,"capacidad_nave":0.58874,"m2_nave":1760.00000,"granja":"20432T-CASANOVA DEL PUIG (Cal Tiet)"}, </t>
  </si>
  <si>
    <t xml:space="preserve"> {"fecha_stock":"2025-10-16","granja_lote_nave_art":"20399T-GRANJA TONIC-L:39-N:1-A:3002-POLLO AMARILLO HEMBRAS","articulo":"POLLO AMARILLO HEMBRAS","gst_codave":5,"producto_venta":"Broiler Amarillo","dias_vida":51,"fecha_entrada":"2025-08-26","cantidad_entrada":0,"estado":"Pre-Finalizado","peso_real":3.32454,"peso_real_rev":3.37474,"peso_matadero":null,"peso_granja":null,"peso_teorico":3.16500,"peso_avicontrol":null,"cantidad_entrada":14700.000,"stock_inicial":1174.000,"ventas_acumuladas":-13390.000,"bajas_acumuladas":476.000,"bajas_teoricas":476.000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</si>
  <si>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{"fecha_stock":"2025-10-16","granja_lote_nave_art":"20228T-DE FEBRER ROSAS JOSEP M.-L:39-N:2-A:3001-POLLO AMARILLO MACHO","articulo":"POLLO AMARILLO MACHO","gst_codave":5,"producto_venta":"Broiler Amarillo","dias_vida":45,"fecha_entrada":"2025-09-01","cantidad_entrada":0,"estado":"Pre-Finalizado","peso_real":3.27849,"peso_real_rev":3.28381,"peso_matadero":null,"peso_granja":null,"peso_teorico":3.26200,"peso_avicontrol":null,"cantidad_entrada":16500.000,"stock_inicial":-252.000,"ventas_acumuladas":-16182.000,"bajas_acumuladas":570.000,"bajas_teoricas":535.000,"stock_nave":-433.000,"kilos_nave":-1021.116,"capacidad_nave":-0.01237142857142857143,"densidad_nave":-0.56728666666666666667,"kgm2_nave":-0.56728666666666666667,"capacidad_nave":-0.01237,"m2_nave":1800.00000,"granja":"20228T-DE FEBRER ROSAS JOSEP M."}, </t>
  </si>
  <si>
    <t xml:space="preserve"> {"fecha_stock":"2025-10-16","granja_lote_nave_art":"20396T-CAL FITÓ-L:40-N:2-A:3001-POLLO AMARILLO MACHO","articulo":"POLLO AMARILLO MACHO","gst_codave":5,"producto_venta":"Broiler Amarillo","dias_vida":42,"fecha_entrada":"2025-09-04","cantidad_entrada":0,"estado":"Pre-Finalizado","peso_real":3.27000,"peso_real_rev":3.28039,"peso_matadero":null,"peso_granja":null,"peso_teorico":2.96600,"peso_avicontrol":null,"cantidad_entrada":17200.000,"stock_inicial":16648.000,"ventas_acumuladas":0.000,"bajas_acumuladas":552.000,"bajas_teoricas":552.000,"stock_nave":-1273.000,"kilos_nave":10753.476,"capacidad_nave":-0.03822822822822822823,"densidad_nave":6.3442336283185841,"kgm2_nave":6.3442336283185841,"capacidad_nave":-0.03823,"m2_nave":1695.00000,"granja":"20396T-CAL FITÓ"}, </t>
  </si>
  <si>
    <t xml:space="preserve"> {"fecha_stock":"2025-10-16","granja_lote_nave_art":"20358T-CA L.IGNASI-L:38-N:2-A:3002-POLLO AMARILLO HEMBRAS","articulo":"POLLO AMARILLO HEMBRAS","gst_codave":5,"producto_venta":"Broiler Amarillo","dias_vida":51,"fecha_entrada":"2025-08-26","cantidad_entrada":0,"estado":"Pre-Finalizado","peso_real":3.24662,"peso_real_rev":3.26227,"peso_matadero":null,"peso_granja":null,"peso_teorico":3.16500,"peso_avicontrol":null,"cantidad_entrada":17200.000,"stock_inicial":-2354.000,"ventas_acumuladas":-18996.000,"bajas_acumuladas":558.000,"bajas_teoricas":558.000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</si>
  <si>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{"fecha_stock":"2025-10-16","granja_lote_nave_art":"20358T-CA L.IGNASI-L:38-N:3-A:3002-POLLO AMARILLO HEMBRAS","articulo":"POLLO AMARILLO HEMBRAS","gst_codave":5,"producto_venta":"Broiler Amarillo","dias_vida":55,"fecha_entrada":"2025-08-22","cantidad_entrada":0,"estado":"Pre-Finalizado","peso_real":3.23728,"peso_real_rev":3.19915,"peso_matadero":null,"peso_granja":null,"peso_teorico":3.43500,"peso_avicontrol":null,"cantidad_entrada":18500.000,"stock_inicial":-101.000,"ventas_acumuladas":-18133.000,"bajas_acumuladas":468.000,"bajas_teoricas":468.000,"stock_nave":-101.000,"kilos_nave":-326.965,"capacidad_nave":-0.00265789473684210526,"densidad_nave":-0.16381012024048096192,"kgm2_nave":-0.16381012024048096192,"capacidad_nave":-0.00266,"m2_nave":1996.00000,"granja":"20358T-CA L.IGNASI"}]}</t>
  </si>
  <si>
    <t>Funciones Postgres</t>
  </si>
  <si>
    <t>Parámetros</t>
  </si>
  <si>
    <t>Devuelve</t>
  </si>
  <si>
    <t>Propósito</t>
  </si>
  <si>
    <t>Entre fechas</t>
  </si>
  <si>
    <t>decimal</t>
  </si>
  <si>
    <t>Calcular cantidad total entre fechas</t>
  </si>
  <si>
    <t>NEW</t>
  </si>
  <si>
    <t>Entre semanas</t>
  </si>
  <si>
    <t>Fecha/granja</t>
  </si>
  <si>
    <t xml:space="preserve">Calcular cantidad total entre fechas </t>
  </si>
  <si>
    <t>api_xls.f_pla_get_set_data_stock</t>
  </si>
  <si>
    <t>Fecha</t>
  </si>
  <si>
    <t>json</t>
  </si>
  <si>
    <t>Calcular traspasar listados completos al Excel</t>
  </si>
  <si>
    <t>ENTRE FECHAS</t>
  </si>
  <si>
    <t>SALIDAS</t>
  </si>
  <si>
    <t>SEMANA CONCRETA</t>
  </si>
  <si>
    <t>GetStockAviSem</t>
  </si>
  <si>
    <t>GetEntradaAviSem</t>
  </si>
  <si>
    <t>GetSalidasAviSem</t>
  </si>
  <si>
    <t>--     @p_any        : Integer con el año</t>
  </si>
  <si>
    <t>year</t>
  </si>
  <si>
    <t>--     @p_sem       : Semana del año</t>
  </si>
  <si>
    <t>Week</t>
  </si>
  <si>
    <t>FECHA Y GRANJA</t>
  </si>
  <si>
    <t>Parametros 1 Función</t>
  </si>
  <si>
    <t>GetStockAviGrj</t>
  </si>
  <si>
    <t>TOR'</t>
  </si>
  <si>
    <t>STOCK_QTY'</t>
  </si>
  <si>
    <t>2025-11-14'</t>
  </si>
  <si>
    <t>--     @p_grj       : Granja  (texto)</t>
  </si>
  <si>
    <t>20378T</t>
  </si>
  <si>
    <t>--     @p_lote       : Lote  (texto, cast previo)</t>
  </si>
  <si>
    <t>39</t>
  </si>
  <si>
    <t>--     @p_nave       : Nave  (texto, cast previo)</t>
  </si>
  <si>
    <t>4</t>
  </si>
  <si>
    <t>--     @p_art       : Artículo  (texto, cast previo)</t>
  </si>
  <si>
    <t>3001</t>
  </si>
  <si>
    <t>LISTADOS</t>
  </si>
  <si>
    <t>GetSetEntradaAvi</t>
  </si>
  <si>
    <t>GetSetSalidasAvi</t>
  </si>
  <si>
    <t>FUNCIONES EXCEL  -&gt; DECIMAL</t>
  </si>
  <si>
    <t>Ejemplos Peticiones entre días</t>
  </si>
  <si>
    <t>Ejemplos Peticiones semana</t>
  </si>
  <si>
    <t>GetSalidasAviSem("PDX";"SALIDAS_QTY";"BRAM";2025;44;0;999;0;9999)</t>
  </si>
  <si>
    <t>Ejemplos Peticiones Granja</t>
  </si>
  <si>
    <t>select api_xls.f_pla_get_data_stock_grj_v1('TOR','STOCK_PM','2025-10-15','20452T','1','1','3002')</t>
  </si>
  <si>
    <t>-- 1. Otorgar permiso de USO (USAGE) sobre el esquema 'api_xls'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</si>
  <si>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</si>
  <si>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-- 2. Otorgar permiso de EJECUCIÓN (EXECUTE) para TODAS las funciones y procedimientos</t>
  </si>
  <si>
    <t>-- que YA EXISTEN en el esquema 'api_xls'.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</si>
  <si>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EXECUTE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FUNCTIONS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</si>
  <si>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-- 3. Otorgar permiso de USO (USAGE) para todas las SECUENCIAS (si las hay)</t>
  </si>
  <si>
    <t>-- en el esquema 'api_xls' (buena práctica).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</si>
  <si>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SEQUENCES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</si>
  <si>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-- 4. Establecer permisos FUTUROS (Importante para nuevos procedimientos)</t>
  </si>
  <si>
    <t>-- Esto asegura que cualquier nuevo procedimiento/función/secuencia que se cree</t>
  </si>
  <si>
    <t>-- en 'api_xls' también tendrá el permiso de EXECUTE para estos usuarios.</t>
  </si>
  <si>
    <r>
      <t>ALTER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DEFAULT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PRIVILEGES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IN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SCHEMA</t>
    </r>
    <r>
      <rPr>
        <u/>
        <sz val="16"/>
        <color rgb="FF000000"/>
        <rFont val="Courier New"/>
        <family val="3"/>
      </rPr>
      <t xml:space="preserve"> api_xls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</si>
  <si>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EXECUTE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FUNCTIONS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</si>
  <si>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USAGE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SEQUENCES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</si>
  <si>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Antiguo nombre</t>
  </si>
  <si>
    <t>api_xls.f_pla_get_data_stock_v1</t>
  </si>
  <si>
    <t>api_xls.f_pla_get_data_stock_sem_v1</t>
  </si>
  <si>
    <t>api_xls.f_pla_get_data_stock_grj_v1</t>
  </si>
  <si>
    <t>api_xls.f_pla_get_set_data_stock_v1</t>
  </si>
  <si>
    <t>2025-10-01','2025-10-10',0,999,0,9.999);</t>
  </si>
  <si>
    <t>GetEntradaAvi("PDX";"ENTRADAS_QTY";"BRAM";"01/10/2025";"09/10/2025")</t>
  </si>
  <si>
    <t>GetStockAvi("PDX";"STOCK_QTY";"BRAM";"10/10/2025";0;999;0;9999)</t>
  </si>
  <si>
    <t>GetSalidasAvi("PDX";"SALIDAS_QTY";"BRAM";"01/10/2025";"09/10/2025";0;999;0;9999)</t>
  </si>
  <si>
    <t>GetStockAviGrj("TOR";"STOCK_PM";"2025-10-15";"20452T";"1";"1";"3002")</t>
  </si>
  <si>
    <t>GetEntradaAviSem("PDX";"ENTRADAS_QTY";"BRAM";2025;44)</t>
  </si>
  <si>
    <t>GetStockAviSem("PDX";"SALIDAS_QTY";"BRAM";2025;44;0;999;0;9999)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</si>
</sst>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rgb="FF739ECA"/>
      <name val="Consolas"/>
      <family val="3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3" tint="9.9978637043366805E-2"/>
      <name val="Aptos Narrow"/>
      <family val="2"/>
      <scheme val="minor"/>
    </font>
    <font>
      <b/>
      <sz val="16"/>
      <color theme="3" tint="9.9978637043366805E-2"/>
      <name val="Aptos Narrow"/>
      <family val="2"/>
      <scheme val="minor"/>
    </font>
    <font>
      <sz val="16"/>
      <color rgb="FF808080"/>
      <name val="Courier New"/>
      <family val="3"/>
    </font>
    <font>
      <b/>
      <sz val="16"/>
      <color rgb="FF800000"/>
      <name val="Courier New"/>
      <family val="3"/>
    </font>
    <font>
      <sz val="16"/>
      <color rgb="FF000000"/>
      <name val="Courier New"/>
      <family val="3"/>
    </font>
    <font>
      <sz val="16"/>
      <color rgb="FFFF0000"/>
      <name val="Courier New"/>
      <family val="3"/>
    </font>
    <font>
      <b/>
      <u/>
      <sz val="16"/>
      <color rgb="FF800000"/>
      <name val="Courier New"/>
      <family val="3"/>
    </font>
    <font>
      <u/>
      <sz val="16"/>
      <color rgb="FF00000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2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quotePrefix="1" applyNumberFormat="1"/>
    <xf numFmtId="0" fontId="2" fillId="0" borderId="0" xfId="1"/>
    <xf numFmtId="0" fontId="6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9" fillId="3" borderId="2" xfId="0" applyFont="1" applyFill="1" applyBorder="1" applyAlignment="1">
      <alignment horizontal="left" vertical="top" wrapText="1"/>
    </xf>
    <xf numFmtId="0" fontId="9" fillId="3" borderId="3" xfId="0" applyFont="1" applyFill="1" applyBorder="1" applyAlignment="1">
      <alignment horizontal="left" vertical="top" wrapText="1"/>
    </xf>
    <xf numFmtId="0" fontId="0" fillId="4" borderId="4" xfId="0" applyFill="1" applyBorder="1"/>
    <xf numFmtId="0" fontId="0" fillId="4" borderId="5" xfId="0" applyFill="1" applyBorder="1"/>
    <xf numFmtId="14" fontId="0" fillId="4" borderId="5" xfId="0" applyNumberFormat="1" applyFill="1" applyBorder="1"/>
    <xf numFmtId="0" fontId="4" fillId="2" borderId="1" xfId="1" applyFont="1" applyFill="1" applyBorder="1" applyAlignment="1">
      <alignment horizontal="center"/>
    </xf>
    <xf numFmtId="0" fontId="16" fillId="0" borderId="0" xfId="1" applyFont="1" applyAlignment="1">
      <alignment vertical="center"/>
    </xf>
    <xf numFmtId="0" fontId="2" fillId="8" borderId="0" xfId="1" applyFill="1" applyAlignment="1">
      <alignment vertical="center"/>
    </xf>
    <xf numFmtId="0" fontId="12" fillId="0" borderId="0" xfId="1" applyFont="1" applyAlignment="1">
      <alignment vertical="center"/>
    </xf>
    <xf numFmtId="0" fontId="13" fillId="0" borderId="0" xfId="1" applyFont="1" applyAlignment="1">
      <alignment vertical="center"/>
    </xf>
    <xf numFmtId="0" fontId="3" fillId="0" borderId="0" xfId="1" applyFont="1"/>
    <xf numFmtId="0" fontId="4" fillId="2" borderId="1" xfId="1" applyFont="1" applyFill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4" fillId="2" borderId="1" xfId="1" applyFont="1" applyFill="1" applyBorder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10" fillId="0" borderId="0" xfId="1" applyFont="1"/>
    <xf numFmtId="0" fontId="2" fillId="0" borderId="0" xfId="1" applyAlignment="1">
      <alignment horizontal="left"/>
    </xf>
    <xf numFmtId="0" fontId="11" fillId="0" borderId="0" xfId="1" applyFont="1"/>
    <xf numFmtId="0" fontId="4" fillId="7" borderId="1" xfId="1" applyFont="1" applyFill="1" applyBorder="1" applyAlignment="1">
      <alignment horizontal="center"/>
    </xf>
    <xf numFmtId="0" fontId="2" fillId="0" borderId="1" xfId="1" applyBorder="1" applyAlignment="1">
      <alignment horizontal="center" wrapText="1"/>
    </xf>
    <xf numFmtId="0" fontId="5" fillId="0" borderId="1" xfId="1" applyFont="1" applyBorder="1"/>
    <xf numFmtId="0" fontId="5" fillId="5" borderId="1" xfId="1" applyFont="1" applyFill="1" applyBorder="1"/>
    <xf numFmtId="0" fontId="2" fillId="5" borderId="1" xfId="1" applyFill="1" applyBorder="1" applyAlignment="1">
      <alignment horizontal="center"/>
    </xf>
    <xf numFmtId="0" fontId="2" fillId="5" borderId="1" xfId="1" applyFill="1" applyBorder="1" applyAlignment="1">
      <alignment horizontal="center" wrapText="1"/>
    </xf>
    <xf numFmtId="0" fontId="2" fillId="5" borderId="1" xfId="1" quotePrefix="1" applyFill="1" applyBorder="1"/>
    <xf numFmtId="0" fontId="2" fillId="5" borderId="1" xfId="1" applyFill="1" applyBorder="1"/>
    <xf numFmtId="0" fontId="2" fillId="5" borderId="1" xfId="1" quotePrefix="1" applyFill="1" applyBorder="1" applyAlignment="1">
      <alignment horizontal="center"/>
    </xf>
    <xf numFmtId="0" fontId="2" fillId="0" borderId="0" xfId="1" quotePrefix="1"/>
    <xf numFmtId="0" fontId="2" fillId="2" borderId="1" xfId="1" applyFill="1" applyBorder="1" applyAlignment="1">
      <alignment horizontal="center"/>
    </xf>
    <xf numFmtId="0" fontId="2" fillId="7" borderId="1" xfId="1" applyFill="1" applyBorder="1" applyAlignment="1">
      <alignment horizontal="left"/>
    </xf>
    <xf numFmtId="0" fontId="4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5" borderId="1" xfId="1" applyFont="1" applyFill="1" applyBorder="1" applyAlignment="1">
      <alignment horizontal="center"/>
    </xf>
    <xf numFmtId="0" fontId="0" fillId="0" borderId="0" xfId="0" applyNumberFormat="1"/>
  </cellXfs>
  <cellStyles count="4">
    <cellStyle name="Millares 2" xfId="2" xr:uid="{6C296D83-D875-45F9-8AE8-9220B61BAC5D}"/>
    <cellStyle name="Millares 3" xfId="3" xr:uid="{6AB12E29-EB83-46B9-A873-A191955F3DCC}"/>
    <cellStyle name="Normal" xfId="0" builtinId="0"/>
    <cellStyle name="Normal 2" xfId="1" xr:uid="{4F265D0F-F0F8-41E6-8241-506690B81C08}"/>
  </cellStyles>
  <dxfs count="4">
    <dxf>
      <numFmt numFmtId="164" formatCode="#,##0_ ;\-#,##0\ "/>
    </dxf>
    <dxf>
      <numFmt numFmtId="19" formatCode="dd/mm/yyyy"/>
    </dxf>
    <dxf>
      <numFmt numFmtId="19" formatCode="dd/mm/yyyy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 headerRowDxfId="3">
  <autoFilter ref="F1:R4" xr:uid="{7A5D0CDB-1B09-4054-ACB4-CCE2938B6586}"/>
  <tableColumns count="13">
    <tableColumn id="1" xr3:uid="{BD7C8B58-B743-484C-AFF3-7831C4837138}" name="Empresa"/>
    <tableColumn id="2" xr3:uid="{A09A0A58-0C69-4F05-A2E9-CA6EA8C4413F}" name="Dato"/>
    <tableColumn id="3" xr3:uid="{C5B5DC5A-F4D6-4A89-98D1-F53D034FA8A2}" name="Producto Venta"/>
    <tableColumn id="4" xr3:uid="{F516E9ED-D821-4435-9F1A-1EE07EB99D23}" name="Fecha Stock"/>
    <tableColumn id="5" xr3:uid="{ADB3D741-47C8-44B7-8DD4-B8F5E313D993}" name="Desde Fecha" dataDxfId="2"/>
    <tableColumn id="6" xr3:uid="{75C8AA13-6E74-4926-910C-68A49E53F009}" name="Hasta Fecha" dataDxfId="1"/>
    <tableColumn id="7" xr3:uid="{D1B315E7-823F-41F2-8196-97A9DCF7677A}" name="Desde días de Vida"/>
    <tableColumn id="8" xr3:uid="{CD5FEF3A-196D-4D67-B9D1-B3374DDE9AD0}" name="Hasta Días de Vida"/>
    <tableColumn id="9" xr3:uid="{71B6A375-684F-42FD-A348-AEB73ACC0500}" name="Peso Inicial"/>
    <tableColumn id="10" xr3:uid="{30CF6BD8-AF17-42AB-99FA-73F144ABB3E3}" name="Peso Final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A3:I216"/>
  <sheetViews>
    <sheetView workbookViewId="0">
      <selection activeCell="C19" sqref="C19"/>
    </sheetView>
  </sheetViews>
  <sheetFormatPr baseColWidth="10" defaultRowHeight="15.75" x14ac:dyDescent="0.25"/>
  <cols>
    <col min="1" max="1" width="10.28515625" style="2" customWidth="1"/>
    <col min="2" max="2" width="91.5703125" style="2" customWidth="1"/>
    <col min="3" max="4" width="20.5703125" style="2" customWidth="1"/>
    <col min="5" max="5" width="21.5703125" style="2" customWidth="1"/>
    <col min="6" max="6" width="14.7109375" style="2" customWidth="1"/>
    <col min="7" max="16384" width="11.42578125" style="2"/>
  </cols>
  <sheetData>
    <row r="3" spans="1:9" ht="24" x14ac:dyDescent="0.4">
      <c r="A3"/>
      <c r="B3" s="27" t="s">
        <v>47</v>
      </c>
      <c r="C3"/>
      <c r="D3"/>
      <c r="E3"/>
      <c r="F3"/>
      <c r="G3"/>
      <c r="H3"/>
      <c r="I3"/>
    </row>
    <row r="4" spans="1:9" ht="24" x14ac:dyDescent="0.4">
      <c r="A4"/>
      <c r="B4" s="27"/>
      <c r="C4"/>
      <c r="D4"/>
      <c r="E4"/>
      <c r="F4"/>
      <c r="G4"/>
      <c r="H4"/>
      <c r="I4"/>
    </row>
    <row r="5" spans="1:9" x14ac:dyDescent="0.25">
      <c r="A5"/>
      <c r="B5" s="24" t="s">
        <v>103</v>
      </c>
      <c r="C5" s="15" t="s">
        <v>104</v>
      </c>
      <c r="D5" s="15" t="s">
        <v>105</v>
      </c>
      <c r="E5" s="15" t="s">
        <v>106</v>
      </c>
      <c r="F5" s="42" t="s">
        <v>165</v>
      </c>
      <c r="G5" s="42"/>
      <c r="H5" s="42"/>
      <c r="I5" s="42"/>
    </row>
    <row r="6" spans="1:9" ht="33.75" x14ac:dyDescent="0.4">
      <c r="A6"/>
      <c r="B6" s="32" t="s">
        <v>166</v>
      </c>
      <c r="C6" s="22" t="s">
        <v>107</v>
      </c>
      <c r="D6" s="22" t="s">
        <v>108</v>
      </c>
      <c r="E6" s="31" t="s">
        <v>109</v>
      </c>
      <c r="F6" s="43" t="s">
        <v>46</v>
      </c>
      <c r="G6" s="43"/>
      <c r="H6" s="43"/>
      <c r="I6" s="43"/>
    </row>
    <row r="7" spans="1:9" ht="33.75" x14ac:dyDescent="0.4">
      <c r="A7" s="34" t="s">
        <v>110</v>
      </c>
      <c r="B7" s="33" t="s">
        <v>167</v>
      </c>
      <c r="C7" s="34" t="s">
        <v>111</v>
      </c>
      <c r="D7" s="34" t="s">
        <v>108</v>
      </c>
      <c r="E7" s="35" t="s">
        <v>109</v>
      </c>
      <c r="F7" s="44"/>
      <c r="G7" s="44"/>
      <c r="H7" s="44"/>
      <c r="I7" s="44"/>
    </row>
    <row r="8" spans="1:9" ht="33.75" x14ac:dyDescent="0.4">
      <c r="A8" s="34" t="s">
        <v>110</v>
      </c>
      <c r="B8" s="33" t="s">
        <v>168</v>
      </c>
      <c r="C8" s="34" t="s">
        <v>112</v>
      </c>
      <c r="D8" s="34" t="s">
        <v>108</v>
      </c>
      <c r="E8" s="35" t="s">
        <v>113</v>
      </c>
      <c r="F8" s="44"/>
      <c r="G8" s="44"/>
      <c r="H8" s="44"/>
      <c r="I8" s="44"/>
    </row>
    <row r="9" spans="1:9" ht="49.5" x14ac:dyDescent="0.4">
      <c r="A9"/>
      <c r="B9" s="32" t="s">
        <v>169</v>
      </c>
      <c r="C9" s="22" t="s">
        <v>115</v>
      </c>
      <c r="D9" s="22" t="s">
        <v>116</v>
      </c>
      <c r="E9" s="31" t="s">
        <v>117</v>
      </c>
      <c r="F9" s="43" t="s">
        <v>114</v>
      </c>
      <c r="G9" s="43"/>
      <c r="H9" s="43"/>
      <c r="I9" s="43"/>
    </row>
    <row r="11" spans="1:9" ht="21" x14ac:dyDescent="0.35">
      <c r="A11"/>
      <c r="B11" s="29" t="s">
        <v>118</v>
      </c>
      <c r="C11"/>
      <c r="D11"/>
      <c r="E11"/>
      <c r="F11"/>
      <c r="G11"/>
      <c r="H11"/>
      <c r="I11"/>
    </row>
    <row r="12" spans="1:9" x14ac:dyDescent="0.25">
      <c r="A12"/>
      <c r="B12"/>
      <c r="C12" s="26" t="s">
        <v>45</v>
      </c>
      <c r="D12" s="26" t="s">
        <v>44</v>
      </c>
      <c r="E12" s="26" t="s">
        <v>119</v>
      </c>
      <c r="F12"/>
      <c r="G12"/>
      <c r="H12"/>
      <c r="I12"/>
    </row>
    <row r="13" spans="1:9" x14ac:dyDescent="0.25">
      <c r="A13"/>
      <c r="B13"/>
      <c r="C13" s="40" t="s">
        <v>43</v>
      </c>
      <c r="D13" s="40"/>
      <c r="E13" s="40"/>
      <c r="F13" s="23"/>
      <c r="G13" s="23"/>
      <c r="H13"/>
      <c r="I13"/>
    </row>
    <row r="14" spans="1:9" x14ac:dyDescent="0.25">
      <c r="A14"/>
      <c r="B14" s="24" t="s">
        <v>42</v>
      </c>
      <c r="C14" s="15" t="s">
        <v>41</v>
      </c>
      <c r="D14" s="15" t="s">
        <v>40</v>
      </c>
      <c r="E14" s="15" t="s">
        <v>39</v>
      </c>
      <c r="F14" s="15" t="s">
        <v>38</v>
      </c>
      <c r="G14" s="23"/>
      <c r="H14"/>
      <c r="I14"/>
    </row>
    <row r="15" spans="1:9" x14ac:dyDescent="0.25">
      <c r="A15"/>
      <c r="B15" s="23" t="s">
        <v>37</v>
      </c>
      <c r="C15" s="22" t="s">
        <v>26</v>
      </c>
      <c r="D15" s="22" t="s">
        <v>26</v>
      </c>
      <c r="E15" s="22" t="s">
        <v>26</v>
      </c>
      <c r="F15" s="22"/>
      <c r="G15" s="23"/>
      <c r="H15"/>
      <c r="I15"/>
    </row>
    <row r="16" spans="1:9" x14ac:dyDescent="0.25">
      <c r="A16"/>
      <c r="B16" s="23" t="s">
        <v>36</v>
      </c>
      <c r="C16" s="22" t="s">
        <v>26</v>
      </c>
      <c r="D16" s="22" t="s">
        <v>26</v>
      </c>
      <c r="E16" s="22" t="s">
        <v>26</v>
      </c>
      <c r="F16" s="22"/>
      <c r="G16" s="23"/>
      <c r="H16"/>
      <c r="I16"/>
    </row>
    <row r="17" spans="2:7" x14ac:dyDescent="0.25">
      <c r="B17" s="23" t="s">
        <v>35</v>
      </c>
      <c r="C17" s="22" t="s">
        <v>26</v>
      </c>
      <c r="D17" s="22" t="s">
        <v>26</v>
      </c>
      <c r="E17" s="22" t="s">
        <v>26</v>
      </c>
      <c r="F17" s="22"/>
      <c r="G17" s="23"/>
    </row>
    <row r="18" spans="2:7" x14ac:dyDescent="0.25">
      <c r="B18" s="23" t="s">
        <v>34</v>
      </c>
      <c r="C18" s="22" t="s">
        <v>26</v>
      </c>
      <c r="D18" s="22"/>
      <c r="E18" s="22"/>
      <c r="F18" s="22" t="s">
        <v>31</v>
      </c>
      <c r="G18" s="23"/>
    </row>
    <row r="19" spans="2:7" x14ac:dyDescent="0.25">
      <c r="B19" s="23" t="s">
        <v>33</v>
      </c>
      <c r="C19" s="22"/>
      <c r="D19" s="22" t="s">
        <v>26</v>
      </c>
      <c r="E19" s="22" t="s">
        <v>26</v>
      </c>
      <c r="F19" s="22" t="s">
        <v>31</v>
      </c>
      <c r="G19" s="23"/>
    </row>
    <row r="20" spans="2:7" x14ac:dyDescent="0.25">
      <c r="B20" s="23" t="s">
        <v>32</v>
      </c>
      <c r="C20" s="22"/>
      <c r="D20" s="22" t="s">
        <v>26</v>
      </c>
      <c r="E20" s="22" t="s">
        <v>26</v>
      </c>
      <c r="F20" s="22" t="s">
        <v>31</v>
      </c>
      <c r="G20" s="23"/>
    </row>
    <row r="21" spans="2:7" x14ac:dyDescent="0.25">
      <c r="B21" s="23" t="s">
        <v>30</v>
      </c>
      <c r="C21" s="22" t="s">
        <v>26</v>
      </c>
      <c r="D21" s="22"/>
      <c r="E21" s="22" t="s">
        <v>26</v>
      </c>
      <c r="F21" s="22">
        <v>0</v>
      </c>
      <c r="G21" s="23"/>
    </row>
    <row r="22" spans="2:7" x14ac:dyDescent="0.25">
      <c r="B22" s="23" t="s">
        <v>29</v>
      </c>
      <c r="C22" s="22" t="s">
        <v>26</v>
      </c>
      <c r="D22" s="22"/>
      <c r="E22" s="22" t="s">
        <v>26</v>
      </c>
      <c r="F22" s="22">
        <v>9999</v>
      </c>
      <c r="G22" s="23"/>
    </row>
    <row r="23" spans="2:7" x14ac:dyDescent="0.25">
      <c r="B23" s="23" t="s">
        <v>28</v>
      </c>
      <c r="C23" s="22" t="s">
        <v>26</v>
      </c>
      <c r="D23" s="22"/>
      <c r="E23" s="22" t="s">
        <v>26</v>
      </c>
      <c r="F23" s="22">
        <v>0</v>
      </c>
      <c r="G23" s="23"/>
    </row>
    <row r="24" spans="2:7" x14ac:dyDescent="0.25">
      <c r="B24" s="23" t="s">
        <v>27</v>
      </c>
      <c r="C24" s="22" t="s">
        <v>26</v>
      </c>
      <c r="D24" s="22"/>
      <c r="E24" s="22" t="s">
        <v>26</v>
      </c>
      <c r="F24" s="22">
        <v>99.998999999999995</v>
      </c>
      <c r="G24" s="22" t="s">
        <v>25</v>
      </c>
    </row>
    <row r="26" spans="2:7" ht="21" x14ac:dyDescent="0.35">
      <c r="B26" s="29" t="s">
        <v>120</v>
      </c>
      <c r="C26" s="26" t="s">
        <v>45</v>
      </c>
      <c r="D26" s="26" t="s">
        <v>44</v>
      </c>
      <c r="E26" s="26" t="s">
        <v>119</v>
      </c>
      <c r="F26"/>
      <c r="G26"/>
    </row>
    <row r="27" spans="2:7" x14ac:dyDescent="0.25">
      <c r="B27"/>
      <c r="C27" s="40" t="s">
        <v>43</v>
      </c>
      <c r="D27" s="40"/>
      <c r="E27" s="40"/>
      <c r="F27" s="23"/>
      <c r="G27" s="23"/>
    </row>
    <row r="28" spans="2:7" x14ac:dyDescent="0.25">
      <c r="B28" s="24" t="s">
        <v>42</v>
      </c>
      <c r="C28" s="15" t="s">
        <v>121</v>
      </c>
      <c r="D28" s="15" t="s">
        <v>122</v>
      </c>
      <c r="E28" s="15" t="s">
        <v>123</v>
      </c>
      <c r="F28" s="15" t="s">
        <v>38</v>
      </c>
      <c r="G28" s="23"/>
    </row>
    <row r="29" spans="2:7" x14ac:dyDescent="0.25">
      <c r="B29" s="23" t="s">
        <v>37</v>
      </c>
      <c r="C29" s="22" t="s">
        <v>26</v>
      </c>
      <c r="D29" s="22" t="s">
        <v>26</v>
      </c>
      <c r="E29" s="22" t="s">
        <v>26</v>
      </c>
      <c r="F29" s="22"/>
      <c r="G29" s="23"/>
    </row>
    <row r="30" spans="2:7" x14ac:dyDescent="0.25">
      <c r="B30" s="23" t="s">
        <v>36</v>
      </c>
      <c r="C30" s="22" t="s">
        <v>26</v>
      </c>
      <c r="D30" s="22" t="s">
        <v>26</v>
      </c>
      <c r="E30" s="22" t="s">
        <v>26</v>
      </c>
      <c r="F30" s="22"/>
      <c r="G30" s="23"/>
    </row>
    <row r="31" spans="2:7" x14ac:dyDescent="0.25">
      <c r="B31" s="23" t="s">
        <v>35</v>
      </c>
      <c r="C31" s="22" t="s">
        <v>26</v>
      </c>
      <c r="D31" s="22" t="s">
        <v>26</v>
      </c>
      <c r="E31" s="22" t="s">
        <v>26</v>
      </c>
      <c r="F31" s="22"/>
      <c r="G31" s="23"/>
    </row>
    <row r="32" spans="2:7" x14ac:dyDescent="0.25">
      <c r="B32" s="36" t="s">
        <v>124</v>
      </c>
      <c r="C32" s="34" t="s">
        <v>26</v>
      </c>
      <c r="D32" s="34" t="s">
        <v>26</v>
      </c>
      <c r="E32" s="34" t="s">
        <v>26</v>
      </c>
      <c r="F32" s="34" t="s">
        <v>125</v>
      </c>
      <c r="G32" s="37"/>
    </row>
    <row r="33" spans="2:7" x14ac:dyDescent="0.25">
      <c r="B33" s="36" t="s">
        <v>126</v>
      </c>
      <c r="C33" s="34" t="s">
        <v>26</v>
      </c>
      <c r="D33" s="34" t="s">
        <v>26</v>
      </c>
      <c r="E33" s="34" t="s">
        <v>26</v>
      </c>
      <c r="F33" s="34" t="s">
        <v>127</v>
      </c>
      <c r="G33" s="37"/>
    </row>
    <row r="34" spans="2:7" x14ac:dyDescent="0.25">
      <c r="B34" s="23" t="s">
        <v>30</v>
      </c>
      <c r="C34" s="22" t="s">
        <v>26</v>
      </c>
      <c r="D34" s="22"/>
      <c r="E34" s="22" t="s">
        <v>26</v>
      </c>
      <c r="F34" s="22">
        <v>0</v>
      </c>
      <c r="G34" s="23"/>
    </row>
    <row r="35" spans="2:7" x14ac:dyDescent="0.25">
      <c r="B35" s="23" t="s">
        <v>29</v>
      </c>
      <c r="C35" s="22" t="s">
        <v>26</v>
      </c>
      <c r="D35" s="22"/>
      <c r="E35" s="22" t="s">
        <v>26</v>
      </c>
      <c r="F35" s="22">
        <v>9999</v>
      </c>
      <c r="G35" s="23"/>
    </row>
    <row r="36" spans="2:7" x14ac:dyDescent="0.25">
      <c r="B36" s="23" t="s">
        <v>28</v>
      </c>
      <c r="C36" s="22" t="s">
        <v>26</v>
      </c>
      <c r="D36" s="22"/>
      <c r="E36" s="22" t="s">
        <v>26</v>
      </c>
      <c r="F36" s="22">
        <v>0</v>
      </c>
      <c r="G36" s="23"/>
    </row>
    <row r="37" spans="2:7" x14ac:dyDescent="0.25">
      <c r="B37" s="23" t="s">
        <v>27</v>
      </c>
      <c r="C37" s="22" t="s">
        <v>26</v>
      </c>
      <c r="D37" s="22"/>
      <c r="E37" s="22" t="s">
        <v>26</v>
      </c>
      <c r="F37" s="22">
        <v>99.998999999999995</v>
      </c>
      <c r="G37" s="22" t="s">
        <v>25</v>
      </c>
    </row>
    <row r="40" spans="2:7" ht="21" x14ac:dyDescent="0.35">
      <c r="B40" s="29" t="s">
        <v>128</v>
      </c>
      <c r="C40" s="26" t="s">
        <v>45</v>
      </c>
      <c r="D40" s="26"/>
      <c r="E40" s="26"/>
      <c r="F40"/>
      <c r="G40"/>
    </row>
    <row r="41" spans="2:7" x14ac:dyDescent="0.25">
      <c r="B41" s="28"/>
      <c r="C41" s="41" t="s">
        <v>129</v>
      </c>
      <c r="D41" s="41"/>
      <c r="E41" s="41"/>
      <c r="F41" s="23"/>
      <c r="G41" s="23"/>
    </row>
    <row r="42" spans="2:7" x14ac:dyDescent="0.25">
      <c r="B42" s="24" t="s">
        <v>42</v>
      </c>
      <c r="C42" s="15" t="s">
        <v>130</v>
      </c>
      <c r="D42" s="30"/>
      <c r="E42" s="30"/>
      <c r="F42" s="15" t="s">
        <v>38</v>
      </c>
      <c r="G42" s="23"/>
    </row>
    <row r="43" spans="2:7" x14ac:dyDescent="0.25">
      <c r="B43" s="37" t="s">
        <v>37</v>
      </c>
      <c r="C43" s="34" t="s">
        <v>26</v>
      </c>
      <c r="D43" s="34"/>
      <c r="E43" s="34"/>
      <c r="F43" s="38" t="s">
        <v>131</v>
      </c>
      <c r="G43" s="37"/>
    </row>
    <row r="44" spans="2:7" x14ac:dyDescent="0.25">
      <c r="B44" s="37" t="s">
        <v>36</v>
      </c>
      <c r="C44" s="34" t="s">
        <v>26</v>
      </c>
      <c r="D44" s="34"/>
      <c r="E44" s="34"/>
      <c r="F44" s="38" t="s">
        <v>132</v>
      </c>
      <c r="G44" s="37"/>
    </row>
    <row r="45" spans="2:7" x14ac:dyDescent="0.25">
      <c r="B45" s="37" t="s">
        <v>34</v>
      </c>
      <c r="C45" s="34" t="s">
        <v>26</v>
      </c>
      <c r="D45" s="34"/>
      <c r="E45" s="34"/>
      <c r="F45" s="38" t="s">
        <v>133</v>
      </c>
      <c r="G45" s="37"/>
    </row>
    <row r="46" spans="2:7" x14ac:dyDescent="0.25">
      <c r="B46" s="36" t="s">
        <v>134</v>
      </c>
      <c r="C46" s="34" t="s">
        <v>26</v>
      </c>
      <c r="D46" s="34"/>
      <c r="E46" s="34"/>
      <c r="F46" s="34" t="s">
        <v>135</v>
      </c>
      <c r="G46" s="37"/>
    </row>
    <row r="47" spans="2:7" x14ac:dyDescent="0.25">
      <c r="B47" s="36" t="s">
        <v>136</v>
      </c>
      <c r="C47" s="34" t="s">
        <v>26</v>
      </c>
      <c r="D47" s="34"/>
      <c r="E47" s="34"/>
      <c r="F47" s="38" t="s">
        <v>137</v>
      </c>
      <c r="G47" s="37"/>
    </row>
    <row r="48" spans="2:7" x14ac:dyDescent="0.25">
      <c r="B48" s="36" t="s">
        <v>138</v>
      </c>
      <c r="C48" s="34" t="s">
        <v>26</v>
      </c>
      <c r="D48" s="34"/>
      <c r="E48" s="34"/>
      <c r="F48" s="38" t="s">
        <v>139</v>
      </c>
      <c r="G48" s="37"/>
    </row>
    <row r="49" spans="2:7" x14ac:dyDescent="0.25">
      <c r="B49" s="36" t="s">
        <v>140</v>
      </c>
      <c r="C49" s="34" t="s">
        <v>26</v>
      </c>
      <c r="D49" s="34"/>
      <c r="E49" s="34"/>
      <c r="F49" s="38" t="s">
        <v>141</v>
      </c>
      <c r="G49" s="37"/>
    </row>
    <row r="53" spans="2:7" ht="21" x14ac:dyDescent="0.35">
      <c r="B53" s="29" t="s">
        <v>142</v>
      </c>
      <c r="C53" s="26" t="s">
        <v>45</v>
      </c>
      <c r="D53" s="26"/>
      <c r="E53" s="26"/>
      <c r="F53"/>
      <c r="G53"/>
    </row>
    <row r="54" spans="2:7" x14ac:dyDescent="0.25">
      <c r="B54"/>
      <c r="C54" s="40" t="s">
        <v>43</v>
      </c>
      <c r="D54" s="40"/>
      <c r="E54" s="40"/>
      <c r="F54" s="23"/>
      <c r="G54" s="23"/>
    </row>
    <row r="55" spans="2:7" x14ac:dyDescent="0.25">
      <c r="B55" s="24" t="s">
        <v>42</v>
      </c>
      <c r="C55" s="15" t="s">
        <v>66</v>
      </c>
      <c r="D55" s="15" t="s">
        <v>143</v>
      </c>
      <c r="E55" s="15" t="s">
        <v>144</v>
      </c>
      <c r="F55" s="15" t="s">
        <v>38</v>
      </c>
      <c r="G55" s="23"/>
    </row>
    <row r="56" spans="2:7" x14ac:dyDescent="0.25">
      <c r="B56" s="23" t="s">
        <v>37</v>
      </c>
      <c r="C56" s="22" t="s">
        <v>26</v>
      </c>
      <c r="D56" s="22" t="s">
        <v>26</v>
      </c>
      <c r="E56" s="22" t="s">
        <v>26</v>
      </c>
      <c r="F56" s="22"/>
      <c r="G56" s="23"/>
    </row>
    <row r="57" spans="2:7" x14ac:dyDescent="0.25">
      <c r="B57" s="23" t="s">
        <v>36</v>
      </c>
      <c r="C57" s="22" t="s">
        <v>26</v>
      </c>
      <c r="D57" s="22" t="s">
        <v>26</v>
      </c>
      <c r="E57" s="22" t="s">
        <v>26</v>
      </c>
      <c r="F57" s="22"/>
      <c r="G57" s="23"/>
    </row>
    <row r="58" spans="2:7" x14ac:dyDescent="0.25">
      <c r="B58" s="23" t="s">
        <v>35</v>
      </c>
      <c r="C58" s="22" t="s">
        <v>26</v>
      </c>
      <c r="D58" s="22" t="s">
        <v>26</v>
      </c>
      <c r="E58" s="22" t="s">
        <v>26</v>
      </c>
      <c r="F58" s="22"/>
      <c r="G58" s="23"/>
    </row>
    <row r="59" spans="2:7" x14ac:dyDescent="0.25">
      <c r="B59" s="23" t="s">
        <v>34</v>
      </c>
      <c r="C59" s="22" t="s">
        <v>26</v>
      </c>
      <c r="D59" s="22"/>
      <c r="E59" s="22"/>
      <c r="F59" s="22" t="s">
        <v>31</v>
      </c>
      <c r="G59" s="23"/>
    </row>
    <row r="60" spans="2:7" x14ac:dyDescent="0.25">
      <c r="B60" s="23" t="s">
        <v>33</v>
      </c>
      <c r="C60" s="22"/>
      <c r="D60" s="22" t="s">
        <v>26</v>
      </c>
      <c r="E60" s="22" t="s">
        <v>26</v>
      </c>
      <c r="F60" s="22" t="s">
        <v>31</v>
      </c>
      <c r="G60" s="23"/>
    </row>
    <row r="61" spans="2:7" x14ac:dyDescent="0.25">
      <c r="B61" s="23" t="s">
        <v>32</v>
      </c>
      <c r="C61" s="22"/>
      <c r="D61" s="22" t="s">
        <v>26</v>
      </c>
      <c r="E61" s="22" t="s">
        <v>26</v>
      </c>
      <c r="F61" s="22" t="s">
        <v>31</v>
      </c>
      <c r="G61" s="23"/>
    </row>
    <row r="62" spans="2:7" x14ac:dyDescent="0.25">
      <c r="B62" s="23" t="s">
        <v>30</v>
      </c>
      <c r="C62" s="22" t="s">
        <v>26</v>
      </c>
      <c r="D62" s="22"/>
      <c r="E62" s="22" t="s">
        <v>26</v>
      </c>
      <c r="F62" s="22">
        <v>0</v>
      </c>
      <c r="G62" s="23"/>
    </row>
    <row r="63" spans="2:7" x14ac:dyDescent="0.25">
      <c r="B63" s="23" t="s">
        <v>29</v>
      </c>
      <c r="C63" s="22" t="s">
        <v>26</v>
      </c>
      <c r="D63" s="22"/>
      <c r="E63" s="22" t="s">
        <v>26</v>
      </c>
      <c r="F63" s="22">
        <v>9999</v>
      </c>
      <c r="G63" s="23"/>
    </row>
    <row r="64" spans="2:7" x14ac:dyDescent="0.25">
      <c r="B64" s="23" t="s">
        <v>28</v>
      </c>
      <c r="C64" s="22" t="s">
        <v>26</v>
      </c>
      <c r="D64" s="22"/>
      <c r="E64" s="22" t="s">
        <v>26</v>
      </c>
      <c r="F64" s="22">
        <v>0</v>
      </c>
      <c r="G64" s="23"/>
    </row>
    <row r="65" spans="2:7" x14ac:dyDescent="0.25">
      <c r="B65" s="23" t="s">
        <v>27</v>
      </c>
      <c r="C65" s="22" t="s">
        <v>26</v>
      </c>
      <c r="D65" s="22"/>
      <c r="E65" s="22" t="s">
        <v>26</v>
      </c>
      <c r="F65" s="22">
        <v>99.998999999999995</v>
      </c>
      <c r="G65" s="22" t="s">
        <v>25</v>
      </c>
    </row>
    <row r="72" spans="2:7" ht="24" x14ac:dyDescent="0.4">
      <c r="B72" s="20" t="s">
        <v>145</v>
      </c>
      <c r="C72"/>
      <c r="D72"/>
      <c r="E72"/>
      <c r="F72"/>
      <c r="G72"/>
    </row>
    <row r="74" spans="2:7" ht="24" x14ac:dyDescent="0.4">
      <c r="B74" s="20" t="s">
        <v>24</v>
      </c>
      <c r="C74"/>
      <c r="D74"/>
      <c r="E74"/>
      <c r="F74"/>
      <c r="G74"/>
    </row>
    <row r="77" spans="2:7" x14ac:dyDescent="0.25">
      <c r="B77" s="2" t="s">
        <v>23</v>
      </c>
      <c r="C77"/>
      <c r="D77"/>
      <c r="E77"/>
      <c r="F77"/>
      <c r="G77"/>
    </row>
    <row r="78" spans="2:7" x14ac:dyDescent="0.25">
      <c r="B78" s="2" t="s">
        <v>22</v>
      </c>
      <c r="C78"/>
      <c r="D78"/>
      <c r="E78"/>
      <c r="F78"/>
      <c r="G78"/>
    </row>
    <row r="79" spans="2:7" x14ac:dyDescent="0.25">
      <c r="B79" s="2" t="s">
        <v>21</v>
      </c>
      <c r="C79"/>
      <c r="D79"/>
      <c r="E79"/>
      <c r="F79"/>
      <c r="G79"/>
    </row>
    <row r="80" spans="2:7" x14ac:dyDescent="0.25">
      <c r="B80" s="2" t="s">
        <v>20</v>
      </c>
      <c r="C80"/>
      <c r="D80"/>
      <c r="E80"/>
      <c r="F80"/>
      <c r="G80"/>
    </row>
    <row r="82" spans="2:3" x14ac:dyDescent="0.25">
      <c r="B82" s="2" t="s">
        <v>19</v>
      </c>
    </row>
    <row r="83" spans="2:3" x14ac:dyDescent="0.25">
      <c r="B83" s="2" t="s">
        <v>18</v>
      </c>
    </row>
    <row r="85" spans="2:3" x14ac:dyDescent="0.25">
      <c r="B85" s="2" t="s">
        <v>17</v>
      </c>
    </row>
    <row r="86" spans="2:3" x14ac:dyDescent="0.25">
      <c r="B86" s="2" t="s">
        <v>16</v>
      </c>
    </row>
    <row r="87" spans="2:3" x14ac:dyDescent="0.25">
      <c r="B87" s="2" t="s">
        <v>15</v>
      </c>
    </row>
    <row r="88" spans="2:3" x14ac:dyDescent="0.25">
      <c r="B88" s="2" t="s">
        <v>14</v>
      </c>
    </row>
    <row r="92" spans="2:3" ht="24" x14ac:dyDescent="0.4">
      <c r="B92" s="20" t="s">
        <v>146</v>
      </c>
    </row>
    <row r="95" spans="2:3" x14ac:dyDescent="0.25">
      <c r="B95" s="21" t="s">
        <v>172</v>
      </c>
      <c r="C95" s="2" cm="1">
        <f t="array" ref="C95">GetStockAvi("PDX","STOCK_QTY","BRAM","10/10/2025",0,999,0,9999)</f>
        <v>5147128</v>
      </c>
    </row>
    <row r="96" spans="2:3" x14ac:dyDescent="0.25">
      <c r="B96" s="28"/>
    </row>
    <row r="97" spans="2:3" x14ac:dyDescent="0.25">
      <c r="B97" s="21" t="s">
        <v>171</v>
      </c>
      <c r="C97" s="2" cm="1">
        <f t="array" ref="C97">GetEntradaAvi("PDX","ENTRADAS_QTY","BRAM","01/10/2025","09/10/2025")</f>
        <v>1329200</v>
      </c>
    </row>
    <row r="98" spans="2:3" x14ac:dyDescent="0.25">
      <c r="B98" s="28"/>
    </row>
    <row r="99" spans="2:3" x14ac:dyDescent="0.25">
      <c r="B99" s="28"/>
    </row>
    <row r="100" spans="2:3" x14ac:dyDescent="0.25">
      <c r="B100" s="21" t="s">
        <v>173</v>
      </c>
      <c r="C100" s="2" cm="1">
        <f t="array" ref="C100">GetSalidasAvi("PDX","SALIDAS_QTY","BRAM","01/10/2025","09/10/2025",0,999,0,9999)</f>
        <v>-788214</v>
      </c>
    </row>
    <row r="103" spans="2:3" ht="24" x14ac:dyDescent="0.4">
      <c r="B103" s="20" t="s">
        <v>147</v>
      </c>
    </row>
    <row r="105" spans="2:3" x14ac:dyDescent="0.25">
      <c r="B105" s="21" t="s">
        <v>176</v>
      </c>
      <c r="C105" s="2" cm="1">
        <f t="array" ref="C105">GetStockAviSem("PDX","SALIDAS_QTY","BRAM",2025,44,0,999,0,9999)</f>
        <v>-398077</v>
      </c>
    </row>
    <row r="106" spans="2:3" x14ac:dyDescent="0.25">
      <c r="B106" s="28"/>
    </row>
    <row r="107" spans="2:3" x14ac:dyDescent="0.25">
      <c r="B107" s="21" t="s">
        <v>175</v>
      </c>
      <c r="C107" s="2" cm="1">
        <f t="array" ref="C107">GetEntradaAviSem("PDX","ENTRADAS_QTY","BRAM",2025,44)</f>
        <v>2017195</v>
      </c>
    </row>
    <row r="108" spans="2:3" x14ac:dyDescent="0.25">
      <c r="B108" s="28"/>
    </row>
    <row r="109" spans="2:3" x14ac:dyDescent="0.25">
      <c r="B109" s="28"/>
    </row>
    <row r="110" spans="2:3" x14ac:dyDescent="0.25">
      <c r="B110" s="21" t="s">
        <v>148</v>
      </c>
      <c r="C110" s="2" cm="1">
        <f t="array" ref="C110">GetSalidasAviSem("PDX","SALIDAS_QTY","BRAM",2025,44,0,999,0,9999)</f>
        <v>-398077</v>
      </c>
    </row>
    <row r="113" spans="2:3" ht="24" x14ac:dyDescent="0.4">
      <c r="B113" s="20" t="s">
        <v>149</v>
      </c>
      <c r="C113"/>
    </row>
    <row r="115" spans="2:3" x14ac:dyDescent="0.25">
      <c r="B115" s="21" t="s">
        <v>174</v>
      </c>
      <c r="C115" cm="1">
        <f t="array" ref="C115">GetStockAviGrj("TOR","STOCK_PM","2025-10-15","20452T","1","1","3002")</f>
        <v>0.95199999999999996</v>
      </c>
    </row>
    <row r="117" spans="2:3" ht="24" x14ac:dyDescent="0.4">
      <c r="B117" s="20" t="s">
        <v>13</v>
      </c>
      <c r="C117"/>
    </row>
    <row r="119" spans="2:3" x14ac:dyDescent="0.25">
      <c r="B119" s="2" t="s">
        <v>12</v>
      </c>
      <c r="C119" s="2" t="s">
        <v>8</v>
      </c>
    </row>
    <row r="120" spans="2:3" x14ac:dyDescent="0.25">
      <c r="B120" s="2" t="s">
        <v>11</v>
      </c>
      <c r="C120"/>
    </row>
    <row r="122" spans="2:3" x14ac:dyDescent="0.25">
      <c r="B122" s="2" t="s">
        <v>10</v>
      </c>
      <c r="C122" s="2" t="s">
        <v>8</v>
      </c>
    </row>
    <row r="123" spans="2:3" x14ac:dyDescent="0.25">
      <c r="B123" s="2" t="s">
        <v>7</v>
      </c>
      <c r="C123"/>
    </row>
    <row r="125" spans="2:3" x14ac:dyDescent="0.25">
      <c r="B125" s="2" t="s">
        <v>9</v>
      </c>
      <c r="C125" s="2" t="s">
        <v>8</v>
      </c>
    </row>
    <row r="126" spans="2:3" x14ac:dyDescent="0.25">
      <c r="B126" s="2" t="s">
        <v>7</v>
      </c>
      <c r="C126"/>
    </row>
    <row r="128" spans="2:3" x14ac:dyDescent="0.25">
      <c r="B128" s="2" t="s">
        <v>150</v>
      </c>
      <c r="C128"/>
    </row>
    <row r="131" spans="2:2" ht="24" x14ac:dyDescent="0.4">
      <c r="B131" s="20" t="s">
        <v>67</v>
      </c>
    </row>
    <row r="133" spans="2:2" x14ac:dyDescent="0.25">
      <c r="B133" s="21" t="s">
        <v>68</v>
      </c>
    </row>
    <row r="134" spans="2:2" x14ac:dyDescent="0.25">
      <c r="B134" s="21" t="s">
        <v>69</v>
      </c>
    </row>
    <row r="135" spans="2:2" x14ac:dyDescent="0.25">
      <c r="B135" s="21" t="s">
        <v>70</v>
      </c>
    </row>
    <row r="139" spans="2:2" x14ac:dyDescent="0.25">
      <c r="B139" s="25" t="s">
        <v>71</v>
      </c>
    </row>
    <row r="142" spans="2:2" x14ac:dyDescent="0.25">
      <c r="B142" s="2" t="s">
        <v>72</v>
      </c>
    </row>
    <row r="143" spans="2:2" x14ac:dyDescent="0.25">
      <c r="B143" s="39" t="s">
        <v>170</v>
      </c>
    </row>
    <row r="146" spans="2:2" x14ac:dyDescent="0.25">
      <c r="B146" s="25" t="s">
        <v>73</v>
      </c>
    </row>
    <row r="148" spans="2:2" x14ac:dyDescent="0.25">
      <c r="B148" s="2" t="s">
        <v>74</v>
      </c>
    </row>
    <row r="150" spans="2:2" x14ac:dyDescent="0.25">
      <c r="B150" s="2" t="s">
        <v>75</v>
      </c>
    </row>
    <row r="151" spans="2:2" x14ac:dyDescent="0.25">
      <c r="B151" s="2" t="s">
        <v>76</v>
      </c>
    </row>
    <row r="153" spans="2:2" x14ac:dyDescent="0.25">
      <c r="B153" s="2" t="s">
        <v>77</v>
      </c>
    </row>
    <row r="156" spans="2:2" x14ac:dyDescent="0.25">
      <c r="B156" s="25" t="s">
        <v>78</v>
      </c>
    </row>
    <row r="160" spans="2:2" x14ac:dyDescent="0.25">
      <c r="B160" s="2" t="s">
        <v>79</v>
      </c>
    </row>
    <row r="161" spans="2:2" x14ac:dyDescent="0.25">
      <c r="B161" s="2" t="s">
        <v>80</v>
      </c>
    </row>
    <row r="162" spans="2:2" x14ac:dyDescent="0.25">
      <c r="B162" s="2" t="s">
        <v>81</v>
      </c>
    </row>
    <row r="163" spans="2:2" x14ac:dyDescent="0.25">
      <c r="B163" s="2" t="s">
        <v>82</v>
      </c>
    </row>
    <row r="164" spans="2:2" x14ac:dyDescent="0.25">
      <c r="B164" s="2" t="s">
        <v>83</v>
      </c>
    </row>
    <row r="165" spans="2:2" x14ac:dyDescent="0.25">
      <c r="B165" s="2" t="s">
        <v>84</v>
      </c>
    </row>
    <row r="166" spans="2:2" x14ac:dyDescent="0.25">
      <c r="B166" s="2" t="s">
        <v>85</v>
      </c>
    </row>
    <row r="167" spans="2:2" x14ac:dyDescent="0.25">
      <c r="B167" s="2" t="s">
        <v>86</v>
      </c>
    </row>
    <row r="168" spans="2:2" x14ac:dyDescent="0.25">
      <c r="B168" s="2" t="s">
        <v>87</v>
      </c>
    </row>
    <row r="169" spans="2:2" x14ac:dyDescent="0.25">
      <c r="B169" s="2" t="s">
        <v>88</v>
      </c>
    </row>
    <row r="170" spans="2:2" x14ac:dyDescent="0.25">
      <c r="B170" s="2" t="s">
        <v>89</v>
      </c>
    </row>
    <row r="171" spans="2:2" x14ac:dyDescent="0.25">
      <c r="B171" s="2" t="s">
        <v>90</v>
      </c>
    </row>
    <row r="172" spans="2:2" x14ac:dyDescent="0.25">
      <c r="B172" s="2" t="s">
        <v>91</v>
      </c>
    </row>
    <row r="173" spans="2:2" x14ac:dyDescent="0.25">
      <c r="B173" s="2" t="s">
        <v>92</v>
      </c>
    </row>
    <row r="174" spans="2:2" x14ac:dyDescent="0.25">
      <c r="B174" s="2" t="s">
        <v>93</v>
      </c>
    </row>
    <row r="175" spans="2:2" x14ac:dyDescent="0.25">
      <c r="B175" s="2" t="s">
        <v>94</v>
      </c>
    </row>
    <row r="176" spans="2:2" x14ac:dyDescent="0.25">
      <c r="B176" s="2" t="s">
        <v>95</v>
      </c>
    </row>
    <row r="177" spans="2:2" x14ac:dyDescent="0.25">
      <c r="B177" s="2" t="s">
        <v>96</v>
      </c>
    </row>
    <row r="178" spans="2:2" x14ac:dyDescent="0.25">
      <c r="B178" s="2" t="s">
        <v>97</v>
      </c>
    </row>
    <row r="179" spans="2:2" x14ac:dyDescent="0.25">
      <c r="B179" s="2" t="s">
        <v>98</v>
      </c>
    </row>
    <row r="180" spans="2:2" x14ac:dyDescent="0.25">
      <c r="B180" s="2" t="s">
        <v>99</v>
      </c>
    </row>
    <row r="181" spans="2:2" x14ac:dyDescent="0.25">
      <c r="B181" s="2" t="s">
        <v>100</v>
      </c>
    </row>
    <row r="182" spans="2:2" x14ac:dyDescent="0.25">
      <c r="B182" s="2" t="s">
        <v>101</v>
      </c>
    </row>
    <row r="183" spans="2:2" x14ac:dyDescent="0.25">
      <c r="B183" s="2" t="s">
        <v>102</v>
      </c>
    </row>
    <row r="198" spans="2:2" ht="21" x14ac:dyDescent="0.25">
      <c r="B198" s="18" t="s">
        <v>151</v>
      </c>
    </row>
    <row r="199" spans="2:2" ht="21" x14ac:dyDescent="0.25">
      <c r="B199" s="19" t="s">
        <v>152</v>
      </c>
    </row>
    <row r="200" spans="2:2" x14ac:dyDescent="0.25">
      <c r="B200" s="17"/>
    </row>
    <row r="201" spans="2:2" ht="21" x14ac:dyDescent="0.25">
      <c r="B201" s="18" t="s">
        <v>153</v>
      </c>
    </row>
    <row r="202" spans="2:2" ht="21" x14ac:dyDescent="0.25">
      <c r="B202" s="18" t="s">
        <v>154</v>
      </c>
    </row>
    <row r="203" spans="2:2" ht="21" x14ac:dyDescent="0.25">
      <c r="B203" s="19" t="s">
        <v>155</v>
      </c>
    </row>
    <row r="204" spans="2:2" x14ac:dyDescent="0.25">
      <c r="B204" s="17"/>
    </row>
    <row r="205" spans="2:2" ht="21" x14ac:dyDescent="0.25">
      <c r="B205" s="18" t="s">
        <v>156</v>
      </c>
    </row>
    <row r="206" spans="2:2" ht="21" x14ac:dyDescent="0.25">
      <c r="B206" s="18" t="s">
        <v>157</v>
      </c>
    </row>
    <row r="207" spans="2:2" ht="21" x14ac:dyDescent="0.25">
      <c r="B207" s="19" t="s">
        <v>158</v>
      </c>
    </row>
    <row r="208" spans="2:2" x14ac:dyDescent="0.25">
      <c r="B208" s="17"/>
    </row>
    <row r="209" spans="2:2" ht="21" x14ac:dyDescent="0.25">
      <c r="B209" s="18" t="s">
        <v>159</v>
      </c>
    </row>
    <row r="210" spans="2:2" ht="21" x14ac:dyDescent="0.25">
      <c r="B210" s="18" t="s">
        <v>160</v>
      </c>
    </row>
    <row r="211" spans="2:2" ht="21" x14ac:dyDescent="0.25">
      <c r="B211" s="18" t="s">
        <v>161</v>
      </c>
    </row>
    <row r="212" spans="2:2" ht="21" x14ac:dyDescent="0.25">
      <c r="B212" s="16" t="s">
        <v>162</v>
      </c>
    </row>
    <row r="213" spans="2:2" ht="21" x14ac:dyDescent="0.25">
      <c r="B213" s="16" t="s">
        <v>163</v>
      </c>
    </row>
    <row r="214" spans="2:2" x14ac:dyDescent="0.25">
      <c r="B214" s="17"/>
    </row>
    <row r="215" spans="2:2" ht="21" x14ac:dyDescent="0.25">
      <c r="B215" s="16" t="s">
        <v>162</v>
      </c>
    </row>
    <row r="216" spans="2:2" ht="21" x14ac:dyDescent="0.25">
      <c r="B216" s="16" t="s">
        <v>164</v>
      </c>
    </row>
  </sheetData>
  <mergeCells count="8">
    <mergeCell ref="C27:E27"/>
    <mergeCell ref="C41:E41"/>
    <mergeCell ref="C54:E54"/>
    <mergeCell ref="F5:I5"/>
    <mergeCell ref="F6:I6"/>
    <mergeCell ref="F7:I8"/>
    <mergeCell ref="F9:I9"/>
    <mergeCell ref="C13:E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workbookViewId="0">
      <selection activeCell="D3" sqref="D3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139.42578125" customWidth="1"/>
    <col min="6" max="6" width="10.140625" bestFit="1" customWidth="1"/>
    <col min="7" max="7" width="14.42578125" bestFit="1" customWidth="1"/>
    <col min="8" max="8" width="10.28515625" bestFit="1" customWidth="1"/>
    <col min="9" max="9" width="10.28515625" customWidth="1"/>
    <col min="12" max="12" width="9.7109375" bestFit="1" customWidth="1"/>
    <col min="13" max="13" width="9.85546875" bestFit="1" customWidth="1"/>
    <col min="14" max="14" width="8.7109375" bestFit="1" customWidth="1"/>
    <col min="15" max="15" width="7.7109375" bestFit="1" customWidth="1"/>
    <col min="16" max="16" width="7.28515625" customWidth="1"/>
    <col min="17" max="17" width="15.5703125" customWidth="1"/>
    <col min="18" max="18" width="13.85546875" style="6" customWidth="1"/>
    <col min="19" max="19" width="5.85546875" customWidth="1"/>
  </cols>
  <sheetData>
    <row r="1" spans="1:22" s="8" customFormat="1" ht="45" customHeight="1" x14ac:dyDescent="0.25">
      <c r="A1" s="7" t="s">
        <v>2</v>
      </c>
      <c r="B1" s="7" t="s">
        <v>3</v>
      </c>
      <c r="C1" s="7" t="s">
        <v>4</v>
      </c>
      <c r="D1" s="7" t="s">
        <v>52</v>
      </c>
      <c r="F1" s="8" t="s">
        <v>54</v>
      </c>
      <c r="G1" s="8" t="s">
        <v>55</v>
      </c>
      <c r="H1" s="8" t="s">
        <v>56</v>
      </c>
      <c r="I1" s="8" t="s">
        <v>57</v>
      </c>
      <c r="J1" s="8" t="s">
        <v>58</v>
      </c>
      <c r="K1" s="8" t="s">
        <v>59</v>
      </c>
      <c r="L1" s="8" t="s">
        <v>60</v>
      </c>
      <c r="M1" s="8" t="s">
        <v>61</v>
      </c>
      <c r="N1" s="8" t="s">
        <v>62</v>
      </c>
      <c r="O1" s="8" t="s">
        <v>63</v>
      </c>
      <c r="P1" s="8" t="s">
        <v>53</v>
      </c>
      <c r="Q1" s="8" t="s">
        <v>5</v>
      </c>
      <c r="R1" s="9" t="s">
        <v>51</v>
      </c>
    </row>
    <row r="2" spans="1:22" x14ac:dyDescent="0.25">
      <c r="A2" t="s">
        <v>0</v>
      </c>
      <c r="B2" t="s">
        <v>6</v>
      </c>
      <c r="C2" s="1">
        <v>45839</v>
      </c>
      <c r="D2" t="e" cm="1">
        <f t="array" aca="1" ref="D2" ca="1">GetStockData(A2,B2,C2)</f>
        <v>#NAME?</v>
      </c>
      <c r="F2" t="s">
        <v>0</v>
      </c>
      <c r="G2" t="s">
        <v>48</v>
      </c>
      <c r="H2" t="s">
        <v>1</v>
      </c>
      <c r="I2" s="5">
        <v>45941</v>
      </c>
      <c r="J2" s="5"/>
      <c r="K2" s="5"/>
      <c r="L2">
        <v>0</v>
      </c>
      <c r="M2">
        <v>999</v>
      </c>
      <c r="N2">
        <v>0</v>
      </c>
      <c r="O2">
        <v>9.9990000000000006</v>
      </c>
      <c r="Q2" t="s">
        <v>41</v>
      </c>
      <c r="R2" s="6" cm="1">
        <f t="array" ref="R2">GetStockAvi(F2,G2,H2,I2,L2,M2,N2,O2)</f>
        <v>5074732</v>
      </c>
      <c r="S2" s="4"/>
      <c r="T2" s="3"/>
      <c r="V2" s="3"/>
    </row>
    <row r="3" spans="1:22" x14ac:dyDescent="0.25">
      <c r="A3" t="s">
        <v>0</v>
      </c>
      <c r="B3" t="s">
        <v>1</v>
      </c>
      <c r="C3" s="1">
        <v>45840</v>
      </c>
      <c r="D3" t="e" cm="1">
        <f t="array" aca="1" ref="D3" ca="1">GetStockData(A3,B3,C3)</f>
        <v>#NAME?</v>
      </c>
      <c r="F3" t="s">
        <v>64</v>
      </c>
      <c r="G3" t="s">
        <v>49</v>
      </c>
      <c r="H3" t="s">
        <v>1</v>
      </c>
      <c r="J3" s="5">
        <v>45931</v>
      </c>
      <c r="K3" s="5">
        <v>45941</v>
      </c>
      <c r="Q3" t="s">
        <v>40</v>
      </c>
      <c r="R3" s="6" cm="1">
        <f t="array" ref="R3">GetEntradaAvi(F3,G3,H3,J3,K3)</f>
        <v>521800</v>
      </c>
      <c r="S3" s="4"/>
      <c r="T3" s="3"/>
      <c r="V3" s="3"/>
    </row>
    <row r="4" spans="1:22" x14ac:dyDescent="0.25">
      <c r="A4" t="s">
        <v>0</v>
      </c>
      <c r="B4" t="s">
        <v>1</v>
      </c>
      <c r="C4" s="1">
        <v>45841</v>
      </c>
      <c r="D4" t="e" cm="1">
        <f t="array" aca="1" ref="D4" ca="1">GetStockData(A4,B4,C4)</f>
        <v>#NAME?</v>
      </c>
      <c r="F4" t="s">
        <v>0</v>
      </c>
      <c r="G4" t="s">
        <v>50</v>
      </c>
      <c r="H4" t="s">
        <v>1</v>
      </c>
      <c r="J4" s="5">
        <v>45931</v>
      </c>
      <c r="K4" s="5">
        <v>45940</v>
      </c>
      <c r="L4">
        <v>0</v>
      </c>
      <c r="M4">
        <v>999</v>
      </c>
      <c r="N4">
        <v>0</v>
      </c>
      <c r="O4">
        <v>9.9990000000000006</v>
      </c>
      <c r="Q4" t="s">
        <v>39</v>
      </c>
      <c r="R4" s="6" cm="1">
        <f t="array" ref="R4">GetSalidasAvi(F4,G4,H4,J4,K4,L4,M4,N4,O4)</f>
        <v>-825596</v>
      </c>
      <c r="S4" s="4"/>
      <c r="T4" s="3"/>
      <c r="V4" s="3"/>
    </row>
    <row r="5" spans="1:22" x14ac:dyDescent="0.25">
      <c r="A5" t="s">
        <v>0</v>
      </c>
      <c r="B5" t="s">
        <v>1</v>
      </c>
      <c r="C5" s="1">
        <v>45842</v>
      </c>
      <c r="D5" t="e" cm="1">
        <f t="array" aca="1" ref="D5" ca="1">GetStockData(A5,B5,C5)</f>
        <v>#NAME?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147C-F845-466F-87E0-065C05608D38}">
  <sheetPr codeName="Hoja3"/>
  <dimension ref="A1:U106"/>
  <sheetViews>
    <sheetView tabSelected="1" zoomScaleNormal="100" workbookViewId="0">
      <selection activeCell="L6" sqref="L6"/>
    </sheetView>
  </sheetViews>
  <sheetFormatPr baseColWidth="10" defaultRowHeight="15" x14ac:dyDescent="0.25"/>
  <cols>
    <col min="2" max="2" width="14.7109375" customWidth="1"/>
    <col min="4" max="4" width="11.7109375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1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1" ht="15.75" thickTop="1" x14ac:dyDescent="0.25">
      <c r="A2" s="12" t="s">
        <v>0</v>
      </c>
      <c r="B2" s="13" t="s">
        <v>65</v>
      </c>
      <c r="C2" s="13" t="s">
        <v>1</v>
      </c>
      <c r="D2" s="14">
        <v>45941</v>
      </c>
      <c r="E2" s="14"/>
      <c r="F2" s="14"/>
      <c r="G2" s="13">
        <v>0</v>
      </c>
      <c r="H2" s="13">
        <v>999</v>
      </c>
      <c r="I2" s="13">
        <v>0</v>
      </c>
      <c r="J2" s="13">
        <v>9.9990000000000006</v>
      </c>
      <c r="K2" s="13"/>
      <c r="L2" s="13" t="s">
        <v>66</v>
      </c>
    </row>
    <row r="5" spans="1:21" x14ac:dyDescent="0.25">
      <c r="A5" t="str" cm="1">
        <f t="array" ref="A5:U106">GetSetStockAvi(A2,B2,C2,D2,G2,H2,I2,J2)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ventas_acumuladas</v>
      </c>
      <c r="M5" t="str">
        <v>bajas_acumuladas</v>
      </c>
      <c r="N5" t="str">
        <v>bajas_teoricas</v>
      </c>
      <c r="O5" t="str">
        <v>stock_nave</v>
      </c>
      <c r="P5" t="str">
        <v>kilos_nave</v>
      </c>
      <c r="Q5" t="str">
        <v>capacidad_nave</v>
      </c>
      <c r="R5" t="str">
        <v>densidad_nave</v>
      </c>
      <c r="S5" t="str">
        <v>kgm2_nave</v>
      </c>
      <c r="T5" t="str">
        <v>m2_nave</v>
      </c>
      <c r="U5" t="str">
        <v>granja</v>
      </c>
    </row>
    <row r="6" spans="1:21" x14ac:dyDescent="0.25">
      <c r="A6" t="str">
        <v>2025-10-11</v>
      </c>
      <c r="B6" t="str">
        <v>36993-SENDRA-FIGUERAS, SCP-1,2,3-L:012-N:1-A:A15-POLLO AMARILLO MIXTO</v>
      </c>
      <c r="C6" t="str">
        <v>POLLO AMARILLO MIXTO</v>
      </c>
      <c r="D6">
        <v>9222</v>
      </c>
      <c r="E6" t="str">
        <v>Broiler Amarillo</v>
      </c>
      <c r="F6">
        <v>60</v>
      </c>
      <c r="G6">
        <v>9400</v>
      </c>
      <c r="H6" t="str">
        <v>Abierto</v>
      </c>
      <c r="I6">
        <v>4.165</v>
      </c>
      <c r="J6">
        <v>4.3492899999999999</v>
      </c>
      <c r="K6">
        <v>3.5990000000000002</v>
      </c>
      <c r="L6">
        <v>0</v>
      </c>
      <c r="M6">
        <v>175</v>
      </c>
      <c r="N6">
        <v>175</v>
      </c>
      <c r="O6">
        <v>9222</v>
      </c>
      <c r="P6">
        <v>38409.629999999997</v>
      </c>
      <c r="Q6">
        <v>1.8975299999999999</v>
      </c>
      <c r="R6">
        <v>151.2190157480315</v>
      </c>
      <c r="S6">
        <v>151.2190157480315</v>
      </c>
      <c r="T6">
        <v>254</v>
      </c>
      <c r="U6" t="str">
        <v>36993-SENDRA-FIGUERAS, SCP-1,2,3</v>
      </c>
    </row>
    <row r="7" spans="1:21" x14ac:dyDescent="0.25">
      <c r="A7" t="str">
        <v>2025-10-11</v>
      </c>
      <c r="B7" t="str">
        <v>36057-CRAVICOL, SL-L:007-N:2-A:A13-POLLO AMARILLO MACHO</v>
      </c>
      <c r="C7" t="str">
        <v>POLLO AMARILLO MACHO</v>
      </c>
      <c r="D7">
        <v>21234</v>
      </c>
      <c r="E7" t="str">
        <v>Broiler Amarillo</v>
      </c>
      <c r="F7">
        <v>47</v>
      </c>
      <c r="G7">
        <v>31500</v>
      </c>
      <c r="H7" t="str">
        <v>Abierto</v>
      </c>
      <c r="I7">
        <v>3.6900200000000001</v>
      </c>
      <c r="J7">
        <v>3.76153</v>
      </c>
      <c r="K7">
        <v>3.0950000000000002</v>
      </c>
      <c r="L7">
        <v>-9975</v>
      </c>
      <c r="M7">
        <v>288</v>
      </c>
      <c r="N7">
        <v>288</v>
      </c>
      <c r="O7">
        <v>43413</v>
      </c>
      <c r="P7">
        <v>156808.32699999999</v>
      </c>
      <c r="Q7">
        <v>1.8932800000000001</v>
      </c>
      <c r="R7">
        <v>123.08345918367347</v>
      </c>
      <c r="S7">
        <v>123.08345918367347</v>
      </c>
      <c r="T7">
        <v>1274</v>
      </c>
      <c r="U7" t="str">
        <v>36057-CRAVICOL, SL</v>
      </c>
    </row>
    <row r="8" spans="1:21" x14ac:dyDescent="0.25">
      <c r="A8" t="str">
        <v>2025-10-11</v>
      </c>
      <c r="B8" t="str">
        <v>36026-TOMAS AURO SEBASTIAN-L:025-N:2-A:A15-POLLO AMARILLO MIXTO</v>
      </c>
      <c r="C8" t="str">
        <v>POLLO AMARILLO MIXTO</v>
      </c>
      <c r="D8">
        <v>35515</v>
      </c>
      <c r="E8" t="str">
        <v>Broiler Amarillo</v>
      </c>
      <c r="F8">
        <v>54</v>
      </c>
      <c r="G8">
        <v>53730</v>
      </c>
      <c r="H8" t="str">
        <v>Abierto</v>
      </c>
      <c r="I8">
        <v>3.6789999999999998</v>
      </c>
      <c r="J8">
        <v>3.77447</v>
      </c>
      <c r="K8">
        <v>3.2930000000000001</v>
      </c>
      <c r="L8">
        <v>-17593</v>
      </c>
      <c r="M8">
        <v>619</v>
      </c>
      <c r="N8">
        <v>619</v>
      </c>
      <c r="O8">
        <v>35515</v>
      </c>
      <c r="P8">
        <v>130659.685</v>
      </c>
      <c r="Q8">
        <v>1.97679</v>
      </c>
      <c r="R8">
        <v>123.26385377358491</v>
      </c>
      <c r="S8">
        <v>123.26385377358491</v>
      </c>
      <c r="T8">
        <v>1060</v>
      </c>
      <c r="U8" t="str">
        <v>36026-TOMAS AURO SEBASTIAN</v>
      </c>
    </row>
    <row r="9" spans="1:21" x14ac:dyDescent="0.25">
      <c r="A9" t="str">
        <v>2025-10-11</v>
      </c>
      <c r="B9" t="str">
        <v>36057-CRAVICOL, SL-L:007-N:3-A:A13-POLLO AMARILLO MACHO</v>
      </c>
      <c r="C9" t="str">
        <v>POLLO AMARILLO MACHO</v>
      </c>
      <c r="D9">
        <v>27063</v>
      </c>
      <c r="E9" t="str">
        <v>Broiler Amarillo</v>
      </c>
      <c r="F9">
        <v>47</v>
      </c>
      <c r="G9">
        <v>39300</v>
      </c>
      <c r="H9" t="str">
        <v>Abierto</v>
      </c>
      <c r="I9">
        <v>3.6709900000000002</v>
      </c>
      <c r="J9">
        <v>3.7611599999999998</v>
      </c>
      <c r="K9">
        <v>3.0950000000000002</v>
      </c>
      <c r="L9">
        <v>-11765</v>
      </c>
      <c r="M9">
        <v>469</v>
      </c>
      <c r="N9">
        <v>469</v>
      </c>
      <c r="O9">
        <v>53441</v>
      </c>
      <c r="P9">
        <v>191294.06</v>
      </c>
      <c r="Q9">
        <v>1.8555900000000001</v>
      </c>
      <c r="R9">
        <v>119.55878749999999</v>
      </c>
      <c r="S9">
        <v>119.55878749999999</v>
      </c>
      <c r="T9">
        <v>1600</v>
      </c>
      <c r="U9" t="str">
        <v>36057-CRAVICOL, SL</v>
      </c>
    </row>
    <row r="10" spans="1:21" x14ac:dyDescent="0.25">
      <c r="A10" t="str">
        <v>2025-10-11</v>
      </c>
      <c r="B10" t="str">
        <v>36026-TOMAS AURO SEBASTIAN-L:025-N:1-A:A15-POLLO AMARILLO MIXTO</v>
      </c>
      <c r="C10" t="str">
        <v>POLLO AMARILLO MIXTO</v>
      </c>
      <c r="D10">
        <v>45024</v>
      </c>
      <c r="E10" t="str">
        <v>Broiler Amarillo</v>
      </c>
      <c r="F10">
        <v>54</v>
      </c>
      <c r="G10">
        <v>65880</v>
      </c>
      <c r="H10" t="str">
        <v>Abierto</v>
      </c>
      <c r="I10">
        <v>3.6579999999999999</v>
      </c>
      <c r="J10">
        <v>3.7356799999999999</v>
      </c>
      <c r="K10">
        <v>3.2930000000000001</v>
      </c>
      <c r="L10">
        <v>-20671</v>
      </c>
      <c r="M10">
        <v>182</v>
      </c>
      <c r="N10">
        <v>182</v>
      </c>
      <c r="O10">
        <v>45024</v>
      </c>
      <c r="P10">
        <v>164697.79199999999</v>
      </c>
      <c r="Q10">
        <v>2.04339</v>
      </c>
      <c r="R10">
        <v>126.69060923076923</v>
      </c>
      <c r="S10">
        <v>126.69060923076923</v>
      </c>
      <c r="T10">
        <v>1300</v>
      </c>
      <c r="U10" t="str">
        <v>36026-TOMAS AURO SEBASTIAN</v>
      </c>
    </row>
    <row r="11" spans="1:21" x14ac:dyDescent="0.25">
      <c r="A11" t="str">
        <v>2025-10-11</v>
      </c>
      <c r="B11" t="str">
        <v>36046-(poble) AGROAVICOLA SANTIAGO SL-L:018-N:2-A:A13-POLLO AMARILLO MACHO</v>
      </c>
      <c r="C11" t="str">
        <v>POLLO AMARILLO MACHO</v>
      </c>
      <c r="D11">
        <v>9009</v>
      </c>
      <c r="E11" t="str">
        <v>Broiler Amarillo</v>
      </c>
      <c r="F11">
        <v>50</v>
      </c>
      <c r="G11">
        <v>17000</v>
      </c>
      <c r="H11" t="str">
        <v>Abierto</v>
      </c>
      <c r="I11">
        <v>3.5449999999999999</v>
      </c>
      <c r="J11">
        <v>3.5745100000000001</v>
      </c>
      <c r="K11">
        <v>3.323</v>
      </c>
      <c r="L11">
        <v>-7685</v>
      </c>
      <c r="M11">
        <v>300</v>
      </c>
      <c r="N11">
        <v>300</v>
      </c>
      <c r="O11">
        <v>17593</v>
      </c>
      <c r="P11">
        <v>61594.625</v>
      </c>
      <c r="Q11">
        <v>1.0053099999999999</v>
      </c>
      <c r="R11">
        <v>62.596163617886177</v>
      </c>
      <c r="S11">
        <v>62.596163617886177</v>
      </c>
      <c r="T11">
        <v>984</v>
      </c>
      <c r="U11" t="str">
        <v>36046-(poble) AGROAVICOLA SANTIAGO SL</v>
      </c>
    </row>
    <row r="12" spans="1:21" x14ac:dyDescent="0.25">
      <c r="A12" t="str">
        <v>2025-10-11</v>
      </c>
      <c r="B12" t="str">
        <v>36057-CRAVICOL, SL-L:007-N:2-A:A14-POLLO AMARILLO HEMBRAS</v>
      </c>
      <c r="C12" t="str">
        <v>POLLO AMARILLO HEMBRAS</v>
      </c>
      <c r="D12">
        <v>22179</v>
      </c>
      <c r="E12" t="str">
        <v>Broiler Amarillo</v>
      </c>
      <c r="F12">
        <v>47</v>
      </c>
      <c r="G12">
        <v>32700</v>
      </c>
      <c r="H12" t="str">
        <v>Abierto</v>
      </c>
      <c r="I12">
        <v>3.5373299999999999</v>
      </c>
      <c r="J12">
        <v>3.6370800000000001</v>
      </c>
      <c r="K12">
        <v>2.6230000000000002</v>
      </c>
      <c r="L12">
        <v>-10484</v>
      </c>
      <c r="M12">
        <v>34</v>
      </c>
      <c r="N12">
        <v>34</v>
      </c>
      <c r="O12">
        <v>43413</v>
      </c>
      <c r="P12">
        <v>156808.32699999999</v>
      </c>
      <c r="Q12">
        <v>1.8932800000000001</v>
      </c>
      <c r="R12">
        <v>123.08345918367347</v>
      </c>
      <c r="S12">
        <v>123.08345918367347</v>
      </c>
      <c r="T12">
        <v>1274</v>
      </c>
      <c r="U12" t="str">
        <v>36057-CRAVICOL, SL</v>
      </c>
    </row>
    <row r="13" spans="1:21" x14ac:dyDescent="0.25">
      <c r="A13" t="str">
        <v>2025-10-11</v>
      </c>
      <c r="B13" t="str">
        <v>36057-CRAVICOL, SL-L:007-N:3-A:A14-POLLO AMARILLO HEMBRAS</v>
      </c>
      <c r="C13" t="str">
        <v>POLLO AMARILLO HEMBRAS</v>
      </c>
      <c r="D13">
        <v>26378</v>
      </c>
      <c r="E13" t="str">
        <v>Broiler Amarillo</v>
      </c>
      <c r="F13">
        <v>47</v>
      </c>
      <c r="G13">
        <v>39300</v>
      </c>
      <c r="H13" t="str">
        <v>Abierto</v>
      </c>
      <c r="I13">
        <v>3.4857100000000001</v>
      </c>
      <c r="J13">
        <v>3.6081599999999998</v>
      </c>
      <c r="K13">
        <v>2.6230000000000002</v>
      </c>
      <c r="L13">
        <v>-12450</v>
      </c>
      <c r="M13">
        <v>469</v>
      </c>
      <c r="N13">
        <v>469</v>
      </c>
      <c r="O13">
        <v>53441</v>
      </c>
      <c r="P13">
        <v>191294.06</v>
      </c>
      <c r="Q13">
        <v>1.8555900000000001</v>
      </c>
      <c r="R13">
        <v>119.55878749999999</v>
      </c>
      <c r="S13">
        <v>119.55878749999999</v>
      </c>
      <c r="T13">
        <v>1600</v>
      </c>
      <c r="U13" t="str">
        <v>36057-CRAVICOL, SL</v>
      </c>
    </row>
    <row r="14" spans="1:21" x14ac:dyDescent="0.25">
      <c r="A14" t="str">
        <v>2025-10-11</v>
      </c>
      <c r="B14" t="str">
        <v>36046-(poble) AGROAVICOLA SANTIAGO SL-L:018-N:2-A:A14-POLLO AMARILLO HEMBRAS</v>
      </c>
      <c r="C14" t="str">
        <v>POLLO AMARILLO HEMBRAS</v>
      </c>
      <c r="D14">
        <v>8584</v>
      </c>
      <c r="E14" t="str">
        <v>Broiler Amarillo</v>
      </c>
      <c r="F14">
        <v>50</v>
      </c>
      <c r="G14">
        <v>17000</v>
      </c>
      <c r="H14" t="str">
        <v>Abierto</v>
      </c>
      <c r="I14">
        <v>3.4550000000000001</v>
      </c>
      <c r="J14">
        <v>3.5339</v>
      </c>
      <c r="K14">
        <v>2.798</v>
      </c>
      <c r="L14">
        <v>-8112</v>
      </c>
      <c r="M14">
        <v>300</v>
      </c>
      <c r="N14">
        <v>300</v>
      </c>
      <c r="O14">
        <v>17593</v>
      </c>
      <c r="P14">
        <v>61594.625</v>
      </c>
      <c r="Q14">
        <v>1.0053099999999999</v>
      </c>
      <c r="R14">
        <v>62.596163617886177</v>
      </c>
      <c r="S14">
        <v>62.596163617886177</v>
      </c>
      <c r="T14">
        <v>984</v>
      </c>
      <c r="U14" t="str">
        <v>36046-(poble) AGROAVICOLA SANTIAGO SL</v>
      </c>
    </row>
    <row r="15" spans="1:21" x14ac:dyDescent="0.25">
      <c r="A15" t="str">
        <v>2025-10-11</v>
      </c>
      <c r="B15" t="str">
        <v>36046-(poble) AGROAVICOLA SANTIAGO SL-L:018-N:1-A:A13-POLLO AMARILLO MACHO</v>
      </c>
      <c r="C15" t="str">
        <v>POLLO AMARILLO MACHO</v>
      </c>
      <c r="D15">
        <v>8630</v>
      </c>
      <c r="E15" t="str">
        <v>Broiler Amarillo</v>
      </c>
      <c r="F15">
        <v>50</v>
      </c>
      <c r="G15">
        <v>17000</v>
      </c>
      <c r="H15" t="str">
        <v>Abierto</v>
      </c>
      <c r="I15">
        <v>3.395</v>
      </c>
      <c r="J15">
        <v>3.40455</v>
      </c>
      <c r="K15">
        <v>3.323</v>
      </c>
      <c r="L15">
        <v>-8064</v>
      </c>
      <c r="M15">
        <v>300</v>
      </c>
      <c r="N15">
        <v>300</v>
      </c>
      <c r="O15">
        <v>16950</v>
      </c>
      <c r="P15">
        <v>54117.41</v>
      </c>
      <c r="Q15">
        <v>0.96857000000000004</v>
      </c>
      <c r="R15">
        <v>54.997367886178864</v>
      </c>
      <c r="S15">
        <v>54.997367886178864</v>
      </c>
      <c r="T15">
        <v>984</v>
      </c>
      <c r="U15" t="str">
        <v>36046-(poble) AGROAVICOLA SANTIAGO SL</v>
      </c>
    </row>
    <row r="16" spans="1:21" x14ac:dyDescent="0.25">
      <c r="A16" t="str">
        <v>2025-10-11</v>
      </c>
      <c r="B16" t="str">
        <v>36233-EXPLOTAC RAMADERES CURIA SCP-L:139-N:3-A:A14-POLLO AMARILLO HEMBRAS</v>
      </c>
      <c r="C16" t="str">
        <v>POLLO AMARILLO HEMBRAS</v>
      </c>
      <c r="D16">
        <v>9372</v>
      </c>
      <c r="E16" t="str">
        <v>Broiler Amarillo</v>
      </c>
      <c r="F16">
        <v>44</v>
      </c>
      <c r="G16">
        <v>19000</v>
      </c>
      <c r="H16" t="str">
        <v>Abierto</v>
      </c>
      <c r="I16">
        <v>3.30471</v>
      </c>
      <c r="J16">
        <v>3.3294299999999999</v>
      </c>
      <c r="K16">
        <v>2.4319999999999999</v>
      </c>
      <c r="L16">
        <v>-9300</v>
      </c>
      <c r="M16">
        <v>325</v>
      </c>
      <c r="N16">
        <v>325</v>
      </c>
      <c r="O16">
        <v>7730</v>
      </c>
      <c r="P16">
        <v>26008.469000000001</v>
      </c>
      <c r="Q16">
        <v>0.45929999999999999</v>
      </c>
      <c r="R16">
        <v>23.537076018099548</v>
      </c>
      <c r="S16">
        <v>23.537076018099548</v>
      </c>
      <c r="T16">
        <v>1105</v>
      </c>
      <c r="U16" t="str">
        <v>36233-EXPLOTAC RAMADERES CURIA SCP</v>
      </c>
    </row>
    <row r="17" spans="1:21" x14ac:dyDescent="0.25">
      <c r="A17" t="str">
        <v>2025-10-11</v>
      </c>
      <c r="B17" t="str">
        <v>36882-PONS TORRADES, JOSEP MA -villar--L:062-N:1-A:A15-POLLO AMARILLO MIXTO</v>
      </c>
      <c r="C17" t="str">
        <v>POLLO AMARILLO MIXTO</v>
      </c>
      <c r="D17">
        <v>31851</v>
      </c>
      <c r="E17" t="str">
        <v>Broiler Amarillo</v>
      </c>
      <c r="F17">
        <v>45</v>
      </c>
      <c r="G17">
        <v>48000</v>
      </c>
      <c r="H17" t="str">
        <v>Abierto</v>
      </c>
      <c r="I17">
        <v>3.2594799999999999</v>
      </c>
      <c r="J17">
        <v>3.3288899999999999</v>
      </c>
      <c r="K17">
        <v>2.7149999999999999</v>
      </c>
      <c r="L17">
        <v>-15565</v>
      </c>
      <c r="M17">
        <v>569</v>
      </c>
      <c r="N17">
        <v>569</v>
      </c>
      <c r="O17">
        <v>31851</v>
      </c>
      <c r="P17">
        <v>103817.697</v>
      </c>
      <c r="Q17">
        <v>1.8735900000000001</v>
      </c>
      <c r="R17">
        <v>98.873997142857149</v>
      </c>
      <c r="S17">
        <v>98.873997142857149</v>
      </c>
      <c r="T17">
        <v>1050</v>
      </c>
      <c r="U17" t="str">
        <v>36882-PONS TORRADES, JOSEP MA -villar-</v>
      </c>
    </row>
    <row r="18" spans="1:21" x14ac:dyDescent="0.25">
      <c r="A18" t="str">
        <v>2025-10-11</v>
      </c>
      <c r="B18" t="str">
        <v>36840-AVICOLA NICOLAS SL-L:071-N:1-A:A13-POLLO AMARILLO MACHO</v>
      </c>
      <c r="C18" t="str">
        <v>POLLO AMARILLO MACHO</v>
      </c>
      <c r="D18">
        <v>16352</v>
      </c>
      <c r="E18" t="str">
        <v>Broiler Amarillo</v>
      </c>
      <c r="F18">
        <v>44</v>
      </c>
      <c r="G18">
        <v>32600</v>
      </c>
      <c r="H18" t="str">
        <v>Abierto</v>
      </c>
      <c r="I18">
        <v>3.2448600000000001</v>
      </c>
      <c r="J18">
        <v>3.2847900000000001</v>
      </c>
      <c r="K18">
        <v>2.8490000000000002</v>
      </c>
      <c r="L18">
        <v>-15652</v>
      </c>
      <c r="M18">
        <v>581</v>
      </c>
      <c r="N18">
        <v>581</v>
      </c>
      <c r="O18">
        <v>31036</v>
      </c>
      <c r="P18">
        <v>94650.178</v>
      </c>
      <c r="Q18">
        <v>0.86211000000000004</v>
      </c>
      <c r="R18">
        <v>52.583432222222221</v>
      </c>
      <c r="S18">
        <v>52.583432222222221</v>
      </c>
      <c r="T18">
        <v>1800</v>
      </c>
      <c r="U18" t="str">
        <v>36840-AVICOLA NICOLAS SL</v>
      </c>
    </row>
    <row r="19" spans="1:21" x14ac:dyDescent="0.25">
      <c r="A19" t="str">
        <v>2025-10-11</v>
      </c>
      <c r="B19" t="str">
        <v>36233-EXPLOTAC RAMADERES CURIA SCP-L:139-N:1-A:A13-POLLO AMARILLO MACHO</v>
      </c>
      <c r="C19" t="str">
        <v>POLLO AMARILLO MACHO</v>
      </c>
      <c r="D19">
        <v>-6375</v>
      </c>
      <c r="E19" t="str">
        <v>Broiler Amarillo</v>
      </c>
      <c r="F19">
        <v>44</v>
      </c>
      <c r="G19">
        <v>21000</v>
      </c>
      <c r="H19" t="str">
        <v>Abierto</v>
      </c>
      <c r="I19">
        <v>3.2045599999999999</v>
      </c>
      <c r="J19">
        <v>3.21563</v>
      </c>
      <c r="K19">
        <v>2.8490000000000002</v>
      </c>
      <c r="L19">
        <v>-27000</v>
      </c>
      <c r="M19">
        <v>375</v>
      </c>
      <c r="N19">
        <v>375</v>
      </c>
      <c r="O19">
        <v>2628</v>
      </c>
      <c r="P19">
        <v>4854.7749999999996</v>
      </c>
      <c r="Q19">
        <v>0.13688</v>
      </c>
      <c r="R19">
        <v>3.8529960317460317</v>
      </c>
      <c r="S19">
        <v>3.8529960317460317</v>
      </c>
      <c r="T19">
        <v>1260</v>
      </c>
      <c r="U19" t="str">
        <v>36233-EXPLOTAC RAMADERES CURIA SCP</v>
      </c>
    </row>
    <row r="20" spans="1:21" x14ac:dyDescent="0.25">
      <c r="A20" t="str">
        <v>2025-10-11</v>
      </c>
      <c r="B20" t="str">
        <v>36233-EXPLOTAC RAMADERES CURIA SCP-L:139-N:3-A:A13-POLLO AMARILLO MACHO</v>
      </c>
      <c r="C20" t="str">
        <v>POLLO AMARILLO MACHO</v>
      </c>
      <c r="D20">
        <v>-1642</v>
      </c>
      <c r="E20" t="str">
        <v>Broiler Amarillo</v>
      </c>
      <c r="F20">
        <v>44</v>
      </c>
      <c r="G20">
        <v>19000</v>
      </c>
      <c r="H20" t="str">
        <v>Abierto</v>
      </c>
      <c r="I20">
        <v>3.0226999999999999</v>
      </c>
      <c r="J20">
        <v>3.0226999999999999</v>
      </c>
      <c r="K20">
        <v>2.8490000000000002</v>
      </c>
      <c r="L20">
        <v>-20317</v>
      </c>
      <c r="M20">
        <v>325</v>
      </c>
      <c r="N20">
        <v>325</v>
      </c>
      <c r="O20">
        <v>7730</v>
      </c>
      <c r="P20">
        <v>26008.469000000001</v>
      </c>
      <c r="Q20">
        <v>0.45929999999999999</v>
      </c>
      <c r="R20">
        <v>23.537076018099548</v>
      </c>
      <c r="S20">
        <v>23.537076018099548</v>
      </c>
      <c r="T20">
        <v>1105</v>
      </c>
      <c r="U20" t="str">
        <v>36233-EXPLOTAC RAMADERES CURIA SCP</v>
      </c>
    </row>
    <row r="21" spans="1:21" x14ac:dyDescent="0.25">
      <c r="A21" t="str">
        <v>2025-10-11</v>
      </c>
      <c r="B21" t="str">
        <v>36046-(poble) AGROAVICOLA SANTIAGO SL-L:018-N:1-A:A14-POLLO AMARILLO HEMBRAS</v>
      </c>
      <c r="C21" t="str">
        <v>POLLO AMARILLO HEMBRAS</v>
      </c>
      <c r="D21">
        <v>8320</v>
      </c>
      <c r="E21" t="str">
        <v>Broiler Amarillo</v>
      </c>
      <c r="F21">
        <v>50</v>
      </c>
      <c r="G21">
        <v>17000</v>
      </c>
      <c r="H21" t="str">
        <v>Abierto</v>
      </c>
      <c r="I21">
        <v>2.9830000000000001</v>
      </c>
      <c r="J21">
        <v>3.0548700000000002</v>
      </c>
      <c r="K21">
        <v>2.798</v>
      </c>
      <c r="L21">
        <v>-8301</v>
      </c>
      <c r="M21">
        <v>375</v>
      </c>
      <c r="N21">
        <v>300</v>
      </c>
      <c r="O21">
        <v>16950</v>
      </c>
      <c r="P21">
        <v>54117.41</v>
      </c>
      <c r="Q21">
        <v>0.96857000000000004</v>
      </c>
      <c r="R21">
        <v>54.997367886178864</v>
      </c>
      <c r="S21">
        <v>54.997367886178864</v>
      </c>
      <c r="T21">
        <v>984</v>
      </c>
      <c r="U21" t="str">
        <v>36046-(poble) AGROAVICOLA SANTIAGO SL</v>
      </c>
    </row>
    <row r="22" spans="1:21" x14ac:dyDescent="0.25">
      <c r="A22" t="str">
        <v>2025-10-11</v>
      </c>
      <c r="B22" t="str">
        <v>36001-RIERA CONDAL, JOSEP-L:031-N:1-A:A13-POLLO AMARILLO MACHO</v>
      </c>
      <c r="C22" t="str">
        <v>POLLO AMARILLO MACHO</v>
      </c>
      <c r="D22">
        <v>53497</v>
      </c>
      <c r="E22" t="str">
        <v>Broiler Amarillo</v>
      </c>
      <c r="F22">
        <v>40</v>
      </c>
      <c r="G22">
        <v>54000</v>
      </c>
      <c r="H22" t="str">
        <v>Abierto</v>
      </c>
      <c r="I22">
        <v>2.8639999999999999</v>
      </c>
      <c r="J22">
        <v>2.92604</v>
      </c>
      <c r="K22">
        <v>2.5</v>
      </c>
      <c r="L22">
        <v>0</v>
      </c>
      <c r="M22">
        <v>500</v>
      </c>
      <c r="N22">
        <v>622</v>
      </c>
      <c r="O22">
        <v>92997</v>
      </c>
      <c r="P22">
        <v>256547.408</v>
      </c>
      <c r="Q22">
        <v>2.82666</v>
      </c>
      <c r="R22">
        <v>125.75853333333333</v>
      </c>
      <c r="S22">
        <v>125.75853333333333</v>
      </c>
      <c r="T22">
        <v>2040</v>
      </c>
      <c r="U22" t="str">
        <v>36001-RIERA CONDAL, JOSEP</v>
      </c>
    </row>
    <row r="23" spans="1:21" x14ac:dyDescent="0.25">
      <c r="A23" t="str">
        <v>2025-10-11</v>
      </c>
      <c r="B23" t="str">
        <v>36233-EXPLOTAC RAMADERES CURIA SCP-L:139-N:4-A:A13-POLLO AMARILLO MACHO</v>
      </c>
      <c r="C23" t="str">
        <v>POLLO AMARILLO MACHO</v>
      </c>
      <c r="D23">
        <v>19848</v>
      </c>
      <c r="E23" t="str">
        <v>Broiler Amarillo</v>
      </c>
      <c r="F23">
        <v>44</v>
      </c>
      <c r="G23">
        <v>28000</v>
      </c>
      <c r="H23" t="str">
        <v>Abierto</v>
      </c>
      <c r="I23">
        <v>2.8490000000000002</v>
      </c>
      <c r="J23">
        <v>2.8490000000000002</v>
      </c>
      <c r="K23">
        <v>2.8490000000000002</v>
      </c>
      <c r="L23">
        <v>-7947</v>
      </c>
      <c r="M23">
        <v>175</v>
      </c>
      <c r="N23">
        <v>175</v>
      </c>
      <c r="O23">
        <v>24348</v>
      </c>
      <c r="P23">
        <v>68862.462</v>
      </c>
      <c r="Q23">
        <v>0.96877000000000002</v>
      </c>
      <c r="R23">
        <v>41.734825454545458</v>
      </c>
      <c r="S23">
        <v>41.734825454545458</v>
      </c>
      <c r="T23">
        <v>1650</v>
      </c>
      <c r="U23" t="str">
        <v>36233-EXPLOTAC RAMADERES CURIA SCP</v>
      </c>
    </row>
    <row r="24" spans="1:21" x14ac:dyDescent="0.25">
      <c r="A24" t="str">
        <v>2025-10-11</v>
      </c>
      <c r="B24" t="str">
        <v>36840-AVICOLA NICOLAS SL-L:071-N:1-A:A14-POLLO AMARILLO HEMBRAS</v>
      </c>
      <c r="C24" t="str">
        <v>POLLO AMARILLO HEMBRAS</v>
      </c>
      <c r="D24">
        <v>14684</v>
      </c>
      <c r="E24" t="str">
        <v>Broiler Amarillo</v>
      </c>
      <c r="F24">
        <v>44</v>
      </c>
      <c r="G24">
        <v>32400</v>
      </c>
      <c r="H24" t="str">
        <v>Abierto</v>
      </c>
      <c r="I24">
        <v>2.8323499999999999</v>
      </c>
      <c r="J24">
        <v>2.8690099999999998</v>
      </c>
      <c r="K24">
        <v>2.4319999999999999</v>
      </c>
      <c r="L24">
        <v>-17138</v>
      </c>
      <c r="M24">
        <v>575</v>
      </c>
      <c r="N24">
        <v>575</v>
      </c>
      <c r="O24">
        <v>31036</v>
      </c>
      <c r="P24">
        <v>94650.178</v>
      </c>
      <c r="Q24">
        <v>0.86211000000000004</v>
      </c>
      <c r="R24">
        <v>52.583432222222221</v>
      </c>
      <c r="S24">
        <v>52.583432222222221</v>
      </c>
      <c r="T24">
        <v>1800</v>
      </c>
      <c r="U24" t="str">
        <v>36840-AVICOLA NICOLAS SL</v>
      </c>
    </row>
    <row r="25" spans="1:21" x14ac:dyDescent="0.25">
      <c r="A25" t="str">
        <v>2025-10-11</v>
      </c>
      <c r="B25" t="str">
        <v>36233-EXPLOTAC RAMADERES CURIA SCP-L:139-N:1-A:A14-POLLO AMARILLO HEMBRAS</v>
      </c>
      <c r="C25" t="str">
        <v>POLLO AMARILLO HEMBRAS</v>
      </c>
      <c r="D25">
        <v>9003</v>
      </c>
      <c r="E25" t="str">
        <v>Broiler Amarillo</v>
      </c>
      <c r="F25">
        <v>44</v>
      </c>
      <c r="G25">
        <v>21000</v>
      </c>
      <c r="H25" t="str">
        <v>Abierto</v>
      </c>
      <c r="I25">
        <v>2.8083800000000001</v>
      </c>
      <c r="J25">
        <v>2.8305099999999999</v>
      </c>
      <c r="K25">
        <v>2.4319999999999999</v>
      </c>
      <c r="L25">
        <v>-11617</v>
      </c>
      <c r="M25">
        <v>375</v>
      </c>
      <c r="N25">
        <v>375</v>
      </c>
      <c r="O25">
        <v>2628</v>
      </c>
      <c r="P25">
        <v>4854.7749999999996</v>
      </c>
      <c r="Q25">
        <v>0.13688</v>
      </c>
      <c r="R25">
        <v>3.8529960317460317</v>
      </c>
      <c r="S25">
        <v>3.8529960317460317</v>
      </c>
      <c r="T25">
        <v>1260</v>
      </c>
      <c r="U25" t="str">
        <v>36233-EXPLOTAC RAMADERES CURIA SCP</v>
      </c>
    </row>
    <row r="26" spans="1:21" x14ac:dyDescent="0.25">
      <c r="A26" t="str">
        <v>2025-10-11</v>
      </c>
      <c r="B26" t="str">
        <v>36233-EXPLOTAC RAMADERES CURIA SCP-L:139-N:4-A:A14-POLLO AMARILLO HEMBRAS</v>
      </c>
      <c r="C26" t="str">
        <v>POLLO AMARILLO HEMBRAS</v>
      </c>
      <c r="D26">
        <v>4500</v>
      </c>
      <c r="E26" t="str">
        <v>Broiler Amarillo</v>
      </c>
      <c r="F26">
        <v>44</v>
      </c>
      <c r="G26">
        <v>28000</v>
      </c>
      <c r="H26" t="str">
        <v>Abierto</v>
      </c>
      <c r="I26">
        <v>2.73678</v>
      </c>
      <c r="J26">
        <v>2.7998699999999999</v>
      </c>
      <c r="K26">
        <v>2.4319999999999999</v>
      </c>
      <c r="L26">
        <v>-23389</v>
      </c>
      <c r="M26">
        <v>106</v>
      </c>
      <c r="N26">
        <v>107</v>
      </c>
      <c r="O26">
        <v>24348</v>
      </c>
      <c r="P26">
        <v>68862.462</v>
      </c>
      <c r="Q26">
        <v>0.96877000000000002</v>
      </c>
      <c r="R26">
        <v>41.734825454545458</v>
      </c>
      <c r="S26">
        <v>41.734825454545458</v>
      </c>
      <c r="T26">
        <v>1650</v>
      </c>
      <c r="U26" t="str">
        <v>36233-EXPLOTAC RAMADERES CURIA SCP</v>
      </c>
    </row>
    <row r="27" spans="1:21" x14ac:dyDescent="0.25">
      <c r="A27" t="str">
        <v>2025-10-11</v>
      </c>
      <c r="B27" t="str">
        <v>36001-RIERA CONDAL, JOSEP-L:031-N:1-A:A14-POLLO AMARILLO HEMBRAS</v>
      </c>
      <c r="C27" t="str">
        <v>POLLO AMARILLO HEMBRAS</v>
      </c>
      <c r="D27">
        <v>39500</v>
      </c>
      <c r="E27" t="str">
        <v>Broiler Amarillo</v>
      </c>
      <c r="F27">
        <v>40</v>
      </c>
      <c r="G27">
        <v>54000</v>
      </c>
      <c r="H27" t="str">
        <v>Abierto</v>
      </c>
      <c r="I27">
        <v>2.6160000000000001</v>
      </c>
      <c r="J27">
        <v>2.6865299999999999</v>
      </c>
      <c r="K27">
        <v>2.1579999999999999</v>
      </c>
      <c r="L27">
        <v>-13997</v>
      </c>
      <c r="M27">
        <v>500</v>
      </c>
      <c r="N27">
        <v>622</v>
      </c>
      <c r="O27">
        <v>92997</v>
      </c>
      <c r="P27">
        <v>256547.408</v>
      </c>
      <c r="Q27">
        <v>2.82666</v>
      </c>
      <c r="R27">
        <v>125.75853333333333</v>
      </c>
      <c r="S27">
        <v>125.75853333333333</v>
      </c>
      <c r="T27">
        <v>2040</v>
      </c>
      <c r="U27" t="str">
        <v>36001-RIERA CONDAL, JOSEP</v>
      </c>
    </row>
    <row r="28" spans="1:21" x14ac:dyDescent="0.25">
      <c r="A28" t="str">
        <v>2025-10-11</v>
      </c>
      <c r="B28" t="str">
        <v>36865-LA TORRETA PECUARIA SLU-L:074-N:6-A:A13-POLLO AMARILLO MACHO</v>
      </c>
      <c r="C28" t="str">
        <v>POLLO AMARILLO MACHO</v>
      </c>
      <c r="D28">
        <v>41778</v>
      </c>
      <c r="E28" t="str">
        <v>Broiler Amarillo</v>
      </c>
      <c r="F28">
        <v>36</v>
      </c>
      <c r="G28">
        <v>50100</v>
      </c>
      <c r="H28" t="str">
        <v>Abierto</v>
      </c>
      <c r="I28">
        <v>2.33</v>
      </c>
      <c r="J28">
        <v>2.33</v>
      </c>
      <c r="K28">
        <v>2.1360000000000001</v>
      </c>
      <c r="L28">
        <v>-8069</v>
      </c>
      <c r="M28">
        <v>250</v>
      </c>
      <c r="N28">
        <v>570</v>
      </c>
      <c r="O28">
        <v>91625</v>
      </c>
      <c r="P28">
        <v>203018.38</v>
      </c>
      <c r="Q28">
        <v>2.78233</v>
      </c>
      <c r="R28">
        <v>112.78798888888889</v>
      </c>
      <c r="S28">
        <v>112.78798888888889</v>
      </c>
      <c r="T28">
        <v>1800</v>
      </c>
      <c r="U28" t="str">
        <v>36865-LA TORRETA PECUARIA SLU</v>
      </c>
    </row>
    <row r="29" spans="1:21" x14ac:dyDescent="0.25">
      <c r="A29" t="str">
        <v>2025-10-11</v>
      </c>
      <c r="B29" t="str">
        <v>36865-LA TORRETA PECUARIA SLU-L:074-N:5-A:A13-POLLO AMARILLO MACHO</v>
      </c>
      <c r="C29" t="str">
        <v>POLLO AMARILLO MACHO</v>
      </c>
      <c r="D29">
        <v>41842</v>
      </c>
      <c r="E29" t="str">
        <v>Broiler Amarillo</v>
      </c>
      <c r="F29">
        <v>36</v>
      </c>
      <c r="G29">
        <v>50100</v>
      </c>
      <c r="H29" t="str">
        <v>Abierto</v>
      </c>
      <c r="I29">
        <v>2.31</v>
      </c>
      <c r="J29">
        <v>2.31</v>
      </c>
      <c r="K29">
        <v>2.1360000000000001</v>
      </c>
      <c r="L29">
        <v>-7925</v>
      </c>
      <c r="M29">
        <v>330</v>
      </c>
      <c r="N29">
        <v>570</v>
      </c>
      <c r="O29">
        <v>84761</v>
      </c>
      <c r="P29">
        <v>187214.11</v>
      </c>
      <c r="Q29">
        <v>2.5739000000000001</v>
      </c>
      <c r="R29">
        <v>104.00783888888888</v>
      </c>
      <c r="S29">
        <v>104.00783888888888</v>
      </c>
      <c r="T29">
        <v>1800</v>
      </c>
      <c r="U29" t="str">
        <v>36865-LA TORRETA PECUARIA SLU</v>
      </c>
    </row>
    <row r="30" spans="1:21" x14ac:dyDescent="0.25">
      <c r="A30" t="str">
        <v>2025-10-11</v>
      </c>
      <c r="B30" t="str">
        <v>36865-LA TORRETA PECUARIA SLU-L:074-N:4-A:A13-POLLO AMARILLO MACHO</v>
      </c>
      <c r="C30" t="str">
        <v>POLLO AMARILLO MACHO</v>
      </c>
      <c r="D30">
        <v>32597</v>
      </c>
      <c r="E30" t="str">
        <v>Broiler Amarillo</v>
      </c>
      <c r="F30">
        <v>37</v>
      </c>
      <c r="G30">
        <v>48900</v>
      </c>
      <c r="H30" t="str">
        <v>Abierto</v>
      </c>
      <c r="I30">
        <v>2.2400000000000002</v>
      </c>
      <c r="J30">
        <v>2.3209</v>
      </c>
      <c r="K30">
        <v>2.2280000000000002</v>
      </c>
      <c r="L30">
        <v>0</v>
      </c>
      <c r="M30">
        <v>16300</v>
      </c>
      <c r="N30">
        <v>410</v>
      </c>
      <c r="O30">
        <v>65197</v>
      </c>
      <c r="P30">
        <v>136359.07999999999</v>
      </c>
      <c r="Q30">
        <v>1.9798100000000001</v>
      </c>
      <c r="R30">
        <v>75.755044444444451</v>
      </c>
      <c r="S30">
        <v>75.755044444444451</v>
      </c>
      <c r="T30">
        <v>1800</v>
      </c>
      <c r="U30" t="str">
        <v>36865-LA TORRETA PECUARIA SLU</v>
      </c>
    </row>
    <row r="31" spans="1:21" x14ac:dyDescent="0.25">
      <c r="A31" t="str">
        <v>2025-10-11</v>
      </c>
      <c r="B31" t="str">
        <v>36865-LA TORRETA PECUARIA SLU-L:074-N:6-A:A14-POLLO AMARILLO HEMBRAS</v>
      </c>
      <c r="C31" t="str">
        <v>POLLO AMARILLO HEMBRAS</v>
      </c>
      <c r="D31">
        <v>49847</v>
      </c>
      <c r="E31" t="str">
        <v>Broiler Amarillo</v>
      </c>
      <c r="F31">
        <v>36</v>
      </c>
      <c r="G31">
        <v>50100</v>
      </c>
      <c r="H31" t="str">
        <v>Abierto</v>
      </c>
      <c r="I31">
        <v>2.12</v>
      </c>
      <c r="J31">
        <v>2.12</v>
      </c>
      <c r="K31">
        <v>1.87</v>
      </c>
      <c r="L31">
        <v>0</v>
      </c>
      <c r="M31">
        <v>250</v>
      </c>
      <c r="N31">
        <v>570</v>
      </c>
      <c r="O31">
        <v>91625</v>
      </c>
      <c r="P31">
        <v>203018.38</v>
      </c>
      <c r="Q31">
        <v>2.78233</v>
      </c>
      <c r="R31">
        <v>112.78798888888889</v>
      </c>
      <c r="S31">
        <v>112.78798888888889</v>
      </c>
      <c r="T31">
        <v>1800</v>
      </c>
      <c r="U31" t="str">
        <v>36865-LA TORRETA PECUARIA SLU</v>
      </c>
    </row>
    <row r="32" spans="1:21" x14ac:dyDescent="0.25">
      <c r="A32" t="str">
        <v>2025-10-11</v>
      </c>
      <c r="B32" t="str">
        <v>36865-LA TORRETA PECUARIA SLU-L:074-N:5-A:A14-POLLO AMARILLO HEMBRAS</v>
      </c>
      <c r="C32" t="str">
        <v>POLLO AMARILLO HEMBRAS</v>
      </c>
      <c r="D32">
        <v>42919</v>
      </c>
      <c r="E32" t="str">
        <v>Broiler Amarillo</v>
      </c>
      <c r="F32">
        <v>36</v>
      </c>
      <c r="G32">
        <v>50100</v>
      </c>
      <c r="H32" t="str">
        <v>Abierto</v>
      </c>
      <c r="I32">
        <v>2.11</v>
      </c>
      <c r="J32">
        <v>2.11</v>
      </c>
      <c r="K32">
        <v>1.87</v>
      </c>
      <c r="L32">
        <v>-6858</v>
      </c>
      <c r="M32">
        <v>320</v>
      </c>
      <c r="N32">
        <v>570</v>
      </c>
      <c r="O32">
        <v>84761</v>
      </c>
      <c r="P32">
        <v>187214.11</v>
      </c>
      <c r="Q32">
        <v>2.5739000000000001</v>
      </c>
      <c r="R32">
        <v>104.00783888888888</v>
      </c>
      <c r="S32">
        <v>104.00783888888888</v>
      </c>
      <c r="T32">
        <v>1800</v>
      </c>
      <c r="U32" t="str">
        <v>36865-LA TORRETA PECUARIA SLU</v>
      </c>
    </row>
    <row r="33" spans="1:21" x14ac:dyDescent="0.25">
      <c r="A33" t="str">
        <v>2025-10-11</v>
      </c>
      <c r="B33" t="str">
        <v>36029-CAMÍ DE FLIX - MATEU JOVE LLUIS-2-L:029-N:1-A:A13-POLLO AMARILLO MACHO</v>
      </c>
      <c r="C33" t="str">
        <v>POLLO AMARILLO MACHO</v>
      </c>
      <c r="D33">
        <v>17178</v>
      </c>
      <c r="E33" t="str">
        <v>Broiler Amarillo</v>
      </c>
      <c r="F33">
        <v>32</v>
      </c>
      <c r="G33">
        <v>17600</v>
      </c>
      <c r="H33" t="str">
        <v>Abierto</v>
      </c>
      <c r="I33">
        <v>2.0190000000000001</v>
      </c>
      <c r="J33">
        <v>2.0467599999999999</v>
      </c>
      <c r="K33">
        <v>1.772</v>
      </c>
      <c r="L33">
        <v>0</v>
      </c>
      <c r="M33">
        <v>419</v>
      </c>
      <c r="N33">
        <v>7</v>
      </c>
      <c r="O33">
        <v>34376</v>
      </c>
      <c r="P33">
        <v>66103.127999999997</v>
      </c>
      <c r="Q33">
        <v>1.90978</v>
      </c>
      <c r="R33">
        <v>62.955359999999999</v>
      </c>
      <c r="S33">
        <v>62.955359999999999</v>
      </c>
      <c r="T33">
        <v>1050</v>
      </c>
      <c r="U33" t="str">
        <v>36029-CAMÍ DE FLIX - MATEU JOVE LLUIS-2</v>
      </c>
    </row>
    <row r="34" spans="1:21" x14ac:dyDescent="0.25">
      <c r="A34" t="str">
        <v>2025-10-11</v>
      </c>
      <c r="B34" t="str">
        <v>36015-GJA BAIGET - MATEU JOVE, LLUIS-1-L:030-N:1-A:A13-POLLO AMARILLO MACHO</v>
      </c>
      <c r="C34" t="str">
        <v>POLLO AMARILLO MACHO</v>
      </c>
      <c r="D34">
        <v>21070</v>
      </c>
      <c r="E34" t="str">
        <v>Broiler Amarillo</v>
      </c>
      <c r="F34">
        <v>32</v>
      </c>
      <c r="G34">
        <v>23200</v>
      </c>
      <c r="H34" t="str">
        <v>Abierto</v>
      </c>
      <c r="I34">
        <v>2.0181100000000001</v>
      </c>
      <c r="J34">
        <v>2.0312800000000002</v>
      </c>
      <c r="K34">
        <v>1.772</v>
      </c>
      <c r="L34">
        <v>-1924</v>
      </c>
      <c r="M34">
        <v>203</v>
      </c>
      <c r="N34">
        <v>205</v>
      </c>
      <c r="O34">
        <v>38265</v>
      </c>
      <c r="P34">
        <v>71959.933999999994</v>
      </c>
      <c r="Q34">
        <v>1.5306</v>
      </c>
      <c r="R34">
        <v>51.399952857142857</v>
      </c>
      <c r="S34">
        <v>51.399952857142857</v>
      </c>
      <c r="T34">
        <v>1400</v>
      </c>
      <c r="U34" t="str">
        <v>36015-GJA BAIGET - MATEU JOVE, LLUIS-1</v>
      </c>
    </row>
    <row r="35" spans="1:21" x14ac:dyDescent="0.25">
      <c r="A35" t="str">
        <v>2025-10-11</v>
      </c>
      <c r="B35" t="str">
        <v>36865-LA TORRETA PECUARIA SLU-L:074-N:4-A:A14-POLLO AMARILLO HEMBRAS</v>
      </c>
      <c r="C35" t="str">
        <v>POLLO AMARILLO HEMBRAS</v>
      </c>
      <c r="D35">
        <v>32600</v>
      </c>
      <c r="E35" t="str">
        <v>Broiler Amarillo</v>
      </c>
      <c r="F35">
        <v>37</v>
      </c>
      <c r="G35">
        <v>48900</v>
      </c>
      <c r="H35" t="str">
        <v>Abierto</v>
      </c>
      <c r="I35">
        <v>1.9430000000000001</v>
      </c>
      <c r="J35">
        <v>1.9430000000000001</v>
      </c>
      <c r="K35">
        <v>1.9430000000000001</v>
      </c>
      <c r="L35">
        <v>0</v>
      </c>
      <c r="M35">
        <v>16300</v>
      </c>
      <c r="N35">
        <v>325</v>
      </c>
      <c r="O35">
        <v>65197</v>
      </c>
      <c r="P35">
        <v>136359.07999999999</v>
      </c>
      <c r="Q35">
        <v>1.9798100000000001</v>
      </c>
      <c r="R35">
        <v>75.755044444444451</v>
      </c>
      <c r="S35">
        <v>75.755044444444451</v>
      </c>
      <c r="T35">
        <v>1800</v>
      </c>
      <c r="U35" t="str">
        <v>36865-LA TORRETA PECUARIA SLU</v>
      </c>
    </row>
    <row r="36" spans="1:21" x14ac:dyDescent="0.25">
      <c r="A36" t="str">
        <v>2025-10-11</v>
      </c>
      <c r="B36" t="str">
        <v>36786-BONFILL SABATE JOAQUIN-L:089-N:2-A:A13-POLLO AMARILLO MACHO</v>
      </c>
      <c r="C36" t="str">
        <v>POLLO AMARILLO MACHO</v>
      </c>
      <c r="D36">
        <v>62405</v>
      </c>
      <c r="E36" t="str">
        <v>Broiler Amarillo</v>
      </c>
      <c r="F36">
        <v>33</v>
      </c>
      <c r="G36">
        <v>63000</v>
      </c>
      <c r="H36" t="str">
        <v>Abierto</v>
      </c>
      <c r="I36">
        <v>1.923</v>
      </c>
      <c r="J36">
        <v>1.9372799999999999</v>
      </c>
      <c r="K36">
        <v>1.863</v>
      </c>
      <c r="L36">
        <v>0</v>
      </c>
      <c r="M36">
        <v>591</v>
      </c>
      <c r="N36">
        <v>87</v>
      </c>
      <c r="O36">
        <v>125236</v>
      </c>
      <c r="P36">
        <v>229519.24799999999</v>
      </c>
      <c r="Q36">
        <v>9.9393700000000003</v>
      </c>
      <c r="R36">
        <v>285.47170149253731</v>
      </c>
      <c r="S36">
        <v>285.47170149253731</v>
      </c>
      <c r="T36">
        <v>804</v>
      </c>
      <c r="U36" t="str">
        <v>36786-BONFILL SABATE JOAQUIN</v>
      </c>
    </row>
    <row r="37" spans="1:21" x14ac:dyDescent="0.25">
      <c r="A37" t="str">
        <v>2025-10-11</v>
      </c>
      <c r="B37" t="str">
        <v>36786-BONFILL SABATE JOAQUIN-L:089-N:1-A:A13-POLLO AMARILLO MACHO</v>
      </c>
      <c r="C37" t="str">
        <v>POLLO AMARILLO MACHO</v>
      </c>
      <c r="D37">
        <v>18888</v>
      </c>
      <c r="E37" t="str">
        <v>Broiler Amarillo</v>
      </c>
      <c r="F37">
        <v>33</v>
      </c>
      <c r="G37">
        <v>19500</v>
      </c>
      <c r="H37" t="str">
        <v>Abierto</v>
      </c>
      <c r="I37">
        <v>1.9079999999999999</v>
      </c>
      <c r="J37">
        <v>1.9187000000000001</v>
      </c>
      <c r="K37">
        <v>1.863</v>
      </c>
      <c r="L37">
        <v>0</v>
      </c>
      <c r="M37">
        <v>606</v>
      </c>
      <c r="N37">
        <v>207</v>
      </c>
      <c r="O37">
        <v>38181</v>
      </c>
      <c r="P37">
        <v>69473.073000000004</v>
      </c>
      <c r="Q37">
        <v>0.90261999999999998</v>
      </c>
      <c r="R37">
        <v>25.730767777777778</v>
      </c>
      <c r="S37">
        <v>25.730767777777778</v>
      </c>
      <c r="T37">
        <v>2700</v>
      </c>
      <c r="U37" t="str">
        <v>36786-BONFILL SABATE JOAQUIN</v>
      </c>
    </row>
    <row r="38" spans="1:21" x14ac:dyDescent="0.25">
      <c r="A38" t="str">
        <v>2025-10-11</v>
      </c>
      <c r="B38" t="str">
        <v>36843-ESPINET SOLE, JOSEP MARIA-L:081-N:3-A:A13-POLLO AMARILLO MACHO</v>
      </c>
      <c r="C38" t="str">
        <v>POLLO AMARILLO MACHO</v>
      </c>
      <c r="D38">
        <v>20816</v>
      </c>
      <c r="E38" t="str">
        <v>Broiler Amarillo</v>
      </c>
      <c r="F38">
        <v>33</v>
      </c>
      <c r="G38">
        <v>21000</v>
      </c>
      <c r="H38" t="str">
        <v>Abierto</v>
      </c>
      <c r="I38">
        <v>1.8580000000000001</v>
      </c>
      <c r="J38">
        <v>1.8568199999999999</v>
      </c>
      <c r="K38">
        <v>1.863</v>
      </c>
      <c r="L38">
        <v>0</v>
      </c>
      <c r="M38">
        <v>180</v>
      </c>
      <c r="N38">
        <v>87</v>
      </c>
      <c r="O38">
        <v>41684</v>
      </c>
      <c r="P38">
        <v>73588.292000000001</v>
      </c>
      <c r="Q38">
        <v>3.0833599999999999</v>
      </c>
      <c r="R38">
        <v>80.866254945054948</v>
      </c>
      <c r="S38">
        <v>80.866254945054948</v>
      </c>
      <c r="T38">
        <v>910</v>
      </c>
      <c r="U38" t="str">
        <v>36843-ESPINET SOLE, JOSEP MARIA</v>
      </c>
    </row>
    <row r="39" spans="1:21" x14ac:dyDescent="0.25">
      <c r="A39" t="str">
        <v>2025-10-11</v>
      </c>
      <c r="B39" t="str">
        <v>36843-ESPINET SOLE, JOSEP MARIA-L:081-N:4-A:A13-POLLO AMARILLO MACHO</v>
      </c>
      <c r="C39" t="str">
        <v>POLLO AMARILLO MACHO</v>
      </c>
      <c r="D39">
        <v>22297</v>
      </c>
      <c r="E39" t="str">
        <v>Broiler Amarillo</v>
      </c>
      <c r="F39">
        <v>33</v>
      </c>
      <c r="G39">
        <v>22500</v>
      </c>
      <c r="H39" t="str">
        <v>Abierto</v>
      </c>
      <c r="I39">
        <v>1.8580000000000001</v>
      </c>
      <c r="J39">
        <v>1.8568199999999999</v>
      </c>
      <c r="K39">
        <v>1.863</v>
      </c>
      <c r="L39">
        <v>0</v>
      </c>
      <c r="M39">
        <v>200</v>
      </c>
      <c r="N39">
        <v>256</v>
      </c>
      <c r="O39">
        <v>40483</v>
      </c>
      <c r="P39">
        <v>71416.539999999994</v>
      </c>
      <c r="Q39">
        <v>2.82111</v>
      </c>
      <c r="R39">
        <v>73.930165631469976</v>
      </c>
      <c r="S39">
        <v>73.930165631469976</v>
      </c>
      <c r="T39">
        <v>966</v>
      </c>
      <c r="U39" t="str">
        <v>36843-ESPINET SOLE, JOSEP MARIA</v>
      </c>
    </row>
    <row r="40" spans="1:21" x14ac:dyDescent="0.25">
      <c r="A40" t="str">
        <v>2025-10-11</v>
      </c>
      <c r="B40" t="str">
        <v>36843-ESPINET SOLE, JOSEP MARIA-L:081-N:1-A:A13-POLLO AMARILLO MACHO</v>
      </c>
      <c r="C40" t="str">
        <v>POLLO AMARILLO MACHO</v>
      </c>
      <c r="D40">
        <v>20845</v>
      </c>
      <c r="E40" t="str">
        <v>Broiler Amarillo</v>
      </c>
      <c r="F40">
        <v>33</v>
      </c>
      <c r="G40">
        <v>21000</v>
      </c>
      <c r="H40" t="str">
        <v>Abierto</v>
      </c>
      <c r="I40">
        <v>1.8580000000000001</v>
      </c>
      <c r="J40">
        <v>1.8568199999999999</v>
      </c>
      <c r="K40">
        <v>1.863</v>
      </c>
      <c r="L40">
        <v>0</v>
      </c>
      <c r="M40">
        <v>150</v>
      </c>
      <c r="N40">
        <v>222</v>
      </c>
      <c r="O40">
        <v>41713</v>
      </c>
      <c r="P40">
        <v>74059.534</v>
      </c>
      <c r="Q40">
        <v>3.08528</v>
      </c>
      <c r="R40">
        <v>81.384103296703302</v>
      </c>
      <c r="S40">
        <v>81.384103296703302</v>
      </c>
      <c r="T40">
        <v>910</v>
      </c>
      <c r="U40" t="str">
        <v>36843-ESPINET SOLE, JOSEP MARIA</v>
      </c>
    </row>
    <row r="41" spans="1:21" x14ac:dyDescent="0.25">
      <c r="A41" t="str">
        <v>2025-10-11</v>
      </c>
      <c r="B41" t="str">
        <v>36843-ESPINET SOLE, JOSEP MARIA-L:081-N:2-A:A13-POLLO AMARILLO MACHO</v>
      </c>
      <c r="C41" t="str">
        <v>POLLO AMARILLO MACHO</v>
      </c>
      <c r="D41">
        <v>22345</v>
      </c>
      <c r="E41" t="str">
        <v>Broiler Amarillo</v>
      </c>
      <c r="F41">
        <v>33</v>
      </c>
      <c r="G41">
        <v>22500</v>
      </c>
      <c r="H41" t="str">
        <v>Abierto</v>
      </c>
      <c r="I41">
        <v>1.8580000000000001</v>
      </c>
      <c r="J41">
        <v>1.8568199999999999</v>
      </c>
      <c r="K41">
        <v>1.863</v>
      </c>
      <c r="L41">
        <v>0</v>
      </c>
      <c r="M41">
        <v>150</v>
      </c>
      <c r="N41">
        <v>119</v>
      </c>
      <c r="O41">
        <v>40721</v>
      </c>
      <c r="P41">
        <v>71819.034</v>
      </c>
      <c r="Q41">
        <v>2.85541</v>
      </c>
      <c r="R41">
        <v>74.811493749999997</v>
      </c>
      <c r="S41">
        <v>74.811493749999997</v>
      </c>
      <c r="T41">
        <v>960</v>
      </c>
      <c r="U41" t="str">
        <v>36843-ESPINET SOLE, JOSEP MARIA</v>
      </c>
    </row>
    <row r="42" spans="1:21" x14ac:dyDescent="0.25">
      <c r="A42" t="str">
        <v>2025-10-11</v>
      </c>
      <c r="B42" t="str">
        <v>36029-CAMÍ DE FLIX - MATEU JOVE LLUIS-2-L:029-N:1-A:A14-POLLO AMARILLO HEMBRAS</v>
      </c>
      <c r="C42" t="str">
        <v>POLLO AMARILLO HEMBRAS</v>
      </c>
      <c r="D42">
        <v>17198</v>
      </c>
      <c r="E42" t="str">
        <v>Broiler Amarillo</v>
      </c>
      <c r="F42">
        <v>32</v>
      </c>
      <c r="G42">
        <v>17600</v>
      </c>
      <c r="H42" t="str">
        <v>Abierto</v>
      </c>
      <c r="I42">
        <v>1.827</v>
      </c>
      <c r="J42">
        <v>1.8528100000000001</v>
      </c>
      <c r="K42">
        <v>1.5760000000000001</v>
      </c>
      <c r="L42">
        <v>0</v>
      </c>
      <c r="M42">
        <v>400</v>
      </c>
      <c r="N42">
        <v>186</v>
      </c>
      <c r="O42">
        <v>34376</v>
      </c>
      <c r="P42">
        <v>66103.127999999997</v>
      </c>
      <c r="Q42">
        <v>1.90978</v>
      </c>
      <c r="R42">
        <v>62.955359999999999</v>
      </c>
      <c r="S42">
        <v>62.955359999999999</v>
      </c>
      <c r="T42">
        <v>1050</v>
      </c>
      <c r="U42" t="str">
        <v>36029-CAMÍ DE FLIX - MATEU JOVE LLUIS-2</v>
      </c>
    </row>
    <row r="43" spans="1:21" x14ac:dyDescent="0.25">
      <c r="A43" t="str">
        <v>2025-10-11</v>
      </c>
      <c r="B43" t="str">
        <v>36786-BONFILL SABATE JOAQUIN-L:089-N:2-A:A14-POLLO AMARILLO HEMBRAS</v>
      </c>
      <c r="C43" t="str">
        <v>POLLO AMARILLO HEMBRAS</v>
      </c>
      <c r="D43">
        <v>62831</v>
      </c>
      <c r="E43" t="str">
        <v>Broiler Amarillo</v>
      </c>
      <c r="F43">
        <v>33</v>
      </c>
      <c r="G43">
        <v>63000</v>
      </c>
      <c r="H43" t="str">
        <v>Abierto</v>
      </c>
      <c r="I43">
        <v>1.7430000000000001</v>
      </c>
      <c r="J43">
        <v>1.7633099999999999</v>
      </c>
      <c r="K43">
        <v>1.649</v>
      </c>
      <c r="L43">
        <v>0</v>
      </c>
      <c r="M43">
        <v>169</v>
      </c>
      <c r="N43">
        <v>169</v>
      </c>
      <c r="O43">
        <v>125236</v>
      </c>
      <c r="P43">
        <v>229519.24799999999</v>
      </c>
      <c r="Q43">
        <v>9.9393700000000003</v>
      </c>
      <c r="R43">
        <v>285.47170149253731</v>
      </c>
      <c r="S43">
        <v>285.47170149253731</v>
      </c>
      <c r="T43">
        <v>804</v>
      </c>
      <c r="U43" t="str">
        <v>36786-BONFILL SABATE JOAQUIN</v>
      </c>
    </row>
    <row r="44" spans="1:21" x14ac:dyDescent="0.25">
      <c r="A44" t="str">
        <v>2025-10-11</v>
      </c>
      <c r="B44" t="str">
        <v>36786-BONFILL SABATE JOAQUIN-L:089-N:1-A:A14-POLLO AMARILLO HEMBRAS</v>
      </c>
      <c r="C44" t="str">
        <v>POLLO AMARILLO HEMBRAS</v>
      </c>
      <c r="D44">
        <v>19293</v>
      </c>
      <c r="E44" t="str">
        <v>Broiler Amarillo</v>
      </c>
      <c r="F44">
        <v>33</v>
      </c>
      <c r="G44">
        <v>19500</v>
      </c>
      <c r="H44" t="str">
        <v>Abierto</v>
      </c>
      <c r="I44">
        <v>1.7330000000000001</v>
      </c>
      <c r="J44">
        <v>1.7511399999999999</v>
      </c>
      <c r="K44">
        <v>1.649</v>
      </c>
      <c r="L44">
        <v>0</v>
      </c>
      <c r="M44">
        <v>207</v>
      </c>
      <c r="N44">
        <v>207</v>
      </c>
      <c r="O44">
        <v>38181</v>
      </c>
      <c r="P44">
        <v>69473.073000000004</v>
      </c>
      <c r="Q44">
        <v>0.90261999999999998</v>
      </c>
      <c r="R44">
        <v>25.730767777777778</v>
      </c>
      <c r="S44">
        <v>25.730767777777778</v>
      </c>
      <c r="T44">
        <v>2700</v>
      </c>
      <c r="U44" t="str">
        <v>36786-BONFILL SABATE JOAQUIN</v>
      </c>
    </row>
    <row r="45" spans="1:21" x14ac:dyDescent="0.25">
      <c r="A45" t="str">
        <v>2025-10-11</v>
      </c>
      <c r="B45" t="str">
        <v>36015-GJA BAIGET - MATEU JOVE, LLUIS-1-L:030-N:1-A:A14-POLLO AMARILLO HEMBRAS</v>
      </c>
      <c r="C45" t="str">
        <v>POLLO AMARILLO HEMBRAS</v>
      </c>
      <c r="D45">
        <v>17195</v>
      </c>
      <c r="E45" t="str">
        <v>Broiler Amarillo</v>
      </c>
      <c r="F45">
        <v>32</v>
      </c>
      <c r="G45">
        <v>23400</v>
      </c>
      <c r="H45" t="str">
        <v>Abierto</v>
      </c>
      <c r="I45">
        <v>1.7120299999999999</v>
      </c>
      <c r="J45">
        <v>1.7187300000000001</v>
      </c>
      <c r="K45">
        <v>1.5760000000000001</v>
      </c>
      <c r="L45">
        <v>-5867</v>
      </c>
      <c r="M45">
        <v>337</v>
      </c>
      <c r="N45">
        <v>341</v>
      </c>
      <c r="O45">
        <v>38265</v>
      </c>
      <c r="P45">
        <v>71959.933999999994</v>
      </c>
      <c r="Q45">
        <v>1.5306</v>
      </c>
      <c r="R45">
        <v>51.399952857142857</v>
      </c>
      <c r="S45">
        <v>51.399952857142857</v>
      </c>
      <c r="T45">
        <v>1400</v>
      </c>
      <c r="U45" t="str">
        <v>36015-GJA BAIGET - MATEU JOVE, LLUIS-1</v>
      </c>
    </row>
    <row r="46" spans="1:21" x14ac:dyDescent="0.25">
      <c r="A46" t="str">
        <v>2025-10-11</v>
      </c>
      <c r="B46" t="str">
        <v>36843-ESPINET SOLE, JOSEP MARIA-L:081-N:1-A:A14-POLLO AMARILLO HEMBRAS</v>
      </c>
      <c r="C46" t="str">
        <v>POLLO AMARILLO HEMBRAS</v>
      </c>
      <c r="D46">
        <v>20868</v>
      </c>
      <c r="E46" t="str">
        <v>Broiler Amarillo</v>
      </c>
      <c r="F46">
        <v>33</v>
      </c>
      <c r="G46">
        <v>21000</v>
      </c>
      <c r="H46" t="str">
        <v>Abierto</v>
      </c>
      <c r="I46">
        <v>1.6930000000000001</v>
      </c>
      <c r="J46">
        <v>1.70251</v>
      </c>
      <c r="K46">
        <v>1.649</v>
      </c>
      <c r="L46">
        <v>0</v>
      </c>
      <c r="M46">
        <v>130</v>
      </c>
      <c r="N46">
        <v>222</v>
      </c>
      <c r="O46">
        <v>41713</v>
      </c>
      <c r="P46">
        <v>74059.534</v>
      </c>
      <c r="Q46">
        <v>3.08528</v>
      </c>
      <c r="R46">
        <v>81.384103296703302</v>
      </c>
      <c r="S46">
        <v>81.384103296703302</v>
      </c>
      <c r="T46">
        <v>910</v>
      </c>
      <c r="U46" t="str">
        <v>36843-ESPINET SOLE, JOSEP MARIA</v>
      </c>
    </row>
    <row r="47" spans="1:21" x14ac:dyDescent="0.25">
      <c r="A47" t="str">
        <v>2025-10-11</v>
      </c>
      <c r="B47" t="str">
        <v>36843-ESPINET SOLE, JOSEP MARIA-L:081-N:3-A:A14-POLLO AMARILLO HEMBRAS</v>
      </c>
      <c r="C47" t="str">
        <v>POLLO AMARILLO HEMBRAS</v>
      </c>
      <c r="D47">
        <v>20868</v>
      </c>
      <c r="E47" t="str">
        <v>Broiler Amarillo</v>
      </c>
      <c r="F47">
        <v>33</v>
      </c>
      <c r="G47">
        <v>21000</v>
      </c>
      <c r="H47" t="str">
        <v>Abierto</v>
      </c>
      <c r="I47">
        <v>1.673</v>
      </c>
      <c r="J47">
        <v>1.67818</v>
      </c>
      <c r="K47">
        <v>1.649</v>
      </c>
      <c r="L47">
        <v>0</v>
      </c>
      <c r="M47">
        <v>130</v>
      </c>
      <c r="N47">
        <v>87</v>
      </c>
      <c r="O47">
        <v>41684</v>
      </c>
      <c r="P47">
        <v>73588.292000000001</v>
      </c>
      <c r="Q47">
        <v>3.0833599999999999</v>
      </c>
      <c r="R47">
        <v>80.866254945054948</v>
      </c>
      <c r="S47">
        <v>80.866254945054948</v>
      </c>
      <c r="T47">
        <v>910</v>
      </c>
      <c r="U47" t="str">
        <v>36843-ESPINET SOLE, JOSEP MARIA</v>
      </c>
    </row>
    <row r="48" spans="1:21" x14ac:dyDescent="0.25">
      <c r="A48" t="str">
        <v>2025-10-11</v>
      </c>
      <c r="B48" t="str">
        <v>36990-SOLER SURIOL SCP-2-L:034-N:2-A:A13-POLLO AMARILLO MACHO</v>
      </c>
      <c r="C48" t="str">
        <v>POLLO AMARILLO MACHO</v>
      </c>
      <c r="D48">
        <v>26438</v>
      </c>
      <c r="E48" t="str">
        <v>Broiler Amarillo</v>
      </c>
      <c r="F48">
        <v>29</v>
      </c>
      <c r="G48">
        <v>26800</v>
      </c>
      <c r="H48" t="str">
        <v>Abierto</v>
      </c>
      <c r="I48">
        <v>1.6559999999999999</v>
      </c>
      <c r="J48">
        <v>1.68696</v>
      </c>
      <c r="K48">
        <v>1.5049999999999999</v>
      </c>
      <c r="L48">
        <v>0</v>
      </c>
      <c r="M48">
        <v>354</v>
      </c>
      <c r="N48">
        <v>428</v>
      </c>
      <c r="O48">
        <v>52680</v>
      </c>
      <c r="P48">
        <v>80651.338000000003</v>
      </c>
      <c r="Q48">
        <v>1.8134300000000001</v>
      </c>
      <c r="R48">
        <v>54.864855782312922</v>
      </c>
      <c r="S48">
        <v>54.864855782312922</v>
      </c>
      <c r="T48">
        <v>1470</v>
      </c>
      <c r="U48" t="str">
        <v>36990-SOLER SURIOL SCP-2</v>
      </c>
    </row>
    <row r="49" spans="1:21" x14ac:dyDescent="0.25">
      <c r="A49" t="str">
        <v>2025-10-11</v>
      </c>
      <c r="B49" t="str">
        <v>36843-ESPINET SOLE, JOSEP MARIA-L:081-N:2-A:A14-POLLO AMARILLO HEMBRAS</v>
      </c>
      <c r="C49" t="str">
        <v>POLLO AMARILLO HEMBRAS</v>
      </c>
      <c r="D49">
        <v>18376</v>
      </c>
      <c r="E49" t="str">
        <v>Broiler Amarillo</v>
      </c>
      <c r="F49">
        <v>33</v>
      </c>
      <c r="G49">
        <v>22500</v>
      </c>
      <c r="H49" t="str">
        <v>Abierto</v>
      </c>
      <c r="I49">
        <v>1.649</v>
      </c>
      <c r="J49">
        <v>1.649</v>
      </c>
      <c r="K49">
        <v>1.649</v>
      </c>
      <c r="L49">
        <v>-4050</v>
      </c>
      <c r="M49">
        <v>68</v>
      </c>
      <c r="N49">
        <v>68</v>
      </c>
      <c r="O49">
        <v>40721</v>
      </c>
      <c r="P49">
        <v>71819.034</v>
      </c>
      <c r="Q49">
        <v>2.85541</v>
      </c>
      <c r="R49">
        <v>74.811493749999997</v>
      </c>
      <c r="S49">
        <v>74.811493749999997</v>
      </c>
      <c r="T49">
        <v>960</v>
      </c>
      <c r="U49" t="str">
        <v>36843-ESPINET SOLE, JOSEP MARIA</v>
      </c>
    </row>
    <row r="50" spans="1:21" x14ac:dyDescent="0.25">
      <c r="A50" t="str">
        <v>2025-10-11</v>
      </c>
      <c r="B50" t="str">
        <v>36843-ESPINET SOLE, JOSEP MARIA-L:081-N:4-A:A14-POLLO AMARILLO HEMBRAS</v>
      </c>
      <c r="C50" t="str">
        <v>POLLO AMARILLO HEMBRAS</v>
      </c>
      <c r="D50">
        <v>18186</v>
      </c>
      <c r="E50" t="str">
        <v>Broiler Amarillo</v>
      </c>
      <c r="F50">
        <v>33</v>
      </c>
      <c r="G50">
        <v>22500</v>
      </c>
      <c r="H50" t="str">
        <v>Abierto</v>
      </c>
      <c r="I50">
        <v>1.649</v>
      </c>
      <c r="J50">
        <v>1.649</v>
      </c>
      <c r="K50">
        <v>1.649</v>
      </c>
      <c r="L50">
        <v>-4050</v>
      </c>
      <c r="M50">
        <v>256</v>
      </c>
      <c r="N50">
        <v>256</v>
      </c>
      <c r="O50">
        <v>40483</v>
      </c>
      <c r="P50">
        <v>71416.539999999994</v>
      </c>
      <c r="Q50">
        <v>2.82111</v>
      </c>
      <c r="R50">
        <v>73.930165631469976</v>
      </c>
      <c r="S50">
        <v>73.930165631469976</v>
      </c>
      <c r="T50">
        <v>966</v>
      </c>
      <c r="U50" t="str">
        <v>36843-ESPINET SOLE, JOSEP MARIA</v>
      </c>
    </row>
    <row r="51" spans="1:21" x14ac:dyDescent="0.25">
      <c r="A51" t="str">
        <v>2025-10-11</v>
      </c>
      <c r="B51" t="str">
        <v>36990-SOLER SURIOL SCP-2-L:034-N:3-A:A13-POLLO AMARILLO MACHO</v>
      </c>
      <c r="C51" t="str">
        <v>POLLO AMARILLO MACHO</v>
      </c>
      <c r="D51">
        <v>26272</v>
      </c>
      <c r="E51" t="str">
        <v>Broiler Amarillo</v>
      </c>
      <c r="F51">
        <v>29</v>
      </c>
      <c r="G51">
        <v>26600</v>
      </c>
      <c r="H51" t="str">
        <v>Abierto</v>
      </c>
      <c r="I51">
        <v>1.6359999999999999</v>
      </c>
      <c r="J51">
        <v>1.6628499999999999</v>
      </c>
      <c r="K51">
        <v>1.5049999999999999</v>
      </c>
      <c r="L51">
        <v>0</v>
      </c>
      <c r="M51">
        <v>324</v>
      </c>
      <c r="N51">
        <v>326</v>
      </c>
      <c r="O51">
        <v>52746</v>
      </c>
      <c r="P51">
        <v>82824.361999999994</v>
      </c>
      <c r="Q51">
        <v>1.8157000000000001</v>
      </c>
      <c r="R51">
        <v>56.343103401360544</v>
      </c>
      <c r="S51">
        <v>56.343103401360544</v>
      </c>
      <c r="T51">
        <v>1470</v>
      </c>
      <c r="U51" t="str">
        <v>36990-SOLER SURIOL SCP-2</v>
      </c>
    </row>
    <row r="52" spans="1:21" x14ac:dyDescent="0.25">
      <c r="A52" t="str">
        <v>2025-10-11</v>
      </c>
      <c r="B52" t="str">
        <v>36990-SOLER SURIOL SCP-2-L:034-N:1-A:A13-POLLO AMARILLO MACHO</v>
      </c>
      <c r="C52" t="str">
        <v>POLLO AMARILLO MACHO</v>
      </c>
      <c r="D52">
        <v>13232</v>
      </c>
      <c r="E52" t="str">
        <v>Broiler Amarillo</v>
      </c>
      <c r="F52">
        <v>29</v>
      </c>
      <c r="G52">
        <v>13400</v>
      </c>
      <c r="H52" t="str">
        <v>Abierto</v>
      </c>
      <c r="I52">
        <v>1.556</v>
      </c>
      <c r="J52">
        <v>1.5664499999999999</v>
      </c>
      <c r="K52">
        <v>1.5049999999999999</v>
      </c>
      <c r="L52">
        <v>0</v>
      </c>
      <c r="M52">
        <v>164</v>
      </c>
      <c r="N52">
        <v>205</v>
      </c>
      <c r="O52">
        <v>26466</v>
      </c>
      <c r="P52">
        <v>39712.122000000003</v>
      </c>
      <c r="Q52">
        <v>1.91228</v>
      </c>
      <c r="R52">
        <v>56.73160285714286</v>
      </c>
      <c r="S52">
        <v>56.73160285714286</v>
      </c>
      <c r="T52">
        <v>700</v>
      </c>
      <c r="U52" t="str">
        <v>36990-SOLER SURIOL SCP-2</v>
      </c>
    </row>
    <row r="53" spans="1:21" x14ac:dyDescent="0.25">
      <c r="A53" t="str">
        <v>2025-10-11</v>
      </c>
      <c r="B53" t="str">
        <v>36967-BLAI PONS COLL (Culleré)-L:037-N:3-A:A13-POLLO AMARILLO MACHO</v>
      </c>
      <c r="C53" t="str">
        <v>POLLO AMARILLO MACHO</v>
      </c>
      <c r="D53">
        <v>30246</v>
      </c>
      <c r="E53" t="str">
        <v>Broiler Amarillo</v>
      </c>
      <c r="F53">
        <v>29</v>
      </c>
      <c r="G53">
        <v>30800</v>
      </c>
      <c r="H53" t="str">
        <v>Abierto</v>
      </c>
      <c r="I53">
        <v>1.5549999999999999</v>
      </c>
      <c r="J53">
        <v>1.806</v>
      </c>
      <c r="K53">
        <v>1.5049999999999999</v>
      </c>
      <c r="L53">
        <v>0</v>
      </c>
      <c r="M53">
        <v>551</v>
      </c>
      <c r="N53">
        <v>301</v>
      </c>
      <c r="O53">
        <v>60750</v>
      </c>
      <c r="P53">
        <v>88395.953999999998</v>
      </c>
      <c r="Q53">
        <v>1.8984399999999999</v>
      </c>
      <c r="R53">
        <v>49.108863333333332</v>
      </c>
      <c r="S53">
        <v>49.108863333333332</v>
      </c>
      <c r="T53">
        <v>1800</v>
      </c>
      <c r="U53" t="str">
        <v>36967-BLAI PONS COLL (Culleré)</v>
      </c>
    </row>
    <row r="54" spans="1:21" x14ac:dyDescent="0.25">
      <c r="A54" t="str">
        <v>2025-10-11</v>
      </c>
      <c r="B54" t="str">
        <v>36967-BLAI PONS COLL (Culleré)-L:037-N:2-A:A15-POLLO AMARILLO MIXTO</v>
      </c>
      <c r="C54" t="str">
        <v>POLLO AMARILLO MIXTO</v>
      </c>
      <c r="D54">
        <v>43247</v>
      </c>
      <c r="E54" t="str">
        <v>Broiler Amarillo</v>
      </c>
      <c r="F54">
        <v>29</v>
      </c>
      <c r="G54">
        <v>44000</v>
      </c>
      <c r="H54" t="str">
        <v>Abierto</v>
      </c>
      <c r="I54">
        <v>1.5149999999999999</v>
      </c>
      <c r="J54">
        <v>1.9875</v>
      </c>
      <c r="K54">
        <v>1.431</v>
      </c>
      <c r="L54">
        <v>0</v>
      </c>
      <c r="M54">
        <v>750</v>
      </c>
      <c r="N54">
        <v>701</v>
      </c>
      <c r="O54">
        <v>43247</v>
      </c>
      <c r="P54">
        <v>65519.205000000002</v>
      </c>
      <c r="Q54">
        <v>2.16235</v>
      </c>
      <c r="R54">
        <v>54.599337499999997</v>
      </c>
      <c r="S54">
        <v>54.599337499999997</v>
      </c>
      <c r="T54">
        <v>1200</v>
      </c>
      <c r="U54" t="str">
        <v>36967-BLAI PONS COLL (Culleré)</v>
      </c>
    </row>
    <row r="55" spans="1:21" x14ac:dyDescent="0.25">
      <c r="A55" t="str">
        <v>2025-10-11</v>
      </c>
      <c r="B55" t="str">
        <v>36967-BLAI PONS COLL (Culleré)-L:037-N:1-A:A15-POLLO AMARILLO MIXTO</v>
      </c>
      <c r="C55" t="str">
        <v>POLLO AMARILLO MIXTO</v>
      </c>
      <c r="D55">
        <v>43141</v>
      </c>
      <c r="E55" t="str">
        <v>Broiler Amarillo</v>
      </c>
      <c r="F55">
        <v>29</v>
      </c>
      <c r="G55">
        <v>44000</v>
      </c>
      <c r="H55" t="str">
        <v>Abierto</v>
      </c>
      <c r="I55">
        <v>1.5149999999999999</v>
      </c>
      <c r="J55">
        <v>1.9875</v>
      </c>
      <c r="K55">
        <v>1.431</v>
      </c>
      <c r="L55">
        <v>0</v>
      </c>
      <c r="M55">
        <v>856</v>
      </c>
      <c r="N55">
        <v>25</v>
      </c>
      <c r="O55">
        <v>43141</v>
      </c>
      <c r="P55">
        <v>65358.614999999998</v>
      </c>
      <c r="Q55">
        <v>2.1570499999999999</v>
      </c>
      <c r="R55">
        <v>54.465512500000003</v>
      </c>
      <c r="S55">
        <v>54.465512500000003</v>
      </c>
      <c r="T55">
        <v>1200</v>
      </c>
      <c r="U55" t="str">
        <v>36967-BLAI PONS COLL (Culleré)</v>
      </c>
    </row>
    <row r="56" spans="1:21" x14ac:dyDescent="0.25">
      <c r="A56" t="str">
        <v>2025-10-11</v>
      </c>
      <c r="B56" t="str">
        <v>36990-SOLER SURIOL SCP-2-L:034-N:3-A:A14-POLLO AMARILLO HEMBRAS</v>
      </c>
      <c r="C56" t="str">
        <v>POLLO AMARILLO HEMBRAS</v>
      </c>
      <c r="D56">
        <v>26474</v>
      </c>
      <c r="E56" t="str">
        <v>Broiler Amarillo</v>
      </c>
      <c r="F56">
        <v>29</v>
      </c>
      <c r="G56">
        <v>26800</v>
      </c>
      <c r="H56" t="str">
        <v>Abierto</v>
      </c>
      <c r="I56">
        <v>1.5049999999999999</v>
      </c>
      <c r="J56">
        <v>1.5330699999999999</v>
      </c>
      <c r="K56">
        <v>1.3560000000000001</v>
      </c>
      <c r="L56">
        <v>0</v>
      </c>
      <c r="M56">
        <v>324</v>
      </c>
      <c r="N56">
        <v>341</v>
      </c>
      <c r="O56">
        <v>52746</v>
      </c>
      <c r="P56">
        <v>82824.361999999994</v>
      </c>
      <c r="Q56">
        <v>1.8157000000000001</v>
      </c>
      <c r="R56">
        <v>56.343103401360544</v>
      </c>
      <c r="S56">
        <v>56.343103401360544</v>
      </c>
      <c r="T56">
        <v>1470</v>
      </c>
      <c r="U56" t="str">
        <v>36990-SOLER SURIOL SCP-2</v>
      </c>
    </row>
    <row r="57" spans="1:21" x14ac:dyDescent="0.25">
      <c r="A57" t="str">
        <v>2025-10-11</v>
      </c>
      <c r="B57" t="str">
        <v>36990-SOLER SURIOL SCP-2-L:034-N:1-A:A14-POLLO AMARILLO HEMBRAS</v>
      </c>
      <c r="C57" t="str">
        <v>POLLO AMARILLO HEMBRAS</v>
      </c>
      <c r="D57">
        <v>13234</v>
      </c>
      <c r="E57" t="str">
        <v>Broiler Amarillo</v>
      </c>
      <c r="F57">
        <v>29</v>
      </c>
      <c r="G57">
        <v>13400</v>
      </c>
      <c r="H57" t="str">
        <v>Abierto</v>
      </c>
      <c r="I57">
        <v>1.4450000000000001</v>
      </c>
      <c r="J57">
        <v>1.4617800000000001</v>
      </c>
      <c r="K57">
        <v>1.3560000000000001</v>
      </c>
      <c r="L57">
        <v>0</v>
      </c>
      <c r="M57">
        <v>164</v>
      </c>
      <c r="N57">
        <v>205</v>
      </c>
      <c r="O57">
        <v>26466</v>
      </c>
      <c r="P57">
        <v>39712.122000000003</v>
      </c>
      <c r="Q57">
        <v>1.91228</v>
      </c>
      <c r="R57">
        <v>56.73160285714286</v>
      </c>
      <c r="S57">
        <v>56.73160285714286</v>
      </c>
      <c r="T57">
        <v>700</v>
      </c>
      <c r="U57" t="str">
        <v>36990-SOLER SURIOL SCP-2</v>
      </c>
    </row>
    <row r="58" spans="1:21" x14ac:dyDescent="0.25">
      <c r="A58" t="str">
        <v>2025-10-11</v>
      </c>
      <c r="B58" t="str">
        <v>36990-SOLER SURIOL SCP-2-L:034-N:2-A:A14-POLLO AMARILLO HEMBRAS</v>
      </c>
      <c r="C58" t="str">
        <v>POLLO AMARILLO HEMBRAS</v>
      </c>
      <c r="D58">
        <v>26242</v>
      </c>
      <c r="E58" t="str">
        <v>Broiler Amarillo</v>
      </c>
      <c r="F58">
        <v>29</v>
      </c>
      <c r="G58">
        <v>26600</v>
      </c>
      <c r="H58" t="str">
        <v>Abierto</v>
      </c>
      <c r="I58">
        <v>1.405</v>
      </c>
      <c r="J58">
        <v>1.4142300000000001</v>
      </c>
      <c r="K58">
        <v>1.3560000000000001</v>
      </c>
      <c r="L58">
        <v>0</v>
      </c>
      <c r="M58">
        <v>354</v>
      </c>
      <c r="N58">
        <v>425</v>
      </c>
      <c r="O58">
        <v>52680</v>
      </c>
      <c r="P58">
        <v>80651.338000000003</v>
      </c>
      <c r="Q58">
        <v>1.8134300000000001</v>
      </c>
      <c r="R58">
        <v>54.864855782312922</v>
      </c>
      <c r="S58">
        <v>54.864855782312922</v>
      </c>
      <c r="T58">
        <v>1470</v>
      </c>
      <c r="U58" t="str">
        <v>36990-SOLER SURIOL SCP-2</v>
      </c>
    </row>
    <row r="59" spans="1:21" x14ac:dyDescent="0.25">
      <c r="A59" t="str">
        <v>2025-10-11</v>
      </c>
      <c r="B59" t="str">
        <v>36736-RIBELLES SEGURA SCP-L:117-N:2-A:A13-POLLO AMARILLO MACHO</v>
      </c>
      <c r="C59" t="str">
        <v>POLLO AMARILLO MACHO</v>
      </c>
      <c r="D59">
        <v>31327</v>
      </c>
      <c r="E59" t="str">
        <v>Broiler Amarillo</v>
      </c>
      <c r="F59">
        <v>25</v>
      </c>
      <c r="G59">
        <v>31500</v>
      </c>
      <c r="H59" t="str">
        <v>Abierto</v>
      </c>
      <c r="I59">
        <v>1.3839999999999999</v>
      </c>
      <c r="J59">
        <v>1.4384300000000001</v>
      </c>
      <c r="K59">
        <v>1.167</v>
      </c>
      <c r="L59">
        <v>0</v>
      </c>
      <c r="M59">
        <v>170</v>
      </c>
      <c r="N59">
        <v>319</v>
      </c>
      <c r="O59">
        <v>62354</v>
      </c>
      <c r="P59">
        <v>80682.048999999999</v>
      </c>
      <c r="Q59">
        <v>2.77129</v>
      </c>
      <c r="R59">
        <v>63.78027588932806</v>
      </c>
      <c r="S59">
        <v>63.78027588932806</v>
      </c>
      <c r="T59">
        <v>1265</v>
      </c>
      <c r="U59" t="str">
        <v>36736-RIBELLES SEGURA SCP</v>
      </c>
    </row>
    <row r="60" spans="1:21" x14ac:dyDescent="0.25">
      <c r="A60" t="str">
        <v>2025-10-11</v>
      </c>
      <c r="B60" t="str">
        <v>36967-BLAI PONS COLL (Culleré)-L:037-N:3-A:A14-POLLO AMARILLO HEMBRAS</v>
      </c>
      <c r="C60" t="str">
        <v>POLLO AMARILLO HEMBRAS</v>
      </c>
      <c r="D60">
        <v>30504</v>
      </c>
      <c r="E60" t="str">
        <v>Broiler Amarillo</v>
      </c>
      <c r="F60">
        <v>29</v>
      </c>
      <c r="G60">
        <v>30800</v>
      </c>
      <c r="H60" t="str">
        <v>Abierto</v>
      </c>
      <c r="I60">
        <v>1.3560000000000001</v>
      </c>
      <c r="J60">
        <v>1.3560000000000001</v>
      </c>
      <c r="K60">
        <v>1.3560000000000001</v>
      </c>
      <c r="L60">
        <v>0</v>
      </c>
      <c r="M60">
        <v>296</v>
      </c>
      <c r="N60">
        <v>296</v>
      </c>
      <c r="O60">
        <v>60750</v>
      </c>
      <c r="P60">
        <v>88395.953999999998</v>
      </c>
      <c r="Q60">
        <v>1.8984399999999999</v>
      </c>
      <c r="R60">
        <v>49.108863333333332</v>
      </c>
      <c r="S60">
        <v>49.108863333333332</v>
      </c>
      <c r="T60">
        <v>1800</v>
      </c>
      <c r="U60" t="str">
        <v>36967-BLAI PONS COLL (Culleré)</v>
      </c>
    </row>
    <row r="61" spans="1:21" x14ac:dyDescent="0.25">
      <c r="A61" t="str">
        <v>2025-10-11</v>
      </c>
      <c r="B61" t="str">
        <v>36387-AGROPECUARIA SAUS-L:090-N:4-A:A13-POLLO AMARILLO MACHO</v>
      </c>
      <c r="C61" t="str">
        <v>POLLO AMARILLO MACHO</v>
      </c>
      <c r="D61">
        <v>27442</v>
      </c>
      <c r="E61" t="str">
        <v>Broiler Amarillo</v>
      </c>
      <c r="F61">
        <v>26</v>
      </c>
      <c r="G61">
        <v>27600</v>
      </c>
      <c r="H61" t="str">
        <v>Abierto</v>
      </c>
      <c r="I61">
        <v>1.34</v>
      </c>
      <c r="J61">
        <v>1.3616600000000001</v>
      </c>
      <c r="K61">
        <v>1.2490000000000001</v>
      </c>
      <c r="L61">
        <v>0</v>
      </c>
      <c r="M61">
        <v>150</v>
      </c>
      <c r="N61">
        <v>280</v>
      </c>
      <c r="O61">
        <v>54329</v>
      </c>
      <c r="P61">
        <v>69198.001999999993</v>
      </c>
      <c r="Q61">
        <v>2.9542700000000002</v>
      </c>
      <c r="R61">
        <v>54.919049206349207</v>
      </c>
      <c r="S61">
        <v>54.919049206349207</v>
      </c>
      <c r="T61">
        <v>1260</v>
      </c>
      <c r="U61" t="str">
        <v>36387-AGROPECUARIA SAUS</v>
      </c>
    </row>
    <row r="62" spans="1:21" x14ac:dyDescent="0.25">
      <c r="A62" t="str">
        <v>2025-10-11</v>
      </c>
      <c r="B62" t="str">
        <v>36387-AGROPECUARIA SAUS-L:090-N:3-A:A13-POLLO AMARILLO MACHO</v>
      </c>
      <c r="C62" t="str">
        <v>POLLO AMARILLO MACHO</v>
      </c>
      <c r="D62">
        <v>27095</v>
      </c>
      <c r="E62" t="str">
        <v>Broiler Amarillo</v>
      </c>
      <c r="F62">
        <v>26</v>
      </c>
      <c r="G62">
        <v>27300</v>
      </c>
      <c r="H62" t="str">
        <v>Abierto</v>
      </c>
      <c r="I62">
        <v>1.34</v>
      </c>
      <c r="J62">
        <v>1.3616600000000001</v>
      </c>
      <c r="K62">
        <v>1.2490000000000001</v>
      </c>
      <c r="L62">
        <v>0</v>
      </c>
      <c r="M62">
        <v>200</v>
      </c>
      <c r="N62">
        <v>276</v>
      </c>
      <c r="O62">
        <v>53976</v>
      </c>
      <c r="P62">
        <v>68725.785999999993</v>
      </c>
      <c r="Q62">
        <v>2.9350700000000001</v>
      </c>
      <c r="R62">
        <v>54.5442746031746</v>
      </c>
      <c r="S62">
        <v>54.5442746031746</v>
      </c>
      <c r="T62">
        <v>1260</v>
      </c>
      <c r="U62" t="str">
        <v>36387-AGROPECUARIA SAUS</v>
      </c>
    </row>
    <row r="63" spans="1:21" x14ac:dyDescent="0.25">
      <c r="A63" t="str">
        <v>2025-10-11</v>
      </c>
      <c r="B63" t="str">
        <v>36736-RIBELLES SEGURA SCP-L:117-N:1-A:A13-POLLO AMARILLO MACHO</v>
      </c>
      <c r="C63" t="str">
        <v>POLLO AMARILLO MACHO</v>
      </c>
      <c r="D63">
        <v>24727</v>
      </c>
      <c r="E63" t="str">
        <v>Broiler Amarillo</v>
      </c>
      <c r="F63">
        <v>25</v>
      </c>
      <c r="G63">
        <v>24900</v>
      </c>
      <c r="H63" t="str">
        <v>Abierto</v>
      </c>
      <c r="I63">
        <v>1.3340000000000001</v>
      </c>
      <c r="J63">
        <v>1.37588</v>
      </c>
      <c r="K63">
        <v>1.167</v>
      </c>
      <c r="L63">
        <v>0</v>
      </c>
      <c r="M63">
        <v>170</v>
      </c>
      <c r="N63">
        <v>254</v>
      </c>
      <c r="O63">
        <v>62344</v>
      </c>
      <c r="P63">
        <v>78239.069000000003</v>
      </c>
      <c r="Q63">
        <v>2.7708400000000002</v>
      </c>
      <c r="R63">
        <v>61.849066403162055</v>
      </c>
      <c r="S63">
        <v>61.849066403162055</v>
      </c>
      <c r="T63">
        <v>1265</v>
      </c>
      <c r="U63" t="str">
        <v>36736-RIBELLES SEGURA SCP</v>
      </c>
    </row>
    <row r="64" spans="1:21" x14ac:dyDescent="0.25">
      <c r="A64" t="str">
        <v>2025-10-11</v>
      </c>
      <c r="B64" t="str">
        <v>36991-PESSARRODONA AVIRAM SL-L:034-N:1-A:A13-POLLO AMARILLO MACHO</v>
      </c>
      <c r="C64" t="str">
        <v>POLLO AMARILLO MACHO</v>
      </c>
      <c r="D64">
        <v>34914</v>
      </c>
      <c r="E64" t="str">
        <v>Broiler Amarillo</v>
      </c>
      <c r="F64">
        <v>25</v>
      </c>
      <c r="G64">
        <v>35100</v>
      </c>
      <c r="H64" t="str">
        <v>Abierto</v>
      </c>
      <c r="I64">
        <v>1.319</v>
      </c>
      <c r="J64">
        <v>1.3737600000000001</v>
      </c>
      <c r="K64">
        <v>1.167</v>
      </c>
      <c r="L64">
        <v>0</v>
      </c>
      <c r="M64">
        <v>181</v>
      </c>
      <c r="N64">
        <v>348</v>
      </c>
      <c r="O64">
        <v>70131</v>
      </c>
      <c r="P64">
        <v>87149.804999999993</v>
      </c>
      <c r="Q64">
        <v>3.1697600000000001</v>
      </c>
      <c r="R64">
        <v>62.249860714285717</v>
      </c>
      <c r="S64">
        <v>62.249860714285717</v>
      </c>
      <c r="T64">
        <v>1400</v>
      </c>
      <c r="U64" t="str">
        <v>36991-PESSARRODONA AVIRAM SL</v>
      </c>
    </row>
    <row r="65" spans="1:21" x14ac:dyDescent="0.25">
      <c r="A65" t="str">
        <v>2025-10-11</v>
      </c>
      <c r="B65" t="str">
        <v>36991-PESSARRODONA AVIRAM SL-L:034-N:2-A:A13-POLLO AMARILLO MACHO</v>
      </c>
      <c r="C65" t="str">
        <v>POLLO AMARILLO MACHO</v>
      </c>
      <c r="D65">
        <v>67336</v>
      </c>
      <c r="E65" t="str">
        <v>Broiler Amarillo</v>
      </c>
      <c r="F65">
        <v>25</v>
      </c>
      <c r="G65">
        <v>67800</v>
      </c>
      <c r="H65" t="str">
        <v>Abierto</v>
      </c>
      <c r="I65">
        <v>1.3089999999999999</v>
      </c>
      <c r="J65">
        <v>1.3601399999999999</v>
      </c>
      <c r="K65">
        <v>1.167</v>
      </c>
      <c r="L65">
        <v>0</v>
      </c>
      <c r="M65">
        <v>456</v>
      </c>
      <c r="N65">
        <v>684</v>
      </c>
      <c r="O65">
        <v>138875</v>
      </c>
      <c r="P65">
        <v>170198.057</v>
      </c>
      <c r="Q65">
        <v>3.0511900000000001</v>
      </c>
      <c r="R65">
        <v>59.096547569444446</v>
      </c>
      <c r="S65">
        <v>59.096547569444446</v>
      </c>
      <c r="T65">
        <v>2880</v>
      </c>
      <c r="U65" t="str">
        <v>36991-PESSARRODONA AVIRAM SL</v>
      </c>
    </row>
    <row r="66" spans="1:21" x14ac:dyDescent="0.25">
      <c r="A66" t="str">
        <v>2025-10-11</v>
      </c>
      <c r="B66" t="str">
        <v>36016-SANFELIU IBAÑEZ EUGENI-L:030-N:2-A:A15-POLLO AMARILLO MIXTO</v>
      </c>
      <c r="C66" t="str">
        <v>POLLO AMARILLO MIXTO</v>
      </c>
      <c r="D66">
        <v>89151</v>
      </c>
      <c r="E66" t="str">
        <v>Broiler Amarillo</v>
      </c>
      <c r="F66">
        <v>26</v>
      </c>
      <c r="G66">
        <v>90000</v>
      </c>
      <c r="H66" t="str">
        <v>Abierto</v>
      </c>
      <c r="I66">
        <v>1.2729999999999999</v>
      </c>
      <c r="J66">
        <v>1.29088</v>
      </c>
      <c r="K66">
        <v>1.1950000000000001</v>
      </c>
      <c r="L66">
        <v>0</v>
      </c>
      <c r="M66">
        <v>846</v>
      </c>
      <c r="N66">
        <v>923</v>
      </c>
      <c r="O66">
        <v>89151</v>
      </c>
      <c r="P66">
        <v>113489.223</v>
      </c>
      <c r="Q66">
        <v>3.2418499999999999</v>
      </c>
      <c r="R66">
        <v>70.930764374999995</v>
      </c>
      <c r="S66">
        <v>70.930764374999995</v>
      </c>
      <c r="T66">
        <v>1600</v>
      </c>
      <c r="U66" t="str">
        <v>36016-SANFELIU IBAÑEZ EUGENI</v>
      </c>
    </row>
    <row r="67" spans="1:21" x14ac:dyDescent="0.25">
      <c r="A67" t="str">
        <v>2025-10-11</v>
      </c>
      <c r="B67" t="str">
        <v>36387-AGROPECUARIA SAUS-L:090-N:2-A:A15-POLLO AMARILLO MIXTO</v>
      </c>
      <c r="C67" t="str">
        <v>POLLO AMARILLO MIXTO</v>
      </c>
      <c r="D67">
        <v>56995</v>
      </c>
      <c r="E67" t="str">
        <v>Broiler Amarillo</v>
      </c>
      <c r="F67">
        <v>26</v>
      </c>
      <c r="G67">
        <v>58320</v>
      </c>
      <c r="H67" t="str">
        <v>Abierto</v>
      </c>
      <c r="I67">
        <v>1.2529999999999999</v>
      </c>
      <c r="J67">
        <v>1.2663199999999999</v>
      </c>
      <c r="K67">
        <v>1.1950000000000001</v>
      </c>
      <c r="L67">
        <v>0</v>
      </c>
      <c r="M67">
        <v>1320</v>
      </c>
      <c r="N67">
        <v>90</v>
      </c>
      <c r="O67">
        <v>56995</v>
      </c>
      <c r="P67">
        <v>71414.735000000001</v>
      </c>
      <c r="Q67">
        <v>2.9824700000000002</v>
      </c>
      <c r="R67">
        <v>54.51506488549618</v>
      </c>
      <c r="S67">
        <v>54.51506488549618</v>
      </c>
      <c r="T67">
        <v>1310</v>
      </c>
      <c r="U67" t="str">
        <v>36387-AGROPECUARIA SAUS</v>
      </c>
    </row>
    <row r="68" spans="1:21" x14ac:dyDescent="0.25">
      <c r="A68" t="str">
        <v>2025-10-11</v>
      </c>
      <c r="B68" t="str">
        <v>36387-AGROPECUARIA SAUS-L:090-N:1-A:A15-POLLO AMARILLO MIXTO</v>
      </c>
      <c r="C68" t="str">
        <v>POLLO AMARILLO MIXTO</v>
      </c>
      <c r="D68">
        <v>57660</v>
      </c>
      <c r="E68" t="str">
        <v>Broiler Amarillo</v>
      </c>
      <c r="F68">
        <v>26</v>
      </c>
      <c r="G68">
        <v>58320</v>
      </c>
      <c r="H68" t="str">
        <v>Abierto</v>
      </c>
      <c r="I68">
        <v>1.2430000000000001</v>
      </c>
      <c r="J68">
        <v>1.2540199999999999</v>
      </c>
      <c r="K68">
        <v>1.1950000000000001</v>
      </c>
      <c r="L68">
        <v>0</v>
      </c>
      <c r="M68">
        <v>650</v>
      </c>
      <c r="N68">
        <v>0</v>
      </c>
      <c r="O68">
        <v>57660</v>
      </c>
      <c r="P68">
        <v>71671.38</v>
      </c>
      <c r="Q68">
        <v>3.0172699999999999</v>
      </c>
      <c r="R68">
        <v>54.710977099236644</v>
      </c>
      <c r="S68">
        <v>54.710977099236644</v>
      </c>
      <c r="T68">
        <v>1310</v>
      </c>
      <c r="U68" t="str">
        <v>36387-AGROPECUARIA SAUS</v>
      </c>
    </row>
    <row r="69" spans="1:21" x14ac:dyDescent="0.25">
      <c r="A69" t="str">
        <v>2025-10-11</v>
      </c>
      <c r="B69" t="str">
        <v>36016-SANFELIU IBAÑEZ EUGENI-L:030-N:1-A:A15-POLLO AMARILLO MIXTO</v>
      </c>
      <c r="C69" t="str">
        <v>POLLO AMARILLO MIXTO</v>
      </c>
      <c r="D69">
        <v>87208</v>
      </c>
      <c r="E69" t="str">
        <v>Broiler Amarillo</v>
      </c>
      <c r="F69">
        <v>26</v>
      </c>
      <c r="G69">
        <v>90000</v>
      </c>
      <c r="H69" t="str">
        <v>Abierto</v>
      </c>
      <c r="I69">
        <v>1.2230000000000001</v>
      </c>
      <c r="J69">
        <v>1.22942</v>
      </c>
      <c r="K69">
        <v>1.1950000000000001</v>
      </c>
      <c r="L69">
        <v>0</v>
      </c>
      <c r="M69">
        <v>2789</v>
      </c>
      <c r="N69">
        <v>923</v>
      </c>
      <c r="O69">
        <v>87208</v>
      </c>
      <c r="P69">
        <v>106655.38400000001</v>
      </c>
      <c r="Q69">
        <v>3.1711999999999998</v>
      </c>
      <c r="R69">
        <v>65.836656790123456</v>
      </c>
      <c r="S69">
        <v>65.836656790123456</v>
      </c>
      <c r="T69">
        <v>1620</v>
      </c>
      <c r="U69" t="str">
        <v>36016-SANFELIU IBAÑEZ EUGENI</v>
      </c>
    </row>
    <row r="70" spans="1:21" x14ac:dyDescent="0.25">
      <c r="A70" t="str">
        <v>2025-10-11</v>
      </c>
      <c r="B70" t="str">
        <v>36387-AGROPECUARIA SAUS-L:090-N:3-A:A14-POLLO AMARILLO HEMBRAS</v>
      </c>
      <c r="C70" t="str">
        <v>POLLO AMARILLO HEMBRAS</v>
      </c>
      <c r="D70">
        <v>26881</v>
      </c>
      <c r="E70" t="str">
        <v>Broiler Amarillo</v>
      </c>
      <c r="F70">
        <v>26</v>
      </c>
      <c r="G70">
        <v>27000</v>
      </c>
      <c r="H70" t="str">
        <v>Abierto</v>
      </c>
      <c r="I70">
        <v>1.206</v>
      </c>
      <c r="J70">
        <v>1.2203299999999999</v>
      </c>
      <c r="K70">
        <v>1.141</v>
      </c>
      <c r="L70">
        <v>0</v>
      </c>
      <c r="M70">
        <v>115</v>
      </c>
      <c r="N70">
        <v>273</v>
      </c>
      <c r="O70">
        <v>53976</v>
      </c>
      <c r="P70">
        <v>68725.785999999993</v>
      </c>
      <c r="Q70">
        <v>2.9350700000000001</v>
      </c>
      <c r="R70">
        <v>54.5442746031746</v>
      </c>
      <c r="S70">
        <v>54.5442746031746</v>
      </c>
      <c r="T70">
        <v>1260</v>
      </c>
      <c r="U70" t="str">
        <v>36387-AGROPECUARIA SAUS</v>
      </c>
    </row>
    <row r="71" spans="1:21" x14ac:dyDescent="0.25">
      <c r="A71" t="str">
        <v>2025-10-11</v>
      </c>
      <c r="B71" t="str">
        <v>36387-AGROPECUARIA SAUS-L:090-N:4-A:A14-POLLO AMARILLO HEMBRAS</v>
      </c>
      <c r="C71" t="str">
        <v>POLLO AMARILLO HEMBRAS</v>
      </c>
      <c r="D71">
        <v>26887</v>
      </c>
      <c r="E71" t="str">
        <v>Broiler Amarillo</v>
      </c>
      <c r="F71">
        <v>26</v>
      </c>
      <c r="G71">
        <v>27000</v>
      </c>
      <c r="H71" t="str">
        <v>Abierto</v>
      </c>
      <c r="I71">
        <v>1.206</v>
      </c>
      <c r="J71">
        <v>1.2203299999999999</v>
      </c>
      <c r="K71">
        <v>1.141</v>
      </c>
      <c r="L71">
        <v>0</v>
      </c>
      <c r="M71">
        <v>110</v>
      </c>
      <c r="N71">
        <v>273</v>
      </c>
      <c r="O71">
        <v>54329</v>
      </c>
      <c r="P71">
        <v>69198.001999999993</v>
      </c>
      <c r="Q71">
        <v>2.9542700000000002</v>
      </c>
      <c r="R71">
        <v>54.919049206349207</v>
      </c>
      <c r="S71">
        <v>54.919049206349207</v>
      </c>
      <c r="T71">
        <v>1260</v>
      </c>
      <c r="U71" t="str">
        <v>36387-AGROPECUARIA SAUS</v>
      </c>
    </row>
    <row r="72" spans="1:21" x14ac:dyDescent="0.25">
      <c r="A72" t="str">
        <v>2025-10-11</v>
      </c>
      <c r="B72" t="str">
        <v>36736-RIBELLES SEGURA SCP-L:117-N:2-A:A14-POLLO AMARILLO HEMBRAS</v>
      </c>
      <c r="C72" t="str">
        <v>POLLO AMARILLO HEMBRAS</v>
      </c>
      <c r="D72">
        <v>31027</v>
      </c>
      <c r="E72" t="str">
        <v>Broiler Amarillo</v>
      </c>
      <c r="F72">
        <v>25</v>
      </c>
      <c r="G72">
        <v>31200</v>
      </c>
      <c r="H72" t="str">
        <v>Abierto</v>
      </c>
      <c r="I72">
        <v>1.2030000000000001</v>
      </c>
      <c r="J72">
        <v>1.2336</v>
      </c>
      <c r="K72">
        <v>1.0720000000000001</v>
      </c>
      <c r="L72">
        <v>0</v>
      </c>
      <c r="M72">
        <v>170</v>
      </c>
      <c r="N72">
        <v>318</v>
      </c>
      <c r="O72">
        <v>62354</v>
      </c>
      <c r="P72">
        <v>80682.048999999999</v>
      </c>
      <c r="Q72">
        <v>2.77129</v>
      </c>
      <c r="R72">
        <v>63.78027588932806</v>
      </c>
      <c r="S72">
        <v>63.78027588932806</v>
      </c>
      <c r="T72">
        <v>1265</v>
      </c>
      <c r="U72" t="str">
        <v>36736-RIBELLES SEGURA SCP</v>
      </c>
    </row>
    <row r="73" spans="1:21" x14ac:dyDescent="0.25">
      <c r="A73" t="str">
        <v>2025-10-11</v>
      </c>
      <c r="B73" t="str">
        <v>36736-RIBELLES SEGURA SCP-L:117-N:1-A:A14-POLLO AMARILLO HEMBRAS</v>
      </c>
      <c r="C73" t="str">
        <v>POLLO AMARILLO HEMBRAS</v>
      </c>
      <c r="D73">
        <v>37617</v>
      </c>
      <c r="E73" t="str">
        <v>Broiler Amarillo</v>
      </c>
      <c r="F73">
        <v>25</v>
      </c>
      <c r="G73">
        <v>37800</v>
      </c>
      <c r="H73" t="str">
        <v>Abierto</v>
      </c>
      <c r="I73">
        <v>1.2030000000000001</v>
      </c>
      <c r="J73">
        <v>1.2336</v>
      </c>
      <c r="K73">
        <v>1.0720000000000001</v>
      </c>
      <c r="L73">
        <v>0</v>
      </c>
      <c r="M73">
        <v>180</v>
      </c>
      <c r="N73">
        <v>375</v>
      </c>
      <c r="O73">
        <v>62344</v>
      </c>
      <c r="P73">
        <v>78239.069000000003</v>
      </c>
      <c r="Q73">
        <v>2.7708400000000002</v>
      </c>
      <c r="R73">
        <v>61.849066403162055</v>
      </c>
      <c r="S73">
        <v>61.849066403162055</v>
      </c>
      <c r="T73">
        <v>1265</v>
      </c>
      <c r="U73" t="str">
        <v>36736-RIBELLES SEGURA SCP</v>
      </c>
    </row>
    <row r="74" spans="1:21" x14ac:dyDescent="0.25">
      <c r="A74" t="str">
        <v>2025-10-11</v>
      </c>
      <c r="B74" t="str">
        <v>36991-PESSARRODONA AVIRAM SL-L:034-N:1-A:A14-POLLO AMARILLO HEMBRAS</v>
      </c>
      <c r="C74" t="str">
        <v>POLLO AMARILLO HEMBRAS</v>
      </c>
      <c r="D74">
        <v>35217</v>
      </c>
      <c r="E74" t="str">
        <v>Broiler Amarillo</v>
      </c>
      <c r="F74">
        <v>25</v>
      </c>
      <c r="G74">
        <v>35400</v>
      </c>
      <c r="H74" t="str">
        <v>Abierto</v>
      </c>
      <c r="I74">
        <v>1.167</v>
      </c>
      <c r="J74">
        <v>1.1984999999999999</v>
      </c>
      <c r="K74">
        <v>1.0720000000000001</v>
      </c>
      <c r="L74">
        <v>0</v>
      </c>
      <c r="M74">
        <v>181</v>
      </c>
      <c r="N74">
        <v>356</v>
      </c>
      <c r="O74">
        <v>70131</v>
      </c>
      <c r="P74">
        <v>87149.804999999993</v>
      </c>
      <c r="Q74">
        <v>3.1697600000000001</v>
      </c>
      <c r="R74">
        <v>62.249860714285717</v>
      </c>
      <c r="S74">
        <v>62.249860714285717</v>
      </c>
      <c r="T74">
        <v>1400</v>
      </c>
      <c r="U74" t="str">
        <v>36991-PESSARRODONA AVIRAM SL</v>
      </c>
    </row>
    <row r="75" spans="1:21" x14ac:dyDescent="0.25">
      <c r="A75" t="str">
        <v>2025-10-11</v>
      </c>
      <c r="B75" t="str">
        <v>36526-FARRUS FARRAN ANTONIO-L:148-N:2-A:A15-POLLO AMARILLO MIXTO</v>
      </c>
      <c r="C75" t="str">
        <v>POLLO AMARILLO MIXTO</v>
      </c>
      <c r="D75">
        <v>37354</v>
      </c>
      <c r="E75" t="str">
        <v>Broiler Amarillo</v>
      </c>
      <c r="F75">
        <v>24</v>
      </c>
      <c r="G75">
        <v>37500</v>
      </c>
      <c r="H75" t="str">
        <v>Abierto</v>
      </c>
      <c r="I75">
        <v>1.1619999999999999</v>
      </c>
      <c r="J75">
        <v>1.5380199999999999</v>
      </c>
      <c r="K75">
        <v>1.0449999999999999</v>
      </c>
      <c r="L75">
        <v>0</v>
      </c>
      <c r="M75">
        <v>140</v>
      </c>
      <c r="N75">
        <v>371</v>
      </c>
      <c r="O75">
        <v>37354</v>
      </c>
      <c r="P75">
        <v>43405.347999999998</v>
      </c>
      <c r="Q75">
        <v>2.7669600000000001</v>
      </c>
      <c r="R75">
        <v>51.673033333333336</v>
      </c>
      <c r="S75">
        <v>51.673033333333336</v>
      </c>
      <c r="T75">
        <v>840</v>
      </c>
      <c r="U75" t="str">
        <v>36526-FARRUS FARRAN ANTONIO</v>
      </c>
    </row>
    <row r="76" spans="1:21" x14ac:dyDescent="0.25">
      <c r="A76" t="str">
        <v>2025-10-11</v>
      </c>
      <c r="B76" t="str">
        <v>36526-FARRUS FARRAN ANTONIO-L:148-N:1-A:A15-POLLO AMARILLO MIXTO</v>
      </c>
      <c r="C76" t="str">
        <v>POLLO AMARILLO MIXTO</v>
      </c>
      <c r="D76">
        <v>37293</v>
      </c>
      <c r="E76" t="str">
        <v>Broiler Amarillo</v>
      </c>
      <c r="F76">
        <v>24</v>
      </c>
      <c r="G76">
        <v>37500</v>
      </c>
      <c r="H76" t="str">
        <v>Abierto</v>
      </c>
      <c r="I76">
        <v>1.1619999999999999</v>
      </c>
      <c r="J76">
        <v>1.5380199999999999</v>
      </c>
      <c r="K76">
        <v>1.0449999999999999</v>
      </c>
      <c r="L76">
        <v>0</v>
      </c>
      <c r="M76">
        <v>200</v>
      </c>
      <c r="N76">
        <v>371</v>
      </c>
      <c r="O76">
        <v>37293</v>
      </c>
      <c r="P76">
        <v>43334.466</v>
      </c>
      <c r="Q76">
        <v>2.7624399999999998</v>
      </c>
      <c r="R76">
        <v>51.588650000000001</v>
      </c>
      <c r="S76">
        <v>51.588650000000001</v>
      </c>
      <c r="T76">
        <v>840</v>
      </c>
      <c r="U76" t="str">
        <v>36526-FARRUS FARRAN ANTONIO</v>
      </c>
    </row>
    <row r="77" spans="1:21" x14ac:dyDescent="0.25">
      <c r="A77" t="str">
        <v>2025-10-11</v>
      </c>
      <c r="B77" t="str">
        <v>36991-PESSARRODONA AVIRAM SL-L:034-N:2-A:A14-POLLO AMARILLO HEMBRAS</v>
      </c>
      <c r="C77" t="str">
        <v>POLLO AMARILLO HEMBRAS</v>
      </c>
      <c r="D77">
        <v>71539</v>
      </c>
      <c r="E77" t="str">
        <v>Broiler Amarillo</v>
      </c>
      <c r="F77">
        <v>25</v>
      </c>
      <c r="G77">
        <v>72000</v>
      </c>
      <c r="H77" t="str">
        <v>Abierto</v>
      </c>
      <c r="I77">
        <v>1.147</v>
      </c>
      <c r="J77">
        <v>1.17188</v>
      </c>
      <c r="K77">
        <v>1.0720000000000001</v>
      </c>
      <c r="L77">
        <v>0</v>
      </c>
      <c r="M77">
        <v>456</v>
      </c>
      <c r="N77">
        <v>627</v>
      </c>
      <c r="O77">
        <v>138875</v>
      </c>
      <c r="P77">
        <v>170198.057</v>
      </c>
      <c r="Q77">
        <v>3.0511900000000001</v>
      </c>
      <c r="R77">
        <v>59.096547569444446</v>
      </c>
      <c r="S77">
        <v>59.096547569444446</v>
      </c>
      <c r="T77">
        <v>2880</v>
      </c>
      <c r="U77" t="str">
        <v>36991-PESSARRODONA AVIRAM SL</v>
      </c>
    </row>
    <row r="78" spans="1:21" x14ac:dyDescent="0.25">
      <c r="A78" t="str">
        <v>2025-10-11</v>
      </c>
      <c r="B78" t="str">
        <v>36527-GEMMARTI-L:050-N:2-A:A15-POLLO AMARILLO MIXTO</v>
      </c>
      <c r="C78" t="str">
        <v>POLLO AMARILLO MIXTO</v>
      </c>
      <c r="D78">
        <v>27619</v>
      </c>
      <c r="E78" t="str">
        <v>Broiler Amarillo</v>
      </c>
      <c r="F78">
        <v>23</v>
      </c>
      <c r="G78">
        <v>27810</v>
      </c>
      <c r="H78" t="str">
        <v>Abierto</v>
      </c>
      <c r="I78">
        <v>1.1259999999999999</v>
      </c>
      <c r="J78">
        <v>1.66503</v>
      </c>
      <c r="K78">
        <v>0.97199999999999998</v>
      </c>
      <c r="L78">
        <v>0</v>
      </c>
      <c r="M78">
        <v>187</v>
      </c>
      <c r="N78">
        <v>271</v>
      </c>
      <c r="O78">
        <v>27619</v>
      </c>
      <c r="P78">
        <v>31098.993999999999</v>
      </c>
      <c r="Q78">
        <v>2.6303800000000002</v>
      </c>
      <c r="R78">
        <v>47.844606153846151</v>
      </c>
      <c r="S78">
        <v>47.844606153846151</v>
      </c>
      <c r="T78">
        <v>650</v>
      </c>
      <c r="U78" t="str">
        <v>36527-GEMMARTI</v>
      </c>
    </row>
    <row r="79" spans="1:21" x14ac:dyDescent="0.25">
      <c r="A79" t="str">
        <v>2025-10-11</v>
      </c>
      <c r="B79" t="str">
        <v>36527-GEMMARTI-L:050-N:1-A:A15-POLLO AMARILLO MIXTO</v>
      </c>
      <c r="C79" t="str">
        <v>POLLO AMARILLO MIXTO</v>
      </c>
      <c r="D79">
        <v>27602</v>
      </c>
      <c r="E79" t="str">
        <v>Broiler Amarillo</v>
      </c>
      <c r="F79">
        <v>23</v>
      </c>
      <c r="G79">
        <v>27810</v>
      </c>
      <c r="H79" t="str">
        <v>Abierto</v>
      </c>
      <c r="I79">
        <v>1.1259999999999999</v>
      </c>
      <c r="J79">
        <v>1.66503</v>
      </c>
      <c r="K79">
        <v>0.97199999999999998</v>
      </c>
      <c r="L79">
        <v>0</v>
      </c>
      <c r="M79">
        <v>200</v>
      </c>
      <c r="N79">
        <v>80</v>
      </c>
      <c r="O79">
        <v>27602</v>
      </c>
      <c r="P79">
        <v>31079.851999999999</v>
      </c>
      <c r="Q79">
        <v>2.6287600000000002</v>
      </c>
      <c r="R79">
        <v>47.81515692307692</v>
      </c>
      <c r="S79">
        <v>47.81515692307692</v>
      </c>
      <c r="T79">
        <v>650</v>
      </c>
      <c r="U79" t="str">
        <v>36527-GEMMARTI</v>
      </c>
    </row>
    <row r="80" spans="1:21" x14ac:dyDescent="0.25">
      <c r="A80" t="str">
        <v>2025-10-11</v>
      </c>
      <c r="B80" t="str">
        <v>36991-PESSARRODONA AVIRAM SL-L:034-N:3-A:A13-POLLO AMARILLO MACHO</v>
      </c>
      <c r="C80" t="str">
        <v>POLLO AMARILLO MACHO</v>
      </c>
      <c r="D80">
        <v>56720</v>
      </c>
      <c r="E80" t="str">
        <v>Broiler Amarillo</v>
      </c>
      <c r="F80">
        <v>22</v>
      </c>
      <c r="G80">
        <v>57000</v>
      </c>
      <c r="H80" t="str">
        <v>Abierto</v>
      </c>
      <c r="I80">
        <v>1.091</v>
      </c>
      <c r="J80">
        <v>1.79006</v>
      </c>
      <c r="K80">
        <v>0.93300000000000005</v>
      </c>
      <c r="L80">
        <v>0</v>
      </c>
      <c r="M80">
        <v>280</v>
      </c>
      <c r="N80">
        <v>357</v>
      </c>
      <c r="O80">
        <v>113440</v>
      </c>
      <c r="P80">
        <v>118885.12</v>
      </c>
      <c r="Q80">
        <v>2.9909300000000001</v>
      </c>
      <c r="R80">
        <v>49.535466666666665</v>
      </c>
      <c r="S80">
        <v>49.535466666666665</v>
      </c>
      <c r="T80">
        <v>2400</v>
      </c>
      <c r="U80" t="str">
        <v>36991-PESSARRODONA AVIRAM SL</v>
      </c>
    </row>
    <row r="81" spans="1:21" x14ac:dyDescent="0.25">
      <c r="A81" t="str">
        <v>2025-10-11</v>
      </c>
      <c r="B81" t="str">
        <v>36991-PESSARRODONA AVIRAM SL-L:034-N:3-A:A14-POLLO AMARILLO HEMBRAS</v>
      </c>
      <c r="C81" t="str">
        <v>POLLO AMARILLO HEMBRAS</v>
      </c>
      <c r="D81">
        <v>56720</v>
      </c>
      <c r="E81" t="str">
        <v>Broiler Amarillo</v>
      </c>
      <c r="F81">
        <v>22</v>
      </c>
      <c r="G81">
        <v>57000</v>
      </c>
      <c r="H81" t="str">
        <v>Abierto</v>
      </c>
      <c r="I81">
        <v>1.0049999999999999</v>
      </c>
      <c r="J81">
        <v>1.5601100000000001</v>
      </c>
      <c r="K81">
        <v>0.86899999999999999</v>
      </c>
      <c r="L81">
        <v>0</v>
      </c>
      <c r="M81">
        <v>280</v>
      </c>
      <c r="N81">
        <v>430</v>
      </c>
      <c r="O81">
        <v>113440</v>
      </c>
      <c r="P81">
        <v>118885.12</v>
      </c>
      <c r="Q81">
        <v>2.9909300000000001</v>
      </c>
      <c r="R81">
        <v>49.535466666666665</v>
      </c>
      <c r="S81">
        <v>49.535466666666665</v>
      </c>
      <c r="T81">
        <v>2400</v>
      </c>
      <c r="U81" t="str">
        <v>36991-PESSARRODONA AVIRAM SL</v>
      </c>
    </row>
    <row r="82" spans="1:21" x14ac:dyDescent="0.25">
      <c r="A82" t="str">
        <v>2025-10-11</v>
      </c>
      <c r="B82" t="str">
        <v>36946-TRIBO MUÑOZ CRISTINA - 2-L:040-N:1-A:A13-POLLO AMARILLO MACHO</v>
      </c>
      <c r="C82" t="str">
        <v>POLLO AMARILLO MACHO</v>
      </c>
      <c r="D82">
        <v>13266</v>
      </c>
      <c r="E82" t="str">
        <v>Broiler Amarillo</v>
      </c>
      <c r="F82">
        <v>19</v>
      </c>
      <c r="G82">
        <v>13500</v>
      </c>
      <c r="H82" t="str">
        <v>Abierto</v>
      </c>
      <c r="I82">
        <v>0.749</v>
      </c>
      <c r="J82">
        <v>0.80528</v>
      </c>
      <c r="K82">
        <v>0.71899999999999997</v>
      </c>
      <c r="L82">
        <v>0</v>
      </c>
      <c r="M82">
        <v>232</v>
      </c>
      <c r="N82">
        <v>129</v>
      </c>
      <c r="O82">
        <v>26637</v>
      </c>
      <c r="P82">
        <v>19041.884999999998</v>
      </c>
      <c r="Q82">
        <v>3.1337600000000001</v>
      </c>
      <c r="R82">
        <v>31.736474999999999</v>
      </c>
      <c r="S82">
        <v>31.736474999999999</v>
      </c>
      <c r="T82">
        <v>600</v>
      </c>
      <c r="U82" t="str">
        <v>36946-TRIBO MUÑOZ CRISTINA - 2</v>
      </c>
    </row>
    <row r="83" spans="1:21" x14ac:dyDescent="0.25">
      <c r="A83" t="str">
        <v>2025-10-11</v>
      </c>
      <c r="B83" t="str">
        <v>36946-TRIBO MUÑOZ CRISTINA - 2-L:040-N:3-A:A13-POLLO AMARILLO MACHO</v>
      </c>
      <c r="C83" t="str">
        <v>POLLO AMARILLO MACHO</v>
      </c>
      <c r="D83">
        <v>20798</v>
      </c>
      <c r="E83" t="str">
        <v>Broiler Amarillo</v>
      </c>
      <c r="F83">
        <v>19</v>
      </c>
      <c r="G83">
        <v>21000</v>
      </c>
      <c r="H83" t="str">
        <v>Abierto</v>
      </c>
      <c r="I83">
        <v>0.73899999999999999</v>
      </c>
      <c r="J83">
        <v>0.77651999999999999</v>
      </c>
      <c r="K83">
        <v>0.71899999999999997</v>
      </c>
      <c r="L83">
        <v>0</v>
      </c>
      <c r="M83">
        <v>200</v>
      </c>
      <c r="N83">
        <v>194</v>
      </c>
      <c r="O83">
        <v>41619</v>
      </c>
      <c r="P83">
        <v>29819.495999999999</v>
      </c>
      <c r="Q83">
        <v>3.20146</v>
      </c>
      <c r="R83">
        <v>33.132773333333333</v>
      </c>
      <c r="S83">
        <v>33.132773333333333</v>
      </c>
      <c r="T83">
        <v>900</v>
      </c>
      <c r="U83" t="str">
        <v>36946-TRIBO MUÑOZ CRISTINA - 2</v>
      </c>
    </row>
    <row r="84" spans="1:21" x14ac:dyDescent="0.25">
      <c r="A84" t="str">
        <v>2025-10-11</v>
      </c>
      <c r="B84" t="str">
        <v>36946-TRIBO MUÑOZ CRISTINA - 2-L:040-N:2-A:A13-POLLO AMARILLO MACHO</v>
      </c>
      <c r="C84" t="str">
        <v>POLLO AMARILLO MACHO</v>
      </c>
      <c r="D84">
        <v>13371</v>
      </c>
      <c r="E84" t="str">
        <v>Broiler Amarillo</v>
      </c>
      <c r="F84">
        <v>19</v>
      </c>
      <c r="G84">
        <v>13500</v>
      </c>
      <c r="H84" t="str">
        <v>Abierto</v>
      </c>
      <c r="I84">
        <v>0.71899999999999997</v>
      </c>
      <c r="J84">
        <v>0.71899999999999997</v>
      </c>
      <c r="K84">
        <v>0.71899999999999997</v>
      </c>
      <c r="L84">
        <v>0</v>
      </c>
      <c r="M84">
        <v>129</v>
      </c>
      <c r="N84">
        <v>129</v>
      </c>
      <c r="O84">
        <v>26651</v>
      </c>
      <c r="P84">
        <v>18962.868999999999</v>
      </c>
      <c r="Q84">
        <v>3.1354099999999998</v>
      </c>
      <c r="R84">
        <v>31.604781666666668</v>
      </c>
      <c r="S84">
        <v>31.604781666666668</v>
      </c>
      <c r="T84">
        <v>600</v>
      </c>
      <c r="U84" t="str">
        <v>36946-TRIBO MUÑOZ CRISTINA - 2</v>
      </c>
    </row>
    <row r="85" spans="1:21" x14ac:dyDescent="0.25">
      <c r="A85" t="str">
        <v>2025-10-11</v>
      </c>
      <c r="B85" t="str">
        <v>36946-TRIBO MUÑOZ CRISTINA - 2-L:040-N:2-A:A14-POLLO AMARILLO HEMBRAS</v>
      </c>
      <c r="C85" t="str">
        <v>POLLO AMARILLO HEMBRAS</v>
      </c>
      <c r="D85">
        <v>13280</v>
      </c>
      <c r="E85" t="str">
        <v>Broiler Amarillo</v>
      </c>
      <c r="F85">
        <v>19</v>
      </c>
      <c r="G85">
        <v>13500</v>
      </c>
      <c r="H85" t="str">
        <v>Abierto</v>
      </c>
      <c r="I85">
        <v>0.70399999999999996</v>
      </c>
      <c r="J85">
        <v>0.74439999999999995</v>
      </c>
      <c r="K85">
        <v>0.68100000000000005</v>
      </c>
      <c r="L85">
        <v>0</v>
      </c>
      <c r="M85">
        <v>217</v>
      </c>
      <c r="N85">
        <v>129</v>
      </c>
      <c r="O85">
        <v>26651</v>
      </c>
      <c r="P85">
        <v>18962.868999999999</v>
      </c>
      <c r="Q85">
        <v>3.1354099999999998</v>
      </c>
      <c r="R85">
        <v>31.604781666666668</v>
      </c>
      <c r="S85">
        <v>31.604781666666668</v>
      </c>
      <c r="T85">
        <v>600</v>
      </c>
      <c r="U85" t="str">
        <v>36946-TRIBO MUÑOZ CRISTINA - 2</v>
      </c>
    </row>
    <row r="86" spans="1:21" x14ac:dyDescent="0.25">
      <c r="A86" t="str">
        <v>2025-10-11</v>
      </c>
      <c r="B86" t="str">
        <v>36946-TRIBO MUÑOZ CRISTINA - 2-L:040-N:3-A:A14-POLLO AMARILLO HEMBRAS</v>
      </c>
      <c r="C86" t="str">
        <v>POLLO AMARILLO HEMBRAS</v>
      </c>
      <c r="D86">
        <v>20821</v>
      </c>
      <c r="E86" t="str">
        <v>Broiler Amarillo</v>
      </c>
      <c r="F86">
        <v>19</v>
      </c>
      <c r="G86">
        <v>21000</v>
      </c>
      <c r="H86" t="str">
        <v>Abierto</v>
      </c>
      <c r="I86">
        <v>0.69399999999999995</v>
      </c>
      <c r="J86">
        <v>0.71682000000000001</v>
      </c>
      <c r="K86">
        <v>0.68100000000000005</v>
      </c>
      <c r="L86">
        <v>0</v>
      </c>
      <c r="M86">
        <v>177</v>
      </c>
      <c r="N86">
        <v>194</v>
      </c>
      <c r="O86">
        <v>41619</v>
      </c>
      <c r="P86">
        <v>29819.495999999999</v>
      </c>
      <c r="Q86">
        <v>3.20146</v>
      </c>
      <c r="R86">
        <v>33.132773333333333</v>
      </c>
      <c r="S86">
        <v>33.132773333333333</v>
      </c>
      <c r="T86">
        <v>900</v>
      </c>
      <c r="U86" t="str">
        <v>36946-TRIBO MUÑOZ CRISTINA - 2</v>
      </c>
    </row>
    <row r="87" spans="1:21" x14ac:dyDescent="0.25">
      <c r="A87" t="str">
        <v>2025-10-11</v>
      </c>
      <c r="B87" t="str">
        <v>36946-TRIBO MUÑOZ CRISTINA - 2-L:040-N:1-A:A14-POLLO AMARILLO HEMBRAS</v>
      </c>
      <c r="C87" t="str">
        <v>POLLO AMARILLO HEMBRAS</v>
      </c>
      <c r="D87">
        <v>13371</v>
      </c>
      <c r="E87" t="str">
        <v>Broiler Amarillo</v>
      </c>
      <c r="F87">
        <v>19</v>
      </c>
      <c r="G87">
        <v>13500</v>
      </c>
      <c r="H87" t="str">
        <v>Abierto</v>
      </c>
      <c r="I87">
        <v>0.68100000000000005</v>
      </c>
      <c r="J87">
        <v>0.68100000000000005</v>
      </c>
      <c r="K87">
        <v>0.68100000000000005</v>
      </c>
      <c r="L87">
        <v>0</v>
      </c>
      <c r="M87">
        <v>129</v>
      </c>
      <c r="N87">
        <v>129</v>
      </c>
      <c r="O87">
        <v>26637</v>
      </c>
      <c r="P87">
        <v>19041.884999999998</v>
      </c>
      <c r="Q87">
        <v>3.1337600000000001</v>
      </c>
      <c r="R87">
        <v>31.736474999999999</v>
      </c>
      <c r="S87">
        <v>31.736474999999999</v>
      </c>
      <c r="T87">
        <v>600</v>
      </c>
      <c r="U87" t="str">
        <v>36946-TRIBO MUÑOZ CRISTINA - 2</v>
      </c>
    </row>
    <row r="88" spans="1:21" x14ac:dyDescent="0.25">
      <c r="A88" t="str">
        <v>2025-10-11</v>
      </c>
      <c r="B88" t="str">
        <v>36863-GABANDE LOPEZ EVA - 2 (VERNET)-L:075-N:2-A:A13-POLLO AMARILLO MACHO</v>
      </c>
      <c r="C88" t="str">
        <v>POLLO AMARILLO MACHO</v>
      </c>
      <c r="D88">
        <v>17503</v>
      </c>
      <c r="E88" t="str">
        <v>Broiler Amarillo</v>
      </c>
      <c r="F88">
        <v>16</v>
      </c>
      <c r="G88">
        <v>17700</v>
      </c>
      <c r="H88" t="str">
        <v>Abierto</v>
      </c>
      <c r="I88">
        <v>0.58199999999999996</v>
      </c>
      <c r="J88">
        <v>0.63839999999999997</v>
      </c>
      <c r="K88">
        <v>0.53200000000000003</v>
      </c>
      <c r="L88">
        <v>0</v>
      </c>
      <c r="M88">
        <v>194</v>
      </c>
      <c r="N88">
        <v>157</v>
      </c>
      <c r="O88">
        <v>35046</v>
      </c>
      <c r="P88">
        <v>19151.219000000001</v>
      </c>
      <c r="Q88">
        <v>2.98264</v>
      </c>
      <c r="R88">
        <v>24.552844871794871</v>
      </c>
      <c r="S88">
        <v>24.552844871794871</v>
      </c>
      <c r="T88">
        <v>780</v>
      </c>
      <c r="U88" t="str">
        <v>36863-GABANDE LOPEZ EVA - 2 (VERNET)</v>
      </c>
    </row>
    <row r="89" spans="1:21" x14ac:dyDescent="0.25">
      <c r="A89" t="str">
        <v>2025-10-11</v>
      </c>
      <c r="B89" t="str">
        <v>36308-CAL CASO SCP-L:147-N:2-A:A13-POLLO AMARILLO MACHO</v>
      </c>
      <c r="C89" t="str">
        <v>POLLO AMARILLO MACHO</v>
      </c>
      <c r="D89">
        <v>17506</v>
      </c>
      <c r="E89" t="str">
        <v>Broiler Amarillo</v>
      </c>
      <c r="F89">
        <v>16</v>
      </c>
      <c r="G89">
        <v>17700</v>
      </c>
      <c r="H89" t="str">
        <v>Abierto</v>
      </c>
      <c r="I89">
        <v>0.58199999999999996</v>
      </c>
      <c r="J89">
        <v>0.63839999999999997</v>
      </c>
      <c r="K89">
        <v>0.53200000000000003</v>
      </c>
      <c r="L89">
        <v>0</v>
      </c>
      <c r="M89">
        <v>191</v>
      </c>
      <c r="N89">
        <v>157</v>
      </c>
      <c r="O89">
        <v>35049</v>
      </c>
      <c r="P89">
        <v>19152.965</v>
      </c>
      <c r="Q89">
        <v>2.8039200000000002</v>
      </c>
      <c r="R89">
        <v>25.847456140350879</v>
      </c>
      <c r="S89">
        <v>25.847456140350879</v>
      </c>
      <c r="T89">
        <v>741</v>
      </c>
      <c r="U89" t="str">
        <v>36308-CAL CASO SCP</v>
      </c>
    </row>
    <row r="90" spans="1:21" x14ac:dyDescent="0.25">
      <c r="A90" t="str">
        <v>2025-10-11</v>
      </c>
      <c r="B90" t="str">
        <v>36308-CAL CASO SCP-L:147-N:1-A:A13-POLLO AMARILLO MACHO</v>
      </c>
      <c r="C90" t="str">
        <v>POLLO AMARILLO MACHO</v>
      </c>
      <c r="D90">
        <v>17517</v>
      </c>
      <c r="E90" t="str">
        <v>Broiler Amarillo</v>
      </c>
      <c r="F90">
        <v>16</v>
      </c>
      <c r="G90">
        <v>17700</v>
      </c>
      <c r="H90" t="str">
        <v>Abierto</v>
      </c>
      <c r="I90">
        <v>0.58199999999999996</v>
      </c>
      <c r="J90">
        <v>0.63839999999999997</v>
      </c>
      <c r="K90">
        <v>0.53200000000000003</v>
      </c>
      <c r="L90">
        <v>0</v>
      </c>
      <c r="M90">
        <v>180</v>
      </c>
      <c r="N90">
        <v>43</v>
      </c>
      <c r="O90">
        <v>34782</v>
      </c>
      <c r="P90">
        <v>19017.309000000001</v>
      </c>
      <c r="Q90">
        <v>2.7825600000000001</v>
      </c>
      <c r="R90">
        <v>25.664384615384616</v>
      </c>
      <c r="S90">
        <v>25.664384615384616</v>
      </c>
      <c r="T90">
        <v>741</v>
      </c>
      <c r="U90" t="str">
        <v>36308-CAL CASO SCP</v>
      </c>
    </row>
    <row r="91" spans="1:21" x14ac:dyDescent="0.25">
      <c r="A91" t="str">
        <v>2025-10-11</v>
      </c>
      <c r="B91" t="str">
        <v>36811-FORCADES PEREZ JOSEP MARIA-L:076-N:5-A:A13-POLLO AMARILLO MACHO</v>
      </c>
      <c r="C91" t="str">
        <v>POLLO AMARILLO MACHO</v>
      </c>
      <c r="D91">
        <v>38694</v>
      </c>
      <c r="E91" t="str">
        <v>Broiler Amarillo</v>
      </c>
      <c r="F91">
        <v>16</v>
      </c>
      <c r="G91">
        <v>39300</v>
      </c>
      <c r="H91" t="str">
        <v>Abierto</v>
      </c>
      <c r="I91">
        <v>0.57199999999999995</v>
      </c>
      <c r="J91">
        <v>0.61712</v>
      </c>
      <c r="K91">
        <v>0.53200000000000003</v>
      </c>
      <c r="L91">
        <v>0</v>
      </c>
      <c r="M91">
        <v>594</v>
      </c>
      <c r="N91">
        <v>354</v>
      </c>
      <c r="O91">
        <v>77940</v>
      </c>
      <c r="P91">
        <v>42187.673999999999</v>
      </c>
      <c r="Q91">
        <v>3.1175999999999999</v>
      </c>
      <c r="R91">
        <v>28.975050824175824</v>
      </c>
      <c r="S91">
        <v>28.975050824175824</v>
      </c>
      <c r="T91">
        <v>1456</v>
      </c>
      <c r="U91" t="str">
        <v>36811-FORCADES PEREZ JOSEP MARIA</v>
      </c>
    </row>
    <row r="92" spans="1:21" x14ac:dyDescent="0.25">
      <c r="A92" t="str">
        <v>2025-10-11</v>
      </c>
      <c r="B92" t="str">
        <v>36811-FORCADES PEREZ JOSEP MARIA-L:076-N:1-A:A13-POLLO AMARILLO MACHO</v>
      </c>
      <c r="C92" t="str">
        <v>POLLO AMARILLO MACHO</v>
      </c>
      <c r="D92">
        <v>22934</v>
      </c>
      <c r="E92" t="str">
        <v>Broiler Amarillo</v>
      </c>
      <c r="F92">
        <v>16</v>
      </c>
      <c r="G92">
        <v>23400</v>
      </c>
      <c r="H92" t="str">
        <v>Abierto</v>
      </c>
      <c r="I92">
        <v>0.56699999999999995</v>
      </c>
      <c r="J92">
        <v>0.60648000000000002</v>
      </c>
      <c r="K92">
        <v>0.53200000000000003</v>
      </c>
      <c r="L92">
        <v>0</v>
      </c>
      <c r="M92">
        <v>457</v>
      </c>
      <c r="N92">
        <v>212</v>
      </c>
      <c r="O92">
        <v>46422</v>
      </c>
      <c r="P92">
        <v>25005.946</v>
      </c>
      <c r="Q92">
        <v>3.0948000000000002</v>
      </c>
      <c r="R92">
        <v>29.246720467836258</v>
      </c>
      <c r="S92">
        <v>29.246720467836258</v>
      </c>
      <c r="T92">
        <v>855</v>
      </c>
      <c r="U92" t="str">
        <v>36811-FORCADES PEREZ JOSEP MARIA</v>
      </c>
    </row>
    <row r="93" spans="1:21" x14ac:dyDescent="0.25">
      <c r="A93" t="str">
        <v>2025-10-11</v>
      </c>
      <c r="B93" t="str">
        <v>36034-ALCOLEA MARTI, EFREN-L:028-N:1-A:A15-POLLO AMARILLO MIXTO</v>
      </c>
      <c r="C93" t="str">
        <v>POLLO AMARILLO MIXTO</v>
      </c>
      <c r="D93">
        <v>116731</v>
      </c>
      <c r="E93" t="str">
        <v>Broiler Amarillo</v>
      </c>
      <c r="F93">
        <v>15</v>
      </c>
      <c r="G93">
        <v>116910</v>
      </c>
      <c r="H93" t="str">
        <v>Abierto</v>
      </c>
      <c r="I93">
        <v>0.56000000000000005</v>
      </c>
      <c r="J93">
        <v>0.66732999999999998</v>
      </c>
      <c r="K93">
        <v>0.46800000000000003</v>
      </c>
      <c r="L93">
        <v>0</v>
      </c>
      <c r="M93">
        <v>174</v>
      </c>
      <c r="N93">
        <v>824</v>
      </c>
      <c r="O93">
        <v>116731</v>
      </c>
      <c r="P93">
        <v>65369.36</v>
      </c>
      <c r="Q93">
        <v>2.9182800000000002</v>
      </c>
      <c r="R93">
        <v>32.441369727047146</v>
      </c>
      <c r="S93">
        <v>32.441369727047146</v>
      </c>
      <c r="T93">
        <v>2015</v>
      </c>
      <c r="U93" t="str">
        <v>36034-ALCOLEA MARTI, EFREN</v>
      </c>
    </row>
    <row r="94" spans="1:21" x14ac:dyDescent="0.25">
      <c r="A94" t="str">
        <v>2025-10-11</v>
      </c>
      <c r="B94" t="str">
        <v>36811-FORCADES PEREZ JOSEP MARIA-L:076-N:3-A:A15-POLLO AMARILLO MIXTO</v>
      </c>
      <c r="C94" t="str">
        <v>POLLO AMARILLO MIXTO</v>
      </c>
      <c r="D94">
        <v>25474</v>
      </c>
      <c r="E94" t="str">
        <v>Broiler Amarillo</v>
      </c>
      <c r="F94">
        <v>16</v>
      </c>
      <c r="G94">
        <v>25650</v>
      </c>
      <c r="H94" t="str">
        <v>Abierto</v>
      </c>
      <c r="I94">
        <v>0.55600000000000005</v>
      </c>
      <c r="J94">
        <v>0.59355000000000002</v>
      </c>
      <c r="K94">
        <v>0.52200000000000002</v>
      </c>
      <c r="L94">
        <v>0</v>
      </c>
      <c r="M94">
        <v>174</v>
      </c>
      <c r="N94">
        <v>231</v>
      </c>
      <c r="O94">
        <v>25474</v>
      </c>
      <c r="P94">
        <v>14163.544</v>
      </c>
      <c r="Q94">
        <v>2.8304399999999998</v>
      </c>
      <c r="R94">
        <v>31.06040350877193</v>
      </c>
      <c r="S94">
        <v>31.06040350877193</v>
      </c>
      <c r="T94">
        <v>456</v>
      </c>
      <c r="U94" t="str">
        <v>36811-FORCADES PEREZ JOSEP MARIA</v>
      </c>
    </row>
    <row r="95" spans="1:21" x14ac:dyDescent="0.25">
      <c r="A95" t="str">
        <v>2025-10-11</v>
      </c>
      <c r="B95" t="str">
        <v>36811-FORCADES PEREZ JOSEP MARIA-L:076-N:4-A:A15-POLLO AMARILLO MIXTO</v>
      </c>
      <c r="C95" t="str">
        <v>POLLO AMARILLO MIXTO</v>
      </c>
      <c r="D95">
        <v>25470</v>
      </c>
      <c r="E95" t="str">
        <v>Broiler Amarillo</v>
      </c>
      <c r="F95">
        <v>16</v>
      </c>
      <c r="G95">
        <v>25650</v>
      </c>
      <c r="H95" t="str">
        <v>Abierto</v>
      </c>
      <c r="I95">
        <v>0.55600000000000005</v>
      </c>
      <c r="J95">
        <v>0.59355000000000002</v>
      </c>
      <c r="K95">
        <v>0.52200000000000002</v>
      </c>
      <c r="L95">
        <v>0</v>
      </c>
      <c r="M95">
        <v>174</v>
      </c>
      <c r="N95">
        <v>231</v>
      </c>
      <c r="O95">
        <v>25470</v>
      </c>
      <c r="P95">
        <v>14161.32</v>
      </c>
      <c r="Q95">
        <v>2.83</v>
      </c>
      <c r="R95">
        <v>31.055526315789475</v>
      </c>
      <c r="S95">
        <v>31.055526315789475</v>
      </c>
      <c r="T95">
        <v>456</v>
      </c>
      <c r="U95" t="str">
        <v>36811-FORCADES PEREZ JOSEP MARIA</v>
      </c>
    </row>
    <row r="96" spans="1:21" x14ac:dyDescent="0.25">
      <c r="A96" t="str">
        <v>2025-10-11</v>
      </c>
      <c r="B96" t="str">
        <v>36811-FORCADES PEREZ JOSEP MARIA-L:076-N:2-A:A14-POLLO AMARILLO HEMBRAS</v>
      </c>
      <c r="C96" t="str">
        <v>POLLO AMARILLO HEMBRAS</v>
      </c>
      <c r="D96">
        <v>23028</v>
      </c>
      <c r="E96" t="str">
        <v>Broiler Amarillo</v>
      </c>
      <c r="F96">
        <v>16</v>
      </c>
      <c r="G96">
        <v>23400</v>
      </c>
      <c r="H96" t="str">
        <v>Abierto</v>
      </c>
      <c r="I96">
        <v>0.54</v>
      </c>
      <c r="J96">
        <v>0.57099999999999995</v>
      </c>
      <c r="K96">
        <v>0.51100000000000001</v>
      </c>
      <c r="L96">
        <v>0</v>
      </c>
      <c r="M96">
        <v>363</v>
      </c>
      <c r="N96">
        <v>123</v>
      </c>
      <c r="O96">
        <v>46332</v>
      </c>
      <c r="P96">
        <v>24832.848000000002</v>
      </c>
      <c r="Q96">
        <v>3.0888</v>
      </c>
      <c r="R96">
        <v>29.044266666666665</v>
      </c>
      <c r="S96">
        <v>29.044266666666665</v>
      </c>
      <c r="T96">
        <v>855</v>
      </c>
      <c r="U96" t="str">
        <v>36811-FORCADES PEREZ JOSEP MARIA</v>
      </c>
    </row>
    <row r="97" spans="1:21" x14ac:dyDescent="0.25">
      <c r="A97" t="str">
        <v>2025-10-11</v>
      </c>
      <c r="B97" t="str">
        <v>36034-ALCOLEA MARTI, EFREN-L:028-N:2-A:A13-POLLO AMARILLO MACHO</v>
      </c>
      <c r="C97" t="str">
        <v>POLLO AMARILLO MACHO</v>
      </c>
      <c r="D97">
        <v>56175</v>
      </c>
      <c r="E97" t="str">
        <v>Broiler Amarillo</v>
      </c>
      <c r="F97">
        <v>15</v>
      </c>
      <c r="G97">
        <v>56400</v>
      </c>
      <c r="H97" t="str">
        <v>Abierto</v>
      </c>
      <c r="I97">
        <v>0.53500000000000003</v>
      </c>
      <c r="J97">
        <v>0.58765999999999996</v>
      </c>
      <c r="K97">
        <v>0.47699999999999998</v>
      </c>
      <c r="L97">
        <v>0</v>
      </c>
      <c r="M97">
        <v>220</v>
      </c>
      <c r="N97">
        <v>335</v>
      </c>
      <c r="O97">
        <v>112695</v>
      </c>
      <c r="P97">
        <v>59500.544999999998</v>
      </c>
      <c r="Q97">
        <v>2.81738</v>
      </c>
      <c r="R97">
        <v>29.528806451612905</v>
      </c>
      <c r="S97">
        <v>29.528806451612905</v>
      </c>
      <c r="T97">
        <v>2015</v>
      </c>
      <c r="U97" t="str">
        <v>36034-ALCOLEA MARTI, EFREN</v>
      </c>
    </row>
    <row r="98" spans="1:21" x14ac:dyDescent="0.25">
      <c r="A98" t="str">
        <v>2025-10-11</v>
      </c>
      <c r="B98" t="str">
        <v>36811-FORCADES PEREZ JOSEP MARIA-L:076-N:2-A:A13-POLLO AMARILLO MACHO</v>
      </c>
      <c r="C98" t="str">
        <v>POLLO AMARILLO MACHO</v>
      </c>
      <c r="D98">
        <v>23304</v>
      </c>
      <c r="E98" t="str">
        <v>Broiler Amarillo</v>
      </c>
      <c r="F98">
        <v>16</v>
      </c>
      <c r="G98">
        <v>23400</v>
      </c>
      <c r="H98" t="str">
        <v>Abierto</v>
      </c>
      <c r="I98">
        <v>0.53200000000000003</v>
      </c>
      <c r="J98">
        <v>0.53200000000000003</v>
      </c>
      <c r="K98">
        <v>0.53200000000000003</v>
      </c>
      <c r="L98">
        <v>0</v>
      </c>
      <c r="M98">
        <v>96</v>
      </c>
      <c r="N98">
        <v>96</v>
      </c>
      <c r="O98">
        <v>46332</v>
      </c>
      <c r="P98">
        <v>24832.848000000002</v>
      </c>
      <c r="Q98">
        <v>3.0888</v>
      </c>
      <c r="R98">
        <v>29.044266666666665</v>
      </c>
      <c r="S98">
        <v>29.044266666666665</v>
      </c>
      <c r="T98">
        <v>855</v>
      </c>
      <c r="U98" t="str">
        <v>36811-FORCADES PEREZ JOSEP MARIA</v>
      </c>
    </row>
    <row r="99" spans="1:21" x14ac:dyDescent="0.25">
      <c r="A99" t="str">
        <v>2025-10-11</v>
      </c>
      <c r="B99" t="str">
        <v>36731-BLASI INGLA JAUME-L:121-N:1-A:A13-POLLO AMARILLO MACHO</v>
      </c>
      <c r="C99" t="str">
        <v>POLLO AMARILLO MACHO</v>
      </c>
      <c r="D99">
        <v>34552</v>
      </c>
      <c r="E99" t="str">
        <v>Broiler Amarillo</v>
      </c>
      <c r="F99">
        <v>15</v>
      </c>
      <c r="G99">
        <v>35100</v>
      </c>
      <c r="H99" t="str">
        <v>Abierto</v>
      </c>
      <c r="I99">
        <v>0.52700000000000002</v>
      </c>
      <c r="J99">
        <v>0.57240000000000002</v>
      </c>
      <c r="K99">
        <v>0.47699999999999998</v>
      </c>
      <c r="L99">
        <v>0</v>
      </c>
      <c r="M99">
        <v>545</v>
      </c>
      <c r="N99">
        <v>308</v>
      </c>
      <c r="O99">
        <v>69936</v>
      </c>
      <c r="P99">
        <v>34485.544000000002</v>
      </c>
      <c r="Q99">
        <v>2.7974399999999999</v>
      </c>
      <c r="R99">
        <v>24.149540616246497</v>
      </c>
      <c r="S99">
        <v>24.149540616246497</v>
      </c>
      <c r="T99">
        <v>1428</v>
      </c>
      <c r="U99" t="str">
        <v>36731-BLASI INGLA JAUME</v>
      </c>
    </row>
    <row r="100" spans="1:21" x14ac:dyDescent="0.25">
      <c r="A100" t="str">
        <v>2025-10-11</v>
      </c>
      <c r="B100" t="str">
        <v>36789-GABANDE LOPEZ EVA-1 (ALENTORN)-L:085-N:1-A:A13-POLLO AMARILLO MACHO</v>
      </c>
      <c r="C100" t="str">
        <v>POLLO AMARILLO MACHO</v>
      </c>
      <c r="D100">
        <v>12688</v>
      </c>
      <c r="E100" t="str">
        <v>Broiler Amarillo</v>
      </c>
      <c r="F100">
        <v>15</v>
      </c>
      <c r="G100">
        <v>12900</v>
      </c>
      <c r="H100" t="str">
        <v>Abierto</v>
      </c>
      <c r="I100">
        <v>0.52700000000000002</v>
      </c>
      <c r="J100">
        <v>0.57240000000000002</v>
      </c>
      <c r="K100">
        <v>0.47699999999999998</v>
      </c>
      <c r="L100">
        <v>0</v>
      </c>
      <c r="M100">
        <v>209</v>
      </c>
      <c r="N100">
        <v>118</v>
      </c>
      <c r="O100">
        <v>25770</v>
      </c>
      <c r="P100">
        <v>12704.296</v>
      </c>
      <c r="Q100">
        <v>3.2212499999999999</v>
      </c>
      <c r="R100">
        <v>23.880255639097744</v>
      </c>
      <c r="S100">
        <v>23.880255639097744</v>
      </c>
      <c r="T100">
        <v>532</v>
      </c>
      <c r="U100" t="str">
        <v>36789-GABANDE LOPEZ EVA-1 (ALENTORN)</v>
      </c>
    </row>
    <row r="101" spans="1:21" x14ac:dyDescent="0.25">
      <c r="A101" t="str">
        <v>2025-10-11</v>
      </c>
      <c r="B101" t="str">
        <v>36034-ALCOLEA MARTI, EFREN-L:028-N:2-A:A14-POLLO AMARILLO HEMBRAS</v>
      </c>
      <c r="C101" t="str">
        <v>POLLO AMARILLO HEMBRAS</v>
      </c>
      <c r="D101">
        <v>56520</v>
      </c>
      <c r="E101" t="str">
        <v>Broiler Amarillo</v>
      </c>
      <c r="F101">
        <v>15</v>
      </c>
      <c r="G101">
        <v>56700</v>
      </c>
      <c r="H101" t="str">
        <v>Abierto</v>
      </c>
      <c r="I101">
        <v>0.52100000000000002</v>
      </c>
      <c r="J101">
        <v>0.57360999999999995</v>
      </c>
      <c r="K101">
        <v>0.46</v>
      </c>
      <c r="L101">
        <v>0</v>
      </c>
      <c r="M101">
        <v>175</v>
      </c>
      <c r="N101">
        <v>186</v>
      </c>
      <c r="O101">
        <v>112695</v>
      </c>
      <c r="P101">
        <v>59500.544999999998</v>
      </c>
      <c r="Q101">
        <v>2.81738</v>
      </c>
      <c r="R101">
        <v>29.528806451612905</v>
      </c>
      <c r="S101">
        <v>29.528806451612905</v>
      </c>
      <c r="T101">
        <v>2015</v>
      </c>
      <c r="U101" t="str">
        <v>36034-ALCOLEA MARTI, EFREN</v>
      </c>
    </row>
    <row r="102" spans="1:21" x14ac:dyDescent="0.25">
      <c r="A102" t="str">
        <v>2025-10-11</v>
      </c>
      <c r="B102" t="str">
        <v>36978-CORAL SANTACANA SLU-L:036-N:1-A:A13-POLLO AMARILLO MACHO</v>
      </c>
      <c r="C102" t="str">
        <v>POLLO AMARILLO MACHO</v>
      </c>
      <c r="D102">
        <v>19687</v>
      </c>
      <c r="E102" t="str">
        <v>Broiler Amarillo</v>
      </c>
      <c r="F102">
        <v>15</v>
      </c>
      <c r="G102">
        <v>19800</v>
      </c>
      <c r="H102" t="str">
        <v>Abierto</v>
      </c>
      <c r="I102">
        <v>0.52</v>
      </c>
      <c r="J102">
        <v>0.57154000000000005</v>
      </c>
      <c r="K102">
        <v>0.47699999999999998</v>
      </c>
      <c r="L102">
        <v>0</v>
      </c>
      <c r="M102">
        <v>113</v>
      </c>
      <c r="N102">
        <v>174</v>
      </c>
      <c r="O102">
        <v>39974</v>
      </c>
      <c r="P102">
        <v>20279.305</v>
      </c>
      <c r="Q102">
        <v>3.1902599999999999</v>
      </c>
      <c r="R102">
        <v>28.970435714285713</v>
      </c>
      <c r="S102">
        <v>28.970435714285713</v>
      </c>
      <c r="T102">
        <v>700</v>
      </c>
      <c r="U102" t="str">
        <v>36978-CORAL SANTACANA SLU</v>
      </c>
    </row>
    <row r="103" spans="1:21" x14ac:dyDescent="0.25">
      <c r="A103" t="str">
        <v>2025-10-11</v>
      </c>
      <c r="B103" t="str">
        <v>36789-GABANDE LOPEZ EVA-1 (ALENTORN)-L:085-N:2-A:A13-POLLO AMARILLO MACHO</v>
      </c>
      <c r="C103" t="str">
        <v>POLLO AMARILLO MACHO</v>
      </c>
      <c r="D103">
        <v>12700</v>
      </c>
      <c r="E103" t="str">
        <v>Broiler Amarillo</v>
      </c>
      <c r="F103">
        <v>15</v>
      </c>
      <c r="G103">
        <v>12900</v>
      </c>
      <c r="H103" t="str">
        <v>Abierto</v>
      </c>
      <c r="I103">
        <v>0.51700000000000002</v>
      </c>
      <c r="J103">
        <v>0.55332000000000003</v>
      </c>
      <c r="K103">
        <v>0.47699999999999998</v>
      </c>
      <c r="L103">
        <v>0</v>
      </c>
      <c r="M103">
        <v>197</v>
      </c>
      <c r="N103">
        <v>31</v>
      </c>
      <c r="O103">
        <v>26128</v>
      </c>
      <c r="P103">
        <v>12742.78</v>
      </c>
      <c r="Q103">
        <v>3.266</v>
      </c>
      <c r="R103">
        <v>23.952593984962405</v>
      </c>
      <c r="S103">
        <v>23.952593984962405</v>
      </c>
      <c r="T103">
        <v>532</v>
      </c>
      <c r="U103" t="str">
        <v>36789-GABANDE LOPEZ EVA-1 (ALENTORN)</v>
      </c>
    </row>
    <row r="104" spans="1:21" x14ac:dyDescent="0.25">
      <c r="A104" t="str">
        <v>2025-10-11</v>
      </c>
      <c r="B104" t="str">
        <v>36308-CAL CASO SCP-L:147-N:2-A:A14-POLLO AMARILLO HEMBRAS</v>
      </c>
      <c r="C104" t="str">
        <v>POLLO AMARILLO HEMBRAS</v>
      </c>
      <c r="D104">
        <v>17543</v>
      </c>
      <c r="E104" t="str">
        <v>Broiler Amarillo</v>
      </c>
      <c r="F104">
        <v>16</v>
      </c>
      <c r="G104">
        <v>17700</v>
      </c>
      <c r="H104" t="str">
        <v>Abierto</v>
      </c>
      <c r="I104">
        <v>0.51100000000000001</v>
      </c>
      <c r="J104">
        <v>0.51100000000000001</v>
      </c>
      <c r="K104">
        <v>0.51100000000000001</v>
      </c>
      <c r="L104">
        <v>0</v>
      </c>
      <c r="M104">
        <v>157</v>
      </c>
      <c r="N104">
        <v>157</v>
      </c>
      <c r="O104">
        <v>35049</v>
      </c>
      <c r="P104">
        <v>19152.965</v>
      </c>
      <c r="Q104">
        <v>2.8039200000000002</v>
      </c>
      <c r="R104">
        <v>25.847456140350879</v>
      </c>
      <c r="S104">
        <v>25.847456140350879</v>
      </c>
      <c r="T104">
        <v>741</v>
      </c>
      <c r="U104" t="str">
        <v>36308-CAL CASO SCP</v>
      </c>
    </row>
    <row r="105" spans="1:21" x14ac:dyDescent="0.25">
      <c r="A105" t="str">
        <v>2025-10-11</v>
      </c>
      <c r="B105" t="str">
        <v>36863-GABANDE LOPEZ EVA - 2 (VERNET)-L:075-N:2-A:A14-POLLO AMARILLO HEMBRAS</v>
      </c>
      <c r="C105" t="str">
        <v>POLLO AMARILLO HEMBRAS</v>
      </c>
      <c r="D105">
        <v>17543</v>
      </c>
      <c r="E105" t="str">
        <v>Broiler Amarillo</v>
      </c>
      <c r="F105">
        <v>16</v>
      </c>
      <c r="G105">
        <v>17700</v>
      </c>
      <c r="H105" t="str">
        <v>Abierto</v>
      </c>
      <c r="I105">
        <v>0.51100000000000001</v>
      </c>
      <c r="J105">
        <v>0.51100000000000001</v>
      </c>
      <c r="K105">
        <v>0.51100000000000001</v>
      </c>
      <c r="L105">
        <v>0</v>
      </c>
      <c r="M105">
        <v>157</v>
      </c>
      <c r="N105">
        <v>157</v>
      </c>
      <c r="O105">
        <v>35046</v>
      </c>
      <c r="P105">
        <v>19151.219000000001</v>
      </c>
      <c r="Q105">
        <v>2.98264</v>
      </c>
      <c r="R105">
        <v>24.552844871794871</v>
      </c>
      <c r="S105">
        <v>24.552844871794871</v>
      </c>
      <c r="T105">
        <v>780</v>
      </c>
      <c r="U105" t="str">
        <v>36863-GABANDE LOPEZ EVA - 2 (VERNET)</v>
      </c>
    </row>
    <row r="106" spans="1:21" x14ac:dyDescent="0.25">
      <c r="A106" t="str">
        <v>2025-10-11</v>
      </c>
      <c r="B106" t="str">
        <v>36863-GABANDE LOPEZ EVA - 2 (VERNET)-L:075-N:1-A:A14-POLLO AMARILLO HEMBRAS</v>
      </c>
      <c r="C106" t="str">
        <v>POLLO AMARILLO HEMBRAS</v>
      </c>
      <c r="D106">
        <v>17543</v>
      </c>
      <c r="E106" t="str">
        <v>Broiler Amarillo</v>
      </c>
      <c r="F106">
        <v>16</v>
      </c>
      <c r="G106">
        <v>17700</v>
      </c>
      <c r="H106" t="str">
        <v>Abierto</v>
      </c>
      <c r="I106">
        <v>0.51100000000000001</v>
      </c>
      <c r="J106">
        <v>0.51100000000000001</v>
      </c>
      <c r="K106">
        <v>0.51100000000000001</v>
      </c>
      <c r="L106">
        <v>0</v>
      </c>
      <c r="M106">
        <v>157</v>
      </c>
      <c r="N106">
        <v>157</v>
      </c>
      <c r="O106">
        <v>35057</v>
      </c>
      <c r="P106">
        <v>17774.014999999999</v>
      </c>
      <c r="Q106">
        <v>2.9835699999999998</v>
      </c>
      <c r="R106">
        <v>22.787198717948719</v>
      </c>
      <c r="S106">
        <v>22.787198717948719</v>
      </c>
      <c r="T106">
        <v>780</v>
      </c>
      <c r="U106" t="str">
        <v>36863-GABANDE LOPEZ EVA - 2 (VERNET)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C521-3A74-4627-A20E-7BE4D77B4CF5}">
  <sheetPr codeName="Hoja4"/>
  <dimension ref="A1:U106"/>
  <sheetViews>
    <sheetView workbookViewId="0">
      <selection activeCell="H9" sqref="H9"/>
    </sheetView>
  </sheetViews>
  <sheetFormatPr baseColWidth="10" defaultRowHeight="15" x14ac:dyDescent="0.25"/>
  <cols>
    <col min="2" max="2" width="15" customWidth="1"/>
    <col min="4" max="4" width="10.42578125" bestFit="1" customWidth="1"/>
    <col min="7" max="7" width="21.7109375" customWidth="1"/>
    <col min="9" max="9" width="13.85546875" bestFit="1" customWidth="1"/>
    <col min="12" max="12" width="19.85546875" customWidth="1"/>
    <col min="13" max="13" width="18.85546875" bestFit="1" customWidth="1"/>
    <col min="18" max="18" width="14.28515625" style="45" bestFit="1" customWidth="1"/>
    <col min="19" max="19" width="12" style="45" bestFit="1" customWidth="1"/>
  </cols>
  <sheetData>
    <row r="1" spans="1:21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1" ht="15.75" thickTop="1" x14ac:dyDescent="0.25">
      <c r="A2" s="12" t="s">
        <v>64</v>
      </c>
      <c r="B2" s="13" t="s">
        <v>65</v>
      </c>
      <c r="C2" s="13" t="s">
        <v>1</v>
      </c>
      <c r="D2" s="14"/>
      <c r="E2" s="14">
        <v>45931</v>
      </c>
      <c r="F2" s="14">
        <v>45941</v>
      </c>
      <c r="G2" s="13"/>
      <c r="H2" s="13"/>
      <c r="I2" s="13"/>
      <c r="J2" s="13"/>
      <c r="K2" s="13"/>
      <c r="L2" s="13" t="s">
        <v>40</v>
      </c>
    </row>
    <row r="5" spans="1:21" x14ac:dyDescent="0.25">
      <c r="A5" t="str" cm="1">
        <f t="array" ref="A5:U106">GetSetEntradaAvi(A2,B2,C2,E2,F2)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ventas_acumuladas</v>
      </c>
      <c r="M5" t="str">
        <v>bajas_acumuladas</v>
      </c>
      <c r="N5" t="str">
        <v>bajas_teoricas</v>
      </c>
      <c r="O5" t="str">
        <v>stock_nave</v>
      </c>
      <c r="P5" t="str">
        <v>kilos_nave</v>
      </c>
      <c r="Q5" t="str">
        <v>capacidad_nave</v>
      </c>
      <c r="R5" s="45" t="str">
        <v>densidad_nave</v>
      </c>
      <c r="S5" s="45" t="str">
        <v>kgm2_nave</v>
      </c>
      <c r="T5" t="str">
        <v>m2_nave</v>
      </c>
      <c r="U5" t="str">
        <v>granja</v>
      </c>
    </row>
    <row r="6" spans="1:21" x14ac:dyDescent="0.25">
      <c r="A6" t="str">
        <v>2025-11-21</v>
      </c>
      <c r="B6" t="str">
        <v>20265T-AVICOTRANS GUIXERAS, S.L.U.-L:39-N:4-A:3001-POLLO AMARILLO MACHO</v>
      </c>
      <c r="C6" t="str">
        <v>POLLO AMARILLO MACHO</v>
      </c>
      <c r="D6">
        <v>-373</v>
      </c>
      <c r="E6" t="str">
        <v>Broiler Amarillo</v>
      </c>
      <c r="F6">
        <v>50</v>
      </c>
      <c r="G6">
        <v>18200</v>
      </c>
      <c r="H6" t="str">
        <v>Abierto</v>
      </c>
      <c r="I6">
        <v>3.2645</v>
      </c>
      <c r="J6">
        <v>3.0970300000000002</v>
      </c>
      <c r="K6">
        <v>3.7410000000000001</v>
      </c>
      <c r="L6">
        <v>-18211</v>
      </c>
      <c r="M6">
        <v>362</v>
      </c>
      <c r="N6">
        <v>575</v>
      </c>
      <c r="O6">
        <v>1907</v>
      </c>
      <c r="P6">
        <v>5480.9809999999998</v>
      </c>
      <c r="Q6">
        <v>5.4489999999999997E-2</v>
      </c>
      <c r="R6" s="45">
        <v>2.8546776041666666</v>
      </c>
      <c r="S6" s="45">
        <v>2.8546776041666666</v>
      </c>
      <c r="T6">
        <v>1920</v>
      </c>
      <c r="U6" t="str">
        <v>20265T-AVICOTRANS GUIXERAS, S.L.U.</v>
      </c>
    </row>
    <row r="7" spans="1:21" x14ac:dyDescent="0.25">
      <c r="A7" t="str">
        <v>2025-11-21</v>
      </c>
      <c r="B7" t="str">
        <v>20210T-AVICOJESLO S.L. naus 1,2,3-L:39-N:3-A:3001-POLLO AMARILLO MACHO</v>
      </c>
      <c r="C7" t="str">
        <v>POLLO AMARILLO MACHO</v>
      </c>
      <c r="D7">
        <v>9003</v>
      </c>
      <c r="E7" t="str">
        <v>Broiler Amarillo</v>
      </c>
      <c r="F7">
        <v>42</v>
      </c>
      <c r="G7">
        <v>10200</v>
      </c>
      <c r="H7" t="str">
        <v>Abierto</v>
      </c>
      <c r="I7">
        <v>3.2482000000000002</v>
      </c>
      <c r="J7">
        <v>3.2482000000000002</v>
      </c>
      <c r="K7">
        <v>2.9660000000000002</v>
      </c>
      <c r="L7">
        <v>-568</v>
      </c>
      <c r="M7">
        <v>629</v>
      </c>
      <c r="N7">
        <v>340</v>
      </c>
      <c r="O7">
        <v>8276</v>
      </c>
      <c r="P7">
        <v>27010.128000000001</v>
      </c>
      <c r="Q7">
        <v>0.39410000000000001</v>
      </c>
      <c r="R7" s="45">
        <v>24.202623655913978</v>
      </c>
      <c r="S7" s="45">
        <v>24.202623655913978</v>
      </c>
      <c r="T7">
        <v>1116</v>
      </c>
      <c r="U7" t="str">
        <v>20210T-AVICOJESLO S.L. naus 1,2,3</v>
      </c>
    </row>
    <row r="8" spans="1:21" x14ac:dyDescent="0.25">
      <c r="A8" t="str">
        <v>2025-11-21</v>
      </c>
      <c r="B8" t="str">
        <v>20446T-CAN MARCO naus 4,5,6 i 7-L:13-N:4-A:3001-POLLO AMARILLO MACHO</v>
      </c>
      <c r="C8" t="str">
        <v>POLLO AMARILLO MACHO</v>
      </c>
      <c r="D8">
        <v>0</v>
      </c>
      <c r="E8" t="str">
        <v>Broiler Amarillo</v>
      </c>
      <c r="F8">
        <v>52</v>
      </c>
      <c r="G8">
        <v>16500</v>
      </c>
      <c r="H8" t="str">
        <v>Abierto</v>
      </c>
      <c r="I8">
        <v>3.1981000000000002</v>
      </c>
      <c r="J8">
        <v>3.0227599999999999</v>
      </c>
      <c r="K8">
        <v>3.9260000000000002</v>
      </c>
      <c r="L8">
        <v>-15395</v>
      </c>
      <c r="M8">
        <v>1105</v>
      </c>
      <c r="N8">
        <v>535</v>
      </c>
      <c r="O8">
        <v>1419</v>
      </c>
      <c r="P8">
        <v>3959.152</v>
      </c>
      <c r="Q8">
        <v>4.2999999999999997E-2</v>
      </c>
      <c r="R8" s="45">
        <v>2.2217463524130192</v>
      </c>
      <c r="S8" s="45">
        <v>2.2217463524130192</v>
      </c>
      <c r="T8">
        <v>1782</v>
      </c>
      <c r="U8" t="str">
        <v>20446T-CAN MARCO naus 4,5,6 i 7</v>
      </c>
    </row>
    <row r="9" spans="1:21" x14ac:dyDescent="0.25">
      <c r="A9" t="str">
        <v>2025-11-21</v>
      </c>
      <c r="B9" t="str">
        <v>20210T-AVICOJESLO S.L. naus 1,2,3-L:39-N:2-A:3001-POLLO AMARILLO MACHO</v>
      </c>
      <c r="C9" t="str">
        <v>POLLO AMARILLO MACHO</v>
      </c>
      <c r="D9">
        <v>1100</v>
      </c>
      <c r="E9" t="str">
        <v>Broiler Amarillo</v>
      </c>
      <c r="F9">
        <v>42</v>
      </c>
      <c r="G9">
        <v>10800</v>
      </c>
      <c r="H9" t="str">
        <v>Abierto</v>
      </c>
      <c r="I9">
        <v>3.153</v>
      </c>
      <c r="J9">
        <v>3.1663800000000002</v>
      </c>
      <c r="K9">
        <v>2.9660000000000002</v>
      </c>
      <c r="L9">
        <v>-9125</v>
      </c>
      <c r="M9">
        <v>575</v>
      </c>
      <c r="N9">
        <v>351</v>
      </c>
      <c r="O9">
        <v>2439</v>
      </c>
      <c r="P9">
        <v>6861.058</v>
      </c>
      <c r="Q9">
        <v>0.14346999999999999</v>
      </c>
      <c r="R9" s="45">
        <v>5.9351712802768164</v>
      </c>
      <c r="S9" s="45">
        <v>5.9351712802768164</v>
      </c>
      <c r="T9">
        <v>1156</v>
      </c>
      <c r="U9" t="str">
        <v>20210T-AVICOJESLO S.L. naus 1,2,3</v>
      </c>
    </row>
    <row r="10" spans="1:21" x14ac:dyDescent="0.25">
      <c r="A10" t="str">
        <v>2025-11-21</v>
      </c>
      <c r="B10" t="str">
        <v>20210T-AVICOJESLO S.L. naus 1,2,3-L:39-N:3-A:3002-POLLO AMARILLO HEMBRAS</v>
      </c>
      <c r="C10" t="str">
        <v>POLLO AMARILLO HEMBRAS</v>
      </c>
      <c r="D10">
        <v>-727</v>
      </c>
      <c r="E10" t="str">
        <v>Broiler Amarillo</v>
      </c>
      <c r="F10">
        <v>42</v>
      </c>
      <c r="G10">
        <v>10300</v>
      </c>
      <c r="H10" t="str">
        <v>Abierto</v>
      </c>
      <c r="I10">
        <v>3.0720999999999998</v>
      </c>
      <c r="J10">
        <v>3.0720999999999998</v>
      </c>
      <c r="K10">
        <v>2.4929999999999999</v>
      </c>
      <c r="L10">
        <v>-10660</v>
      </c>
      <c r="M10">
        <v>367</v>
      </c>
      <c r="N10">
        <v>344</v>
      </c>
      <c r="O10">
        <v>8276</v>
      </c>
      <c r="P10">
        <v>27010.128000000001</v>
      </c>
      <c r="Q10">
        <v>0.39410000000000001</v>
      </c>
      <c r="R10" s="45">
        <v>24.202623655913978</v>
      </c>
      <c r="S10" s="45">
        <v>24.202623655913978</v>
      </c>
      <c r="T10">
        <v>1116</v>
      </c>
      <c r="U10" t="str">
        <v>20210T-AVICOJESLO S.L. naus 1,2,3</v>
      </c>
    </row>
    <row r="11" spans="1:21" x14ac:dyDescent="0.25">
      <c r="A11" t="str">
        <v>2025-11-21</v>
      </c>
      <c r="B11" t="str">
        <v>20265T-AVICOTRANS GUIXERAS, S.L.U.-L:39-N:4-A:3002-POLLO AMARILLO HEMBRAS</v>
      </c>
      <c r="C11" t="str">
        <v>POLLO AMARILLO HEMBRAS</v>
      </c>
      <c r="D11">
        <v>2280</v>
      </c>
      <c r="E11" t="str">
        <v>Broiler Amarillo</v>
      </c>
      <c r="F11">
        <v>50</v>
      </c>
      <c r="G11">
        <v>18200</v>
      </c>
      <c r="H11" t="str">
        <v>Abierto</v>
      </c>
      <c r="I11">
        <v>2.9380000000000002</v>
      </c>
      <c r="J11">
        <v>2.7781500000000001</v>
      </c>
      <c r="K11">
        <v>3.0950000000000002</v>
      </c>
      <c r="L11">
        <v>-15552</v>
      </c>
      <c r="M11">
        <v>368</v>
      </c>
      <c r="N11">
        <v>581</v>
      </c>
      <c r="O11">
        <v>1907</v>
      </c>
      <c r="P11">
        <v>5480.9809999999998</v>
      </c>
      <c r="Q11">
        <v>5.4489999999999997E-2</v>
      </c>
      <c r="R11" s="45">
        <v>2.8546776041666666</v>
      </c>
      <c r="S11" s="45">
        <v>2.8546776041666666</v>
      </c>
      <c r="T11">
        <v>1920</v>
      </c>
      <c r="U11" t="str">
        <v>20265T-AVICOTRANS GUIXERAS, S.L.U.</v>
      </c>
    </row>
    <row r="12" spans="1:21" x14ac:dyDescent="0.25">
      <c r="A12" t="str">
        <v>2025-11-21</v>
      </c>
      <c r="B12" t="str">
        <v>20446T-CAN MARCO naus 4,5,6 i 7-L:13-N:4-A:3002-POLLO AMARILLO HEMBRAS</v>
      </c>
      <c r="C12" t="str">
        <v>POLLO AMARILLO HEMBRAS</v>
      </c>
      <c r="D12">
        <v>1419</v>
      </c>
      <c r="E12" t="str">
        <v>Broiler Amarillo</v>
      </c>
      <c r="F12">
        <v>52</v>
      </c>
      <c r="G12">
        <v>16800</v>
      </c>
      <c r="H12" t="str">
        <v>Abierto</v>
      </c>
      <c r="I12">
        <v>2.7900999999999998</v>
      </c>
      <c r="J12">
        <v>2.7085400000000002</v>
      </c>
      <c r="K12">
        <v>3.234</v>
      </c>
      <c r="L12">
        <v>-14644</v>
      </c>
      <c r="M12">
        <v>737</v>
      </c>
      <c r="N12">
        <v>552</v>
      </c>
      <c r="O12">
        <v>1419</v>
      </c>
      <c r="P12">
        <v>3959.152</v>
      </c>
      <c r="Q12">
        <v>4.2999999999999997E-2</v>
      </c>
      <c r="R12" s="45">
        <v>2.2217463524130192</v>
      </c>
      <c r="S12" s="45">
        <v>2.2217463524130192</v>
      </c>
      <c r="T12">
        <v>1782</v>
      </c>
      <c r="U12" t="str">
        <v>20446T-CAN MARCO naus 4,5,6 i 7</v>
      </c>
    </row>
    <row r="13" spans="1:21" x14ac:dyDescent="0.25">
      <c r="A13" t="str">
        <v>2025-11-21</v>
      </c>
      <c r="B13" t="str">
        <v>20446T-CAN MARCO naus 4,5,6 i 7-L:13-N:7-A:3002-POLLO AMARILLO HEMBRAS</v>
      </c>
      <c r="C13" t="str">
        <v>POLLO AMARILLO HEMBRAS</v>
      </c>
      <c r="D13">
        <v>-90</v>
      </c>
      <c r="E13" t="str">
        <v>Broiler Amarillo</v>
      </c>
      <c r="F13">
        <v>46</v>
      </c>
      <c r="G13">
        <v>13300</v>
      </c>
      <c r="H13" t="str">
        <v>Abierto</v>
      </c>
      <c r="I13">
        <v>2.6839</v>
      </c>
      <c r="J13">
        <v>2.6769599999999998</v>
      </c>
      <c r="K13">
        <v>2.806</v>
      </c>
      <c r="L13">
        <v>-12309</v>
      </c>
      <c r="M13">
        <v>1081</v>
      </c>
      <c r="N13">
        <v>443</v>
      </c>
      <c r="O13">
        <v>1481</v>
      </c>
      <c r="P13">
        <v>3811.4720000000002</v>
      </c>
      <c r="Q13">
        <v>4.4880000000000003E-2</v>
      </c>
      <c r="R13" s="45">
        <v>2.1174844444444445</v>
      </c>
      <c r="S13" s="45">
        <v>2.1174844444444445</v>
      </c>
      <c r="T13">
        <v>1800</v>
      </c>
      <c r="U13" t="str">
        <v>20446T-CAN MARCO naus 4,5,6 i 7</v>
      </c>
    </row>
    <row r="14" spans="1:21" x14ac:dyDescent="0.25">
      <c r="A14" t="str">
        <v>2025-11-21</v>
      </c>
      <c r="B14" t="str">
        <v>20213T-GRANJA CAL CARNE SCP-L:39-N:3-A:3001-POLLO AMARILLO MACHO</v>
      </c>
      <c r="C14" t="str">
        <v>POLLO AMARILLO MACHO</v>
      </c>
      <c r="D14">
        <v>5734</v>
      </c>
      <c r="E14" t="str">
        <v>Broiler Amarillo</v>
      </c>
      <c r="F14">
        <v>39</v>
      </c>
      <c r="G14">
        <v>16500</v>
      </c>
      <c r="H14" t="str">
        <v>Abierto</v>
      </c>
      <c r="I14">
        <v>2.6347999999999998</v>
      </c>
      <c r="J14">
        <v>2.63062</v>
      </c>
      <c r="K14">
        <v>2.6680000000000001</v>
      </c>
      <c r="L14">
        <v>-9868</v>
      </c>
      <c r="M14">
        <v>898</v>
      </c>
      <c r="N14">
        <v>535</v>
      </c>
      <c r="O14">
        <v>21712</v>
      </c>
      <c r="P14">
        <v>49668.357000000004</v>
      </c>
      <c r="Q14">
        <v>0.70018999999999998</v>
      </c>
      <c r="R14" s="45">
        <v>27.593531666666667</v>
      </c>
      <c r="S14" s="45">
        <v>27.593531666666667</v>
      </c>
      <c r="T14">
        <v>1800</v>
      </c>
      <c r="U14" t="str">
        <v>20213T-GRANJA CAL CARNE SCP</v>
      </c>
    </row>
    <row r="15" spans="1:21" x14ac:dyDescent="0.25">
      <c r="A15" t="str">
        <v>2025-11-21</v>
      </c>
      <c r="B15" t="str">
        <v>20420T-COC-COC LLOBERA, SL-L:29-N:1-A:3001-POLLO AMARILLO MACHO</v>
      </c>
      <c r="C15" t="str">
        <v>POLLO AMARILLO MACHO</v>
      </c>
      <c r="D15">
        <v>5320</v>
      </c>
      <c r="E15" t="str">
        <v>Broiler Amarillo</v>
      </c>
      <c r="F15">
        <v>38</v>
      </c>
      <c r="G15">
        <v>18000</v>
      </c>
      <c r="H15" t="str">
        <v>Abierto</v>
      </c>
      <c r="I15">
        <v>2.5886999999999998</v>
      </c>
      <c r="J15">
        <v>2.5903499999999999</v>
      </c>
      <c r="K15">
        <v>2.569</v>
      </c>
      <c r="L15">
        <v>-12017</v>
      </c>
      <c r="M15">
        <v>669</v>
      </c>
      <c r="N15">
        <v>572</v>
      </c>
      <c r="O15">
        <v>22864</v>
      </c>
      <c r="P15">
        <v>51351.131999999998</v>
      </c>
      <c r="Q15">
        <v>0.65290999999999999</v>
      </c>
      <c r="R15" s="45">
        <v>27.25643949044586</v>
      </c>
      <c r="S15" s="45">
        <v>27.25643949044586</v>
      </c>
      <c r="T15">
        <v>1884</v>
      </c>
      <c r="U15" t="str">
        <v>20420T-COC-COC LLOBERA, SL</v>
      </c>
    </row>
    <row r="16" spans="1:21" x14ac:dyDescent="0.25">
      <c r="A16" t="str">
        <v>2025-11-21</v>
      </c>
      <c r="B16" t="str">
        <v>20446T-CAN MARCO naus 4,5,6 i 7-L:13-N:7-A:3001-POLLO AMARILLO MACHO</v>
      </c>
      <c r="C16" t="str">
        <v>POLLO AMARILLO MACHO</v>
      </c>
      <c r="D16">
        <v>1571</v>
      </c>
      <c r="E16" t="str">
        <v>Broiler Amarillo</v>
      </c>
      <c r="F16">
        <v>46</v>
      </c>
      <c r="G16">
        <v>20500</v>
      </c>
      <c r="H16" t="str">
        <v>Abierto</v>
      </c>
      <c r="I16">
        <v>2.5798999999999999</v>
      </c>
      <c r="J16">
        <v>2.55647</v>
      </c>
      <c r="K16">
        <v>3.36</v>
      </c>
      <c r="L16">
        <v>-17612</v>
      </c>
      <c r="M16">
        <v>1317</v>
      </c>
      <c r="N16">
        <v>546</v>
      </c>
      <c r="O16">
        <v>1481</v>
      </c>
      <c r="P16">
        <v>3811.4720000000002</v>
      </c>
      <c r="Q16">
        <v>4.4880000000000003E-2</v>
      </c>
      <c r="R16" s="45">
        <v>2.1174844444444445</v>
      </c>
      <c r="S16" s="45">
        <v>2.1174844444444445</v>
      </c>
      <c r="T16">
        <v>1800</v>
      </c>
      <c r="U16" t="str">
        <v>20446T-CAN MARCO naus 4,5,6 i 7</v>
      </c>
    </row>
    <row r="17" spans="1:21" x14ac:dyDescent="0.25">
      <c r="A17" t="str">
        <v>2025-11-21</v>
      </c>
      <c r="B17" t="str">
        <v>20235T-AGROPECUARIA SANT JULIA-L:39-N:4-A:3001-POLLO AMARILLO MACHO</v>
      </c>
      <c r="C17" t="str">
        <v>POLLO AMARILLO MACHO</v>
      </c>
      <c r="D17">
        <v>168</v>
      </c>
      <c r="E17" t="str">
        <v>Broiler Amarillo</v>
      </c>
      <c r="F17">
        <v>38</v>
      </c>
      <c r="G17">
        <v>13300</v>
      </c>
      <c r="H17" t="str">
        <v>Abierto</v>
      </c>
      <c r="I17">
        <v>2.5514000000000001</v>
      </c>
      <c r="J17">
        <v>2.5506899999999999</v>
      </c>
      <c r="K17">
        <v>2.569</v>
      </c>
      <c r="L17">
        <v>-12560</v>
      </c>
      <c r="M17">
        <v>577</v>
      </c>
      <c r="N17">
        <v>438</v>
      </c>
      <c r="O17">
        <v>5328</v>
      </c>
      <c r="P17">
        <v>11157.307000000001</v>
      </c>
      <c r="Q17">
        <v>0.20469000000000001</v>
      </c>
      <c r="R17" s="45">
        <v>7.9695049999999998</v>
      </c>
      <c r="S17" s="45">
        <v>7.9695049999999998</v>
      </c>
      <c r="T17">
        <v>1400</v>
      </c>
      <c r="U17" t="str">
        <v>20235T-AGROPECUARIA SANT JULIA</v>
      </c>
    </row>
    <row r="18" spans="1:21" x14ac:dyDescent="0.25">
      <c r="A18" t="str">
        <v>2025-11-21</v>
      </c>
      <c r="B18" t="str">
        <v>20213T-GRANJA CAL CARNE SCP-L:39-N:2-A:3003-POLLO AMARILLO MIXTO</v>
      </c>
      <c r="C18" t="str">
        <v>POLLO AMARILLO MIXTO</v>
      </c>
      <c r="D18">
        <v>6959</v>
      </c>
      <c r="E18" t="str">
        <v>Broiler Amarillo</v>
      </c>
      <c r="F18">
        <v>39</v>
      </c>
      <c r="G18">
        <v>14940</v>
      </c>
      <c r="H18" t="str">
        <v>Abierto</v>
      </c>
      <c r="I18">
        <v>2.5419</v>
      </c>
      <c r="J18">
        <v>2.5438399999999999</v>
      </c>
      <c r="K18">
        <v>2.4900000000000002</v>
      </c>
      <c r="L18">
        <v>-7488</v>
      </c>
      <c r="M18">
        <v>493</v>
      </c>
      <c r="N18">
        <v>477</v>
      </c>
      <c r="O18">
        <v>6959</v>
      </c>
      <c r="P18">
        <v>17689.081999999999</v>
      </c>
      <c r="Q18">
        <v>0.53530999999999995</v>
      </c>
      <c r="R18" s="45">
        <v>21.441311515151515</v>
      </c>
      <c r="S18" s="45">
        <v>21.441311515151515</v>
      </c>
      <c r="T18">
        <v>825</v>
      </c>
      <c r="U18" t="str">
        <v>20213T-GRANJA CAL CARNE SCP</v>
      </c>
    </row>
    <row r="19" spans="1:21" x14ac:dyDescent="0.25">
      <c r="A19" t="str">
        <v>2025-11-21</v>
      </c>
      <c r="B19" t="str">
        <v>20210T-AVICOJESLO S.L. naus 1,2,3-L:39-N:2-A:3002-POLLO AMARILLO HEMBRAS</v>
      </c>
      <c r="C19" t="str">
        <v>POLLO AMARILLO HEMBRAS</v>
      </c>
      <c r="D19">
        <v>1339</v>
      </c>
      <c r="E19" t="str">
        <v>Broiler Amarillo</v>
      </c>
      <c r="F19">
        <v>42</v>
      </c>
      <c r="G19">
        <v>10800</v>
      </c>
      <c r="H19" t="str">
        <v>Abierto</v>
      </c>
      <c r="I19">
        <v>2.5337999999999998</v>
      </c>
      <c r="J19">
        <v>2.5174400000000001</v>
      </c>
      <c r="K19">
        <v>2.4929999999999999</v>
      </c>
      <c r="L19">
        <v>-9125</v>
      </c>
      <c r="M19">
        <v>336</v>
      </c>
      <c r="N19">
        <v>355</v>
      </c>
      <c r="O19">
        <v>2439</v>
      </c>
      <c r="P19">
        <v>6861.058</v>
      </c>
      <c r="Q19">
        <v>0.14346999999999999</v>
      </c>
      <c r="R19" s="45">
        <v>5.9351712802768164</v>
      </c>
      <c r="S19" s="45">
        <v>5.9351712802768164</v>
      </c>
      <c r="T19">
        <v>1156</v>
      </c>
      <c r="U19" t="str">
        <v>20210T-AVICOJESLO S.L. naus 1,2,3</v>
      </c>
    </row>
    <row r="20" spans="1:21" x14ac:dyDescent="0.25">
      <c r="A20" t="str">
        <v>2025-11-21</v>
      </c>
      <c r="B20" t="str">
        <v>20235T-AGROPECUARIA SANT JULIA-L:39-N:3-A:3001-POLLO AMARILLO MACHO</v>
      </c>
      <c r="C20" t="str">
        <v>POLLO AMARILLO MACHO</v>
      </c>
      <c r="D20">
        <v>5296</v>
      </c>
      <c r="E20" t="str">
        <v>Broiler Amarillo</v>
      </c>
      <c r="F20">
        <v>38</v>
      </c>
      <c r="G20">
        <v>13300</v>
      </c>
      <c r="H20" t="str">
        <v>Abierto</v>
      </c>
      <c r="I20">
        <v>2.4838</v>
      </c>
      <c r="J20">
        <v>2.4838</v>
      </c>
      <c r="K20">
        <v>2.569</v>
      </c>
      <c r="L20">
        <v>-7455</v>
      </c>
      <c r="M20">
        <v>549</v>
      </c>
      <c r="N20">
        <v>22</v>
      </c>
      <c r="O20">
        <v>5305</v>
      </c>
      <c r="P20">
        <v>13172.428</v>
      </c>
      <c r="Q20">
        <v>0.20385</v>
      </c>
      <c r="R20" s="45">
        <v>9.4088771428571434</v>
      </c>
      <c r="S20" s="45">
        <v>9.4088771428571434</v>
      </c>
      <c r="T20">
        <v>1400</v>
      </c>
      <c r="U20" t="str">
        <v>20235T-AGROPECUARIA SANT JULIA</v>
      </c>
    </row>
    <row r="21" spans="1:21" x14ac:dyDescent="0.25">
      <c r="A21" t="str">
        <v>2025-11-21</v>
      </c>
      <c r="B21" t="str">
        <v>20321T-AVICOLA JORDA, SL ( Rafavid)-L:38-N:1-A:3001-POLLO AMARILLO MACHO</v>
      </c>
      <c r="C21" t="str">
        <v>POLLO AMARILLO MACHO</v>
      </c>
      <c r="D21">
        <v>10458</v>
      </c>
      <c r="E21" t="str">
        <v>Broiler Amarillo</v>
      </c>
      <c r="F21">
        <v>35</v>
      </c>
      <c r="G21">
        <v>10800</v>
      </c>
      <c r="H21" t="str">
        <v>Abierto</v>
      </c>
      <c r="I21">
        <v>2.3210000000000002</v>
      </c>
      <c r="J21">
        <v>2.3257300000000001</v>
      </c>
      <c r="K21">
        <v>2.2709999999999999</v>
      </c>
      <c r="L21">
        <v>0</v>
      </c>
      <c r="M21">
        <v>346</v>
      </c>
      <c r="N21">
        <v>339</v>
      </c>
      <c r="O21">
        <v>12453</v>
      </c>
      <c r="P21">
        <v>28174.241000000002</v>
      </c>
      <c r="Q21">
        <v>0.56567999999999996</v>
      </c>
      <c r="R21" s="45">
        <v>23.557057692307691</v>
      </c>
      <c r="S21" s="45">
        <v>23.557057692307691</v>
      </c>
      <c r="T21">
        <v>1196</v>
      </c>
      <c r="U21" t="str">
        <v>20321T-AVICOLA JORDA, SL ( Rafavid)</v>
      </c>
    </row>
    <row r="22" spans="1:21" x14ac:dyDescent="0.25">
      <c r="A22" t="str">
        <v>2025-11-21</v>
      </c>
      <c r="B22" t="str">
        <v>20396T-CAL FITÓ-L:41-N:1-A:3001-POLLO AMARILLO MACHO</v>
      </c>
      <c r="C22" t="str">
        <v>POLLO AMARILLO MACHO</v>
      </c>
      <c r="D22">
        <v>16343</v>
      </c>
      <c r="E22" t="str">
        <v>Broiler Amarillo</v>
      </c>
      <c r="F22">
        <v>35</v>
      </c>
      <c r="G22">
        <v>16800</v>
      </c>
      <c r="H22" t="str">
        <v>Abierto</v>
      </c>
      <c r="I22">
        <v>2.23</v>
      </c>
      <c r="J22">
        <v>2.2215099999999999</v>
      </c>
      <c r="K22">
        <v>2.2709999999999999</v>
      </c>
      <c r="L22">
        <v>0</v>
      </c>
      <c r="M22">
        <v>463</v>
      </c>
      <c r="N22">
        <v>528</v>
      </c>
      <c r="O22">
        <v>16511</v>
      </c>
      <c r="P22">
        <v>36769.97</v>
      </c>
      <c r="Q22">
        <v>0.49547000000000002</v>
      </c>
      <c r="R22" s="45">
        <v>20.892028409090909</v>
      </c>
      <c r="S22" s="45">
        <v>20.892028409090909</v>
      </c>
      <c r="T22">
        <v>1760</v>
      </c>
      <c r="U22" t="str">
        <v>20396T-CAL FITÓ</v>
      </c>
    </row>
    <row r="23" spans="1:21" x14ac:dyDescent="0.25">
      <c r="A23" t="str">
        <v>2025-11-21</v>
      </c>
      <c r="B23" t="str">
        <v>20203T-SOLE DE JOVAL S.L.-L:39-N:2-A:3001-POLLO AMARILLO MACHO</v>
      </c>
      <c r="C23" t="str">
        <v>POLLO AMARILLO MACHO</v>
      </c>
      <c r="D23">
        <v>13050</v>
      </c>
      <c r="E23" t="str">
        <v>Broiler Amarillo</v>
      </c>
      <c r="F23">
        <v>36</v>
      </c>
      <c r="G23">
        <v>14600</v>
      </c>
      <c r="H23" t="str">
        <v>Abierto</v>
      </c>
      <c r="I23">
        <v>2.2286000000000001</v>
      </c>
      <c r="J23">
        <v>2.2224300000000001</v>
      </c>
      <c r="K23">
        <v>2.37</v>
      </c>
      <c r="L23">
        <v>-1296</v>
      </c>
      <c r="M23">
        <v>259</v>
      </c>
      <c r="N23">
        <v>456</v>
      </c>
      <c r="O23">
        <v>16036</v>
      </c>
      <c r="P23">
        <v>35052.542999999998</v>
      </c>
      <c r="Q23">
        <v>0.53420000000000001</v>
      </c>
      <c r="R23" s="45">
        <v>20.522566159250587</v>
      </c>
      <c r="S23" s="45">
        <v>20.522566159250587</v>
      </c>
      <c r="T23">
        <v>1708</v>
      </c>
      <c r="U23" t="str">
        <v>20203T-SOLE DE JOVAL S.L.</v>
      </c>
    </row>
    <row r="24" spans="1:21" x14ac:dyDescent="0.25">
      <c r="A24" t="str">
        <v>2025-11-21</v>
      </c>
      <c r="B24" t="str">
        <v>20213T-GRANJA CAL CARNE SCP-L:39-N:3-A:3002-POLLO AMARILLO HEMBRAS</v>
      </c>
      <c r="C24" t="str">
        <v>POLLO AMARILLO HEMBRAS</v>
      </c>
      <c r="D24">
        <v>15978</v>
      </c>
      <c r="E24" t="str">
        <v>Broiler Amarillo</v>
      </c>
      <c r="F24">
        <v>39</v>
      </c>
      <c r="G24">
        <v>16500</v>
      </c>
      <c r="H24" t="str">
        <v>Abierto</v>
      </c>
      <c r="I24">
        <v>2.1629999999999998</v>
      </c>
      <c r="J24">
        <v>2.10324</v>
      </c>
      <c r="K24">
        <v>2.2349999999999999</v>
      </c>
      <c r="L24">
        <v>0</v>
      </c>
      <c r="M24">
        <v>528</v>
      </c>
      <c r="N24">
        <v>541</v>
      </c>
      <c r="O24">
        <v>21712</v>
      </c>
      <c r="P24">
        <v>49668.357000000004</v>
      </c>
      <c r="Q24">
        <v>0.70018999999999998</v>
      </c>
      <c r="R24" s="45">
        <v>27.593531666666667</v>
      </c>
      <c r="S24" s="45">
        <v>27.593531666666667</v>
      </c>
      <c r="T24">
        <v>1800</v>
      </c>
      <c r="U24" t="str">
        <v>20213T-GRANJA CAL CARNE SCP</v>
      </c>
    </row>
    <row r="25" spans="1:21" x14ac:dyDescent="0.25">
      <c r="A25" t="str">
        <v>2025-11-21</v>
      </c>
      <c r="B25" t="str">
        <v>20420T-COC-COC LLOBERA, SL-L:29-N:1-A:3002-POLLO AMARILLO HEMBRAS</v>
      </c>
      <c r="C25" t="str">
        <v>POLLO AMARILLO HEMBRAS</v>
      </c>
      <c r="D25">
        <v>17544</v>
      </c>
      <c r="E25" t="str">
        <v>Broiler Amarillo</v>
      </c>
      <c r="F25">
        <v>38</v>
      </c>
      <c r="G25">
        <v>18000</v>
      </c>
      <c r="H25" t="str">
        <v>Abierto</v>
      </c>
      <c r="I25">
        <v>2.1419999999999999</v>
      </c>
      <c r="J25">
        <v>2.1269399999999998</v>
      </c>
      <c r="K25">
        <v>2.1480000000000001</v>
      </c>
      <c r="L25">
        <v>0</v>
      </c>
      <c r="M25">
        <v>462</v>
      </c>
      <c r="N25">
        <v>572</v>
      </c>
      <c r="O25">
        <v>22864</v>
      </c>
      <c r="P25">
        <v>51351.131999999998</v>
      </c>
      <c r="Q25">
        <v>0.65290999999999999</v>
      </c>
      <c r="R25" s="45">
        <v>27.25643949044586</v>
      </c>
      <c r="S25" s="45">
        <v>27.25643949044586</v>
      </c>
      <c r="T25">
        <v>1884</v>
      </c>
      <c r="U25" t="str">
        <v>20420T-COC-COC LLOBERA, SL</v>
      </c>
    </row>
    <row r="26" spans="1:21" x14ac:dyDescent="0.25">
      <c r="A26" t="str">
        <v>2025-11-21</v>
      </c>
      <c r="B26" t="str">
        <v>20261T-GRANJA MASMITJA-L:34-N:1-A:3003-POLLO AMARILLO MIXTO</v>
      </c>
      <c r="C26" t="str">
        <v>POLLO AMARILLO MIXTO</v>
      </c>
      <c r="D26">
        <v>7633</v>
      </c>
      <c r="E26" t="str">
        <v>Broiler Amarillo</v>
      </c>
      <c r="F26">
        <v>43</v>
      </c>
      <c r="G26">
        <v>26000</v>
      </c>
      <c r="H26" t="str">
        <v>Abierto</v>
      </c>
      <c r="I26">
        <v>2.1070000000000002</v>
      </c>
      <c r="J26">
        <v>2.08317</v>
      </c>
      <c r="K26">
        <v>2.8450000000000002</v>
      </c>
      <c r="L26">
        <v>-17568</v>
      </c>
      <c r="M26">
        <v>799</v>
      </c>
      <c r="N26">
        <v>834</v>
      </c>
      <c r="O26">
        <v>7633</v>
      </c>
      <c r="P26">
        <v>16082.731</v>
      </c>
      <c r="Q26">
        <v>0.27261000000000002</v>
      </c>
      <c r="R26" s="45">
        <v>11.487665</v>
      </c>
      <c r="S26" s="45">
        <v>11.487665</v>
      </c>
      <c r="T26">
        <v>1400</v>
      </c>
      <c r="U26" t="str">
        <v>20261T-GRANJA MASMITJA</v>
      </c>
    </row>
    <row r="27" spans="1:21" x14ac:dyDescent="0.25">
      <c r="A27" t="str">
        <v>2025-11-21</v>
      </c>
      <c r="B27" t="str">
        <v>20235T-AGROPECUARIA SANT JULIA-L:39-N:2-A:3001-POLLO AMARILLO MACHO</v>
      </c>
      <c r="C27" t="str">
        <v>POLLO AMARILLO MACHO</v>
      </c>
      <c r="D27">
        <v>10553</v>
      </c>
      <c r="E27" t="str">
        <v>Broiler Amarillo</v>
      </c>
      <c r="F27">
        <v>36</v>
      </c>
      <c r="G27">
        <v>11000</v>
      </c>
      <c r="H27" t="str">
        <v>Abierto</v>
      </c>
      <c r="I27">
        <v>2.0840000000000001</v>
      </c>
      <c r="J27">
        <v>2.0433500000000002</v>
      </c>
      <c r="K27">
        <v>2.37</v>
      </c>
      <c r="L27">
        <v>0</v>
      </c>
      <c r="M27">
        <v>451</v>
      </c>
      <c r="N27">
        <v>349</v>
      </c>
      <c r="O27">
        <v>10698</v>
      </c>
      <c r="P27">
        <v>22260.47</v>
      </c>
      <c r="Q27">
        <v>0.48591000000000001</v>
      </c>
      <c r="R27" s="45">
        <v>18.928971088435375</v>
      </c>
      <c r="S27" s="45">
        <v>18.928971088435375</v>
      </c>
      <c r="T27">
        <v>1176</v>
      </c>
      <c r="U27" t="str">
        <v>20235T-AGROPECUARIA SANT JULIA</v>
      </c>
    </row>
    <row r="28" spans="1:21" x14ac:dyDescent="0.25">
      <c r="A28" t="str">
        <v>2025-11-21</v>
      </c>
      <c r="B28" t="str">
        <v>20235T-AGROPECUARIA SANT JULIA-L:39-N:4-A:3002-POLLO AMARILLO HEMBRAS</v>
      </c>
      <c r="C28" t="str">
        <v>POLLO AMARILLO HEMBRAS</v>
      </c>
      <c r="D28">
        <v>5160</v>
      </c>
      <c r="E28" t="str">
        <v>Broiler Amarillo</v>
      </c>
      <c r="F28">
        <v>38</v>
      </c>
      <c r="G28">
        <v>13300</v>
      </c>
      <c r="H28" t="str">
        <v>Abierto</v>
      </c>
      <c r="I28">
        <v>2.0792000000000002</v>
      </c>
      <c r="J28">
        <v>2.05314</v>
      </c>
      <c r="K28">
        <v>2.1480000000000001</v>
      </c>
      <c r="L28">
        <v>-7738</v>
      </c>
      <c r="M28">
        <v>403</v>
      </c>
      <c r="N28">
        <v>92</v>
      </c>
      <c r="O28">
        <v>5328</v>
      </c>
      <c r="P28">
        <v>11157.307000000001</v>
      </c>
      <c r="Q28">
        <v>0.20469000000000001</v>
      </c>
      <c r="R28" s="45">
        <v>7.9695049999999998</v>
      </c>
      <c r="S28" s="45">
        <v>7.9695049999999998</v>
      </c>
      <c r="T28">
        <v>1400</v>
      </c>
      <c r="U28" t="str">
        <v>20235T-AGROPECUARIA SANT JULIA</v>
      </c>
    </row>
    <row r="29" spans="1:21" x14ac:dyDescent="0.25">
      <c r="A29" t="str">
        <v>2025-11-21</v>
      </c>
      <c r="B29" t="str">
        <v>20393T-GRANJA CAN PIQUE-L:40-N:1-A:3001-POLLO AMARILLO MACHO</v>
      </c>
      <c r="C29" t="str">
        <v>POLLO AMARILLO MACHO</v>
      </c>
      <c r="D29">
        <v>15096</v>
      </c>
      <c r="E29" t="str">
        <v>Broiler Amarillo</v>
      </c>
      <c r="F29">
        <v>35</v>
      </c>
      <c r="G29">
        <v>15400</v>
      </c>
      <c r="H29" t="str">
        <v>Abierto</v>
      </c>
      <c r="I29">
        <v>2.06</v>
      </c>
      <c r="J29">
        <v>2.0162499999999999</v>
      </c>
      <c r="K29">
        <v>2.2709999999999999</v>
      </c>
      <c r="L29">
        <v>0</v>
      </c>
      <c r="M29">
        <v>309</v>
      </c>
      <c r="N29">
        <v>473</v>
      </c>
      <c r="O29">
        <v>15657</v>
      </c>
      <c r="P29">
        <v>32099.761999999999</v>
      </c>
      <c r="Q29">
        <v>0.52156999999999998</v>
      </c>
      <c r="R29" s="45">
        <v>19.10700119047619</v>
      </c>
      <c r="S29" s="45">
        <v>19.10700119047619</v>
      </c>
      <c r="T29">
        <v>1680</v>
      </c>
      <c r="U29" t="str">
        <v>20393T-GRANJA CAN PIQUE</v>
      </c>
    </row>
    <row r="30" spans="1:21" x14ac:dyDescent="0.25">
      <c r="A30" t="str">
        <v>2025-11-21</v>
      </c>
      <c r="B30" t="str">
        <v>20235T-AGROPECUARIA SANT JULIA-L:39-N:3-A:3002-POLLO AMARILLO HEMBRAS</v>
      </c>
      <c r="C30" t="str">
        <v>POLLO AMARILLO HEMBRAS</v>
      </c>
      <c r="D30">
        <v>9</v>
      </c>
      <c r="E30" t="str">
        <v>Broiler Amarillo</v>
      </c>
      <c r="F30">
        <v>38</v>
      </c>
      <c r="G30">
        <v>13300</v>
      </c>
      <c r="H30" t="str">
        <v>Abierto</v>
      </c>
      <c r="I30">
        <v>2.0247999999999999</v>
      </c>
      <c r="J30">
        <v>2.0247999999999999</v>
      </c>
      <c r="K30">
        <v>2.1480000000000001</v>
      </c>
      <c r="L30">
        <v>-12887</v>
      </c>
      <c r="M30">
        <v>409</v>
      </c>
      <c r="N30">
        <v>438</v>
      </c>
      <c r="O30">
        <v>5305</v>
      </c>
      <c r="P30">
        <v>13172.428</v>
      </c>
      <c r="Q30">
        <v>0.20385</v>
      </c>
      <c r="R30" s="45">
        <v>9.4088771428571434</v>
      </c>
      <c r="S30" s="45">
        <v>9.4088771428571434</v>
      </c>
      <c r="T30">
        <v>1400</v>
      </c>
      <c r="U30" t="str">
        <v>20235T-AGROPECUARIA SANT JULIA</v>
      </c>
    </row>
    <row r="31" spans="1:21" x14ac:dyDescent="0.25">
      <c r="A31" t="str">
        <v>2025-11-21</v>
      </c>
      <c r="B31" t="str">
        <v>20241T-GALLMENS S.C.P. naus 1,2,3-L:41-N:1-A:3001-POLLO AMARILLO MACHO</v>
      </c>
      <c r="C31" t="str">
        <v>POLLO AMARILLO MACHO</v>
      </c>
      <c r="D31">
        <v>12960</v>
      </c>
      <c r="E31" t="str">
        <v>Broiler Amarillo</v>
      </c>
      <c r="F31">
        <v>32</v>
      </c>
      <c r="G31">
        <v>13300</v>
      </c>
      <c r="H31" t="str">
        <v>Abierto</v>
      </c>
      <c r="I31">
        <v>2.0169999999999999</v>
      </c>
      <c r="J31">
        <v>2.0261900000000002</v>
      </c>
      <c r="K31">
        <v>1.978</v>
      </c>
      <c r="L31">
        <v>0</v>
      </c>
      <c r="M31">
        <v>345</v>
      </c>
      <c r="N31">
        <v>408</v>
      </c>
      <c r="O31">
        <v>12945</v>
      </c>
      <c r="P31">
        <v>26113.56</v>
      </c>
      <c r="Q31">
        <v>0.53895999999999999</v>
      </c>
      <c r="R31" s="45">
        <v>18.652542857142858</v>
      </c>
      <c r="S31" s="45">
        <v>18.652542857142858</v>
      </c>
      <c r="T31">
        <v>1400</v>
      </c>
      <c r="U31" t="str">
        <v>20241T-GALLMENS S.C.P. naus 1,2,3</v>
      </c>
    </row>
    <row r="32" spans="1:21" x14ac:dyDescent="0.25">
      <c r="A32" t="str">
        <v>2025-11-21</v>
      </c>
      <c r="B32" t="str">
        <v>20203T-SOLE DE JOVAL S.L.-L:39-N:2-A:3002-POLLO AMARILLO HEMBRAS</v>
      </c>
      <c r="C32" t="str">
        <v>POLLO AMARILLO HEMBRAS</v>
      </c>
      <c r="D32">
        <v>2986</v>
      </c>
      <c r="E32" t="str">
        <v>Broiler Amarillo</v>
      </c>
      <c r="F32">
        <v>36</v>
      </c>
      <c r="G32">
        <v>14600</v>
      </c>
      <c r="H32" t="str">
        <v>Abierto</v>
      </c>
      <c r="I32">
        <v>1.9991000000000001</v>
      </c>
      <c r="J32">
        <v>2.0000100000000001</v>
      </c>
      <c r="K32">
        <v>1.978</v>
      </c>
      <c r="L32">
        <v>-11403</v>
      </c>
      <c r="M32">
        <v>216</v>
      </c>
      <c r="N32">
        <v>456</v>
      </c>
      <c r="O32">
        <v>16036</v>
      </c>
      <c r="P32">
        <v>35052.542999999998</v>
      </c>
      <c r="Q32">
        <v>0.53420000000000001</v>
      </c>
      <c r="R32" s="45">
        <v>20.522566159250587</v>
      </c>
      <c r="S32" s="45">
        <v>20.522566159250587</v>
      </c>
      <c r="T32">
        <v>1708</v>
      </c>
      <c r="U32" t="str">
        <v>20203T-SOLE DE JOVAL S.L.</v>
      </c>
    </row>
    <row r="33" spans="1:21" x14ac:dyDescent="0.25">
      <c r="A33" t="str">
        <v>2025-11-21</v>
      </c>
      <c r="B33" t="str">
        <v>20427T-MARIA PRAT NOGUERA-L:24-N:1-A:3001-POLLO AMARILLO MACHO</v>
      </c>
      <c r="C33" t="str">
        <v>POLLO AMARILLO MACHO</v>
      </c>
      <c r="D33">
        <v>10174</v>
      </c>
      <c r="E33" t="str">
        <v>Broiler Amarillo</v>
      </c>
      <c r="F33">
        <v>31</v>
      </c>
      <c r="G33">
        <v>10500</v>
      </c>
      <c r="H33" t="str">
        <v>Abierto</v>
      </c>
      <c r="I33">
        <v>1.968</v>
      </c>
      <c r="J33">
        <v>1.968</v>
      </c>
      <c r="K33">
        <v>1.881</v>
      </c>
      <c r="L33">
        <v>0</v>
      </c>
      <c r="M33">
        <v>330</v>
      </c>
      <c r="N33">
        <v>318</v>
      </c>
      <c r="O33">
        <v>21666</v>
      </c>
      <c r="P33">
        <v>39869.116000000002</v>
      </c>
      <c r="Q33">
        <v>0.98458999999999997</v>
      </c>
      <c r="R33" s="45">
        <v>29.037957756737072</v>
      </c>
      <c r="S33" s="45">
        <v>29.037957756737072</v>
      </c>
      <c r="T33">
        <v>1373</v>
      </c>
      <c r="U33" t="str">
        <v>20427T-MARIA PRAT NOGUERA</v>
      </c>
    </row>
    <row r="34" spans="1:21" x14ac:dyDescent="0.25">
      <c r="A34" t="str">
        <v>2025-11-21</v>
      </c>
      <c r="B34" t="str">
        <v>20321T-AVICOLA JORDA, SL ( Rafavid)-L:38-N:1-A:3002-POLLO AMARILLO HEMBRAS</v>
      </c>
      <c r="C34" t="str">
        <v>POLLO AMARILLO HEMBRAS</v>
      </c>
      <c r="D34">
        <v>1995</v>
      </c>
      <c r="E34" t="str">
        <v>Broiler Amarillo</v>
      </c>
      <c r="F34">
        <v>35</v>
      </c>
      <c r="G34">
        <v>10800</v>
      </c>
      <c r="H34" t="str">
        <v>Abierto</v>
      </c>
      <c r="I34">
        <v>1.9555</v>
      </c>
      <c r="J34">
        <v>1.9527099999999999</v>
      </c>
      <c r="K34">
        <v>1.8959999999999999</v>
      </c>
      <c r="L34">
        <v>-8612</v>
      </c>
      <c r="M34">
        <v>197</v>
      </c>
      <c r="N34">
        <v>339</v>
      </c>
      <c r="O34">
        <v>12453</v>
      </c>
      <c r="P34">
        <v>28174.241000000002</v>
      </c>
      <c r="Q34">
        <v>0.56567999999999996</v>
      </c>
      <c r="R34" s="45">
        <v>23.557057692307691</v>
      </c>
      <c r="S34" s="45">
        <v>23.557057692307691</v>
      </c>
      <c r="T34">
        <v>1196</v>
      </c>
      <c r="U34" t="str">
        <v>20321T-AVICOLA JORDA, SL ( Rafavid)</v>
      </c>
    </row>
    <row r="35" spans="1:21" x14ac:dyDescent="0.25">
      <c r="A35" t="str">
        <v>2025-11-21</v>
      </c>
      <c r="B35" t="str">
        <v>20203T-SOLE DE JOVAL S.L.-L:39-N:1-A:3003-POLLO AMARILLO MIXTO</v>
      </c>
      <c r="C35" t="str">
        <v>POLLO AMARILLO MIXTO</v>
      </c>
      <c r="D35">
        <v>11395</v>
      </c>
      <c r="E35" t="str">
        <v>Broiler Amarillo</v>
      </c>
      <c r="F35">
        <v>36</v>
      </c>
      <c r="G35">
        <v>20610</v>
      </c>
      <c r="H35" t="str">
        <v>Abierto</v>
      </c>
      <c r="I35">
        <v>1.9530000000000001</v>
      </c>
      <c r="J35">
        <v>1.94181</v>
      </c>
      <c r="K35">
        <v>2.2210000000000001</v>
      </c>
      <c r="L35">
        <v>-8723</v>
      </c>
      <c r="M35">
        <v>494</v>
      </c>
      <c r="N35">
        <v>186</v>
      </c>
      <c r="O35">
        <v>11395</v>
      </c>
      <c r="P35">
        <v>22254.435000000001</v>
      </c>
      <c r="Q35">
        <v>0.56964999999999999</v>
      </c>
      <c r="R35" s="45">
        <v>18.972237851662403</v>
      </c>
      <c r="S35" s="45">
        <v>18.972237851662403</v>
      </c>
      <c r="T35">
        <v>1173</v>
      </c>
      <c r="U35" t="str">
        <v>20203T-SOLE DE JOVAL S.L.</v>
      </c>
    </row>
    <row r="36" spans="1:21" x14ac:dyDescent="0.25">
      <c r="A36" t="str">
        <v>2025-11-21</v>
      </c>
      <c r="B36" t="str">
        <v>20396T-CAL FITÓ-L:41-N:1-A:3002-POLLO AMARILLO HEMBRAS</v>
      </c>
      <c r="C36" t="str">
        <v>POLLO AMARILLO HEMBRAS</v>
      </c>
      <c r="D36">
        <v>168</v>
      </c>
      <c r="E36" t="str">
        <v>Broiler Amarillo</v>
      </c>
      <c r="F36">
        <v>35</v>
      </c>
      <c r="G36">
        <v>16900</v>
      </c>
      <c r="H36" t="str">
        <v>Abierto</v>
      </c>
      <c r="I36">
        <v>1.9350000000000001</v>
      </c>
      <c r="J36">
        <v>1.9313800000000001</v>
      </c>
      <c r="K36">
        <v>1.8959999999999999</v>
      </c>
      <c r="L36">
        <v>-16417</v>
      </c>
      <c r="M36">
        <v>321</v>
      </c>
      <c r="N36">
        <v>531</v>
      </c>
      <c r="O36">
        <v>16511</v>
      </c>
      <c r="P36">
        <v>36769.97</v>
      </c>
      <c r="Q36">
        <v>0.49547000000000002</v>
      </c>
      <c r="R36" s="45">
        <v>20.892028409090909</v>
      </c>
      <c r="S36" s="45">
        <v>20.892028409090909</v>
      </c>
      <c r="T36">
        <v>1760</v>
      </c>
      <c r="U36" t="str">
        <v>20396T-CAL FITÓ</v>
      </c>
    </row>
    <row r="37" spans="1:21" x14ac:dyDescent="0.25">
      <c r="A37" t="str">
        <v>2025-11-21</v>
      </c>
      <c r="B37" t="str">
        <v>20427T-MARIA PRAT NOGUERA-L:24-N:2-A:3001-POLLO AMARILLO MACHO</v>
      </c>
      <c r="C37" t="str">
        <v>POLLO AMARILLO MACHO</v>
      </c>
      <c r="D37">
        <v>11166</v>
      </c>
      <c r="E37" t="str">
        <v>Broiler Amarillo</v>
      </c>
      <c r="F37">
        <v>31</v>
      </c>
      <c r="G37">
        <v>11600</v>
      </c>
      <c r="H37" t="str">
        <v>Abierto</v>
      </c>
      <c r="I37">
        <v>1.931</v>
      </c>
      <c r="J37">
        <v>1.931</v>
      </c>
      <c r="K37">
        <v>1.881</v>
      </c>
      <c r="L37">
        <v>0</v>
      </c>
      <c r="M37">
        <v>437</v>
      </c>
      <c r="N37">
        <v>277</v>
      </c>
      <c r="O37">
        <v>22670</v>
      </c>
      <c r="P37">
        <v>41762.57</v>
      </c>
      <c r="Q37">
        <v>0.98538999999999999</v>
      </c>
      <c r="R37" s="45">
        <v>29.830407142857144</v>
      </c>
      <c r="S37" s="45">
        <v>29.830407142857144</v>
      </c>
      <c r="T37">
        <v>1400</v>
      </c>
      <c r="U37" t="str">
        <v>20427T-MARIA PRAT NOGUERA</v>
      </c>
    </row>
    <row r="38" spans="1:21" x14ac:dyDescent="0.25">
      <c r="A38" t="str">
        <v>2025-11-21</v>
      </c>
      <c r="B38" t="str">
        <v>20427T-MARIA PRAT NOGUERA-L:24-N:3-A:3001-POLLO AMARILLO MACHO</v>
      </c>
      <c r="C38" t="str">
        <v>POLLO AMARILLO MACHO</v>
      </c>
      <c r="D38">
        <v>12986</v>
      </c>
      <c r="E38" t="str">
        <v>Broiler Amarillo</v>
      </c>
      <c r="F38">
        <v>31</v>
      </c>
      <c r="G38">
        <v>13500</v>
      </c>
      <c r="H38" t="str">
        <v>Abierto</v>
      </c>
      <c r="I38">
        <v>1.8759999999999999</v>
      </c>
      <c r="J38">
        <v>1.8759999999999999</v>
      </c>
      <c r="K38">
        <v>1.881</v>
      </c>
      <c r="L38">
        <v>0</v>
      </c>
      <c r="M38">
        <v>518</v>
      </c>
      <c r="N38">
        <v>317</v>
      </c>
      <c r="O38">
        <v>26391</v>
      </c>
      <c r="P38">
        <v>46506.796000000002</v>
      </c>
      <c r="Q38">
        <v>0.97711000000000003</v>
      </c>
      <c r="R38" s="45">
        <v>29.490675967026</v>
      </c>
      <c r="S38" s="45">
        <v>29.490675967026</v>
      </c>
      <c r="T38">
        <v>1577</v>
      </c>
      <c r="U38" t="str">
        <v>20427T-MARIA PRAT NOGUERA</v>
      </c>
    </row>
    <row r="39" spans="1:21" x14ac:dyDescent="0.25">
      <c r="A39" t="str">
        <v>2025-11-21</v>
      </c>
      <c r="B39" t="str">
        <v>20235T-AGROPECUARIA SANT JULIA-L:39-N:2-A:3002-POLLO AMARILLO HEMBRAS</v>
      </c>
      <c r="C39" t="str">
        <v>POLLO AMARILLO HEMBRAS</v>
      </c>
      <c r="D39">
        <v>145</v>
      </c>
      <c r="E39" t="str">
        <v>Broiler Amarillo</v>
      </c>
      <c r="F39">
        <v>36</v>
      </c>
      <c r="G39">
        <v>11100</v>
      </c>
      <c r="H39" t="str">
        <v>Abierto</v>
      </c>
      <c r="I39">
        <v>1.8484</v>
      </c>
      <c r="J39">
        <v>1.8305</v>
      </c>
      <c r="K39">
        <v>1.978</v>
      </c>
      <c r="L39">
        <v>-10662</v>
      </c>
      <c r="M39">
        <v>297</v>
      </c>
      <c r="N39">
        <v>354</v>
      </c>
      <c r="O39">
        <v>10698</v>
      </c>
      <c r="P39">
        <v>22260.47</v>
      </c>
      <c r="Q39">
        <v>0.48591000000000001</v>
      </c>
      <c r="R39" s="45">
        <v>18.928971088435375</v>
      </c>
      <c r="S39" s="45">
        <v>18.928971088435375</v>
      </c>
      <c r="T39">
        <v>1176</v>
      </c>
      <c r="U39" t="str">
        <v>20235T-AGROPECUARIA SANT JULIA</v>
      </c>
    </row>
    <row r="40" spans="1:21" x14ac:dyDescent="0.25">
      <c r="A40" t="str">
        <v>2025-11-21</v>
      </c>
      <c r="B40" t="str">
        <v>20393T-GRANJA CAN PIQUE-L:40-N:1-A:3002-POLLO AMARILLO HEMBRAS</v>
      </c>
      <c r="C40" t="str">
        <v>POLLO AMARILLO HEMBRAS</v>
      </c>
      <c r="D40">
        <v>561</v>
      </c>
      <c r="E40" t="str">
        <v>Broiler Amarillo</v>
      </c>
      <c r="F40">
        <v>35</v>
      </c>
      <c r="G40">
        <v>15300</v>
      </c>
      <c r="H40" t="str">
        <v>Abierto</v>
      </c>
      <c r="I40">
        <v>1.7861</v>
      </c>
      <c r="J40">
        <v>1.7780800000000001</v>
      </c>
      <c r="K40">
        <v>1.8959999999999999</v>
      </c>
      <c r="L40">
        <v>-14577</v>
      </c>
      <c r="M40">
        <v>167</v>
      </c>
      <c r="N40">
        <v>467</v>
      </c>
      <c r="O40">
        <v>15657</v>
      </c>
      <c r="P40">
        <v>32099.761999999999</v>
      </c>
      <c r="Q40">
        <v>0.52156999999999998</v>
      </c>
      <c r="R40" s="45">
        <v>19.10700119047619</v>
      </c>
      <c r="S40" s="45">
        <v>19.10700119047619</v>
      </c>
      <c r="T40">
        <v>1680</v>
      </c>
      <c r="U40" t="str">
        <v>20393T-GRANJA CAN PIQUE</v>
      </c>
    </row>
    <row r="41" spans="1:21" x14ac:dyDescent="0.25">
      <c r="A41" t="str">
        <v>2025-11-21</v>
      </c>
      <c r="B41" t="str">
        <v>20241T-GALLMENS S.C.P. naus 1,2,3-L:41-N:1-A:3002-POLLO AMARILLO HEMBRAS</v>
      </c>
      <c r="C41" t="str">
        <v>POLLO AMARILLO HEMBRAS</v>
      </c>
      <c r="D41">
        <v>-15</v>
      </c>
      <c r="E41" t="str">
        <v>Broiler Amarillo</v>
      </c>
      <c r="F41">
        <v>32</v>
      </c>
      <c r="G41">
        <v>13200</v>
      </c>
      <c r="H41" t="str">
        <v>Abierto</v>
      </c>
      <c r="I41">
        <v>1.784</v>
      </c>
      <c r="J41">
        <v>1.784</v>
      </c>
      <c r="K41">
        <v>1.7390000000000001</v>
      </c>
      <c r="L41">
        <v>-12910</v>
      </c>
      <c r="M41">
        <v>310</v>
      </c>
      <c r="N41">
        <v>402</v>
      </c>
      <c r="O41">
        <v>12945</v>
      </c>
      <c r="P41">
        <v>26113.56</v>
      </c>
      <c r="Q41">
        <v>0.53895999999999999</v>
      </c>
      <c r="R41" s="45">
        <v>18.652542857142858</v>
      </c>
      <c r="S41" s="45">
        <v>18.652542857142858</v>
      </c>
      <c r="T41">
        <v>1400</v>
      </c>
      <c r="U41" t="str">
        <v>20241T-GALLMENS S.C.P. naus 1,2,3</v>
      </c>
    </row>
    <row r="42" spans="1:21" x14ac:dyDescent="0.25">
      <c r="A42" t="str">
        <v>2025-11-21</v>
      </c>
      <c r="B42" t="str">
        <v>20242T-ELS PLANS DE PENINA-L:38-N:2-A:3001-POLLO AMARILLO MACHO</v>
      </c>
      <c r="C42" t="str">
        <v>POLLO AMARILLO MACHO</v>
      </c>
      <c r="D42">
        <v>14240</v>
      </c>
      <c r="E42" t="str">
        <v>Broiler Amarillo</v>
      </c>
      <c r="F42">
        <v>32</v>
      </c>
      <c r="G42">
        <v>14800</v>
      </c>
      <c r="H42" t="str">
        <v>Abierto</v>
      </c>
      <c r="I42">
        <v>1.7829999999999999</v>
      </c>
      <c r="J42">
        <v>1.7829999999999999</v>
      </c>
      <c r="K42">
        <v>1.978</v>
      </c>
      <c r="L42">
        <v>0</v>
      </c>
      <c r="M42">
        <v>565</v>
      </c>
      <c r="N42">
        <v>402</v>
      </c>
      <c r="O42">
        <v>28610</v>
      </c>
      <c r="P42">
        <v>47922.080000000002</v>
      </c>
      <c r="Q42">
        <v>0.95333000000000001</v>
      </c>
      <c r="R42" s="45">
        <v>28.525047619047619</v>
      </c>
      <c r="S42" s="45">
        <v>28.525047619047619</v>
      </c>
      <c r="T42">
        <v>1680</v>
      </c>
      <c r="U42" t="str">
        <v>20242T-ELS PLANS DE PENINA</v>
      </c>
    </row>
    <row r="43" spans="1:21" x14ac:dyDescent="0.25">
      <c r="A43" t="str">
        <v>2025-11-21</v>
      </c>
      <c r="B43" t="str">
        <v>20242T-ELS PLANS DE PENINA-L:38-N:1-A:3001-POLLO AMARILLO MACHO</v>
      </c>
      <c r="C43" t="str">
        <v>POLLO AMARILLO MACHO</v>
      </c>
      <c r="D43">
        <v>14440</v>
      </c>
      <c r="E43" t="str">
        <v>Broiler Amarillo</v>
      </c>
      <c r="F43">
        <v>32</v>
      </c>
      <c r="G43">
        <v>14800</v>
      </c>
      <c r="H43" t="str">
        <v>Abierto</v>
      </c>
      <c r="I43">
        <v>1.7709999999999999</v>
      </c>
      <c r="J43">
        <v>1.7709999999999999</v>
      </c>
      <c r="K43">
        <v>1.978</v>
      </c>
      <c r="L43">
        <v>0</v>
      </c>
      <c r="M43">
        <v>365</v>
      </c>
      <c r="N43">
        <v>444</v>
      </c>
      <c r="O43">
        <v>28738</v>
      </c>
      <c r="P43">
        <v>47849.523999999998</v>
      </c>
      <c r="Q43">
        <v>0.95760000000000001</v>
      </c>
      <c r="R43" s="45">
        <v>28.481859523809526</v>
      </c>
      <c r="S43" s="45">
        <v>28.481859523809526</v>
      </c>
      <c r="T43">
        <v>1680</v>
      </c>
      <c r="U43" t="str">
        <v>20242T-ELS PLANS DE PENINA</v>
      </c>
    </row>
    <row r="44" spans="1:21" x14ac:dyDescent="0.25">
      <c r="A44" t="str">
        <v>2025-11-21</v>
      </c>
      <c r="B44" t="str">
        <v>20427T-MARIA PRAT NOGUERA-L:24-N:2-A:3002-POLLO AMARILLO HEMBRAS</v>
      </c>
      <c r="C44" t="str">
        <v>POLLO AMARILLO HEMBRAS</v>
      </c>
      <c r="D44">
        <v>11504</v>
      </c>
      <c r="E44" t="str">
        <v>Broiler Amarillo</v>
      </c>
      <c r="F44">
        <v>31</v>
      </c>
      <c r="G44">
        <v>11700</v>
      </c>
      <c r="H44" t="str">
        <v>Abierto</v>
      </c>
      <c r="I44">
        <v>1.756</v>
      </c>
      <c r="J44">
        <v>1.756</v>
      </c>
      <c r="K44">
        <v>1.6619999999999999</v>
      </c>
      <c r="L44">
        <v>0</v>
      </c>
      <c r="M44">
        <v>199</v>
      </c>
      <c r="N44">
        <v>283</v>
      </c>
      <c r="O44">
        <v>22670</v>
      </c>
      <c r="P44">
        <v>41762.57</v>
      </c>
      <c r="Q44">
        <v>0.98538999999999999</v>
      </c>
      <c r="R44" s="45">
        <v>29.830407142857144</v>
      </c>
      <c r="S44" s="45">
        <v>29.830407142857144</v>
      </c>
      <c r="T44">
        <v>1400</v>
      </c>
      <c r="U44" t="str">
        <v>20427T-MARIA PRAT NOGUERA</v>
      </c>
    </row>
    <row r="45" spans="1:21" x14ac:dyDescent="0.25">
      <c r="A45" t="str">
        <v>2025-11-21</v>
      </c>
      <c r="B45" t="str">
        <v>20427T-MARIA PRAT NOGUERA-L:24-N:1-A:3002-POLLO AMARILLO HEMBRAS</v>
      </c>
      <c r="C45" t="str">
        <v>POLLO AMARILLO HEMBRAS</v>
      </c>
      <c r="D45">
        <v>11492</v>
      </c>
      <c r="E45" t="str">
        <v>Broiler Amarillo</v>
      </c>
      <c r="F45">
        <v>31</v>
      </c>
      <c r="G45">
        <v>11800</v>
      </c>
      <c r="H45" t="str">
        <v>Abierto</v>
      </c>
      <c r="I45">
        <v>1.7270000000000001</v>
      </c>
      <c r="J45">
        <v>1.7270000000000001</v>
      </c>
      <c r="K45">
        <v>1.6619999999999999</v>
      </c>
      <c r="L45">
        <v>0</v>
      </c>
      <c r="M45">
        <v>309</v>
      </c>
      <c r="N45">
        <v>102</v>
      </c>
      <c r="O45">
        <v>21666</v>
      </c>
      <c r="P45">
        <v>39869.116000000002</v>
      </c>
      <c r="Q45">
        <v>0.98458999999999997</v>
      </c>
      <c r="R45" s="45">
        <v>29.037957756737072</v>
      </c>
      <c r="S45" s="45">
        <v>29.037957756737072</v>
      </c>
      <c r="T45">
        <v>1373</v>
      </c>
      <c r="U45" t="str">
        <v>20427T-MARIA PRAT NOGUERA</v>
      </c>
    </row>
    <row r="46" spans="1:21" x14ac:dyDescent="0.25">
      <c r="A46" t="str">
        <v>2025-11-21</v>
      </c>
      <c r="B46" t="str">
        <v>20427T-MARIA PRAT NOGUERA-L:24-N:3-A:3002-POLLO AMARILLO HEMBRAS</v>
      </c>
      <c r="C46" t="str">
        <v>POLLO AMARILLO HEMBRAS</v>
      </c>
      <c r="D46">
        <v>13405</v>
      </c>
      <c r="E46" t="str">
        <v>Broiler Amarillo</v>
      </c>
      <c r="F46">
        <v>31</v>
      </c>
      <c r="G46">
        <v>13900</v>
      </c>
      <c r="H46" t="str">
        <v>Abierto</v>
      </c>
      <c r="I46">
        <v>1.6519999999999999</v>
      </c>
      <c r="J46">
        <v>1.6519999999999999</v>
      </c>
      <c r="K46">
        <v>1.6619999999999999</v>
      </c>
      <c r="L46">
        <v>0</v>
      </c>
      <c r="M46">
        <v>500</v>
      </c>
      <c r="N46">
        <v>408</v>
      </c>
      <c r="O46">
        <v>26391</v>
      </c>
      <c r="P46">
        <v>46506.796000000002</v>
      </c>
      <c r="Q46">
        <v>0.97711000000000003</v>
      </c>
      <c r="R46" s="45">
        <v>29.490675967026</v>
      </c>
      <c r="S46" s="45">
        <v>29.490675967026</v>
      </c>
      <c r="T46">
        <v>1577</v>
      </c>
      <c r="U46" t="str">
        <v>20427T-MARIA PRAT NOGUERA</v>
      </c>
    </row>
    <row r="47" spans="1:21" x14ac:dyDescent="0.25">
      <c r="A47" t="str">
        <v>2025-11-21</v>
      </c>
      <c r="B47" t="str">
        <v>20241T-GALLMENS S.C.P. naus 1,2,3-L:41-N:2-A:3001-POLLO AMARILLO MACHO</v>
      </c>
      <c r="C47" t="str">
        <v>POLLO AMARILLO MACHO</v>
      </c>
      <c r="D47">
        <v>9263</v>
      </c>
      <c r="E47" t="str">
        <v>Broiler Amarillo</v>
      </c>
      <c r="F47">
        <v>29</v>
      </c>
      <c r="G47">
        <v>9400</v>
      </c>
      <c r="H47" t="str">
        <v>Abierto</v>
      </c>
      <c r="I47">
        <v>1.629</v>
      </c>
      <c r="J47">
        <v>1.57666</v>
      </c>
      <c r="K47">
        <v>1.6930000000000001</v>
      </c>
      <c r="L47">
        <v>0</v>
      </c>
      <c r="M47">
        <v>140</v>
      </c>
      <c r="N47">
        <v>266</v>
      </c>
      <c r="O47">
        <v>18107</v>
      </c>
      <c r="P47">
        <v>27683.282999999999</v>
      </c>
      <c r="Q47">
        <v>1.0056099999999999</v>
      </c>
      <c r="R47" s="45">
        <v>26.695547733847636</v>
      </c>
      <c r="S47" s="45">
        <v>26.695547733847636</v>
      </c>
      <c r="T47">
        <v>1037</v>
      </c>
      <c r="U47" t="str">
        <v>20241T-GALLMENS S.C.P. naus 1,2,3</v>
      </c>
    </row>
    <row r="48" spans="1:21" x14ac:dyDescent="0.25">
      <c r="A48" t="str">
        <v>2025-11-21</v>
      </c>
      <c r="B48" t="str">
        <v>20229T-BARO CARDONA JOSEP-L:40-N:2-A:3001-POLLO AMARILLO MACHO</v>
      </c>
      <c r="C48" t="str">
        <v>POLLO AMARILLO MACHO</v>
      </c>
      <c r="D48">
        <v>12820</v>
      </c>
      <c r="E48" t="str">
        <v>Broiler Amarillo</v>
      </c>
      <c r="F48">
        <v>28</v>
      </c>
      <c r="G48">
        <v>14100</v>
      </c>
      <c r="H48" t="str">
        <v>Abierto</v>
      </c>
      <c r="I48">
        <v>1.617</v>
      </c>
      <c r="J48">
        <v>1.6202000000000001</v>
      </c>
      <c r="K48">
        <v>1.601</v>
      </c>
      <c r="L48">
        <v>0</v>
      </c>
      <c r="M48">
        <v>1285</v>
      </c>
      <c r="N48">
        <v>408</v>
      </c>
      <c r="O48">
        <v>25666</v>
      </c>
      <c r="P48">
        <v>39074.027999999998</v>
      </c>
      <c r="Q48">
        <v>0.93294999999999995</v>
      </c>
      <c r="R48" s="45">
        <v>26.049351999999999</v>
      </c>
      <c r="S48" s="45">
        <v>26.049351999999999</v>
      </c>
      <c r="T48">
        <v>1500</v>
      </c>
      <c r="U48" t="str">
        <v>20229T-BARO CARDONA JOSEP</v>
      </c>
    </row>
    <row r="49" spans="1:21" x14ac:dyDescent="0.25">
      <c r="A49" t="str">
        <v>2025-11-21</v>
      </c>
      <c r="B49" t="str">
        <v>20358T-CA L.IGNASI-L:39-N:4-A:3003-POLLO AMARILLO MIXTO</v>
      </c>
      <c r="C49" t="str">
        <v>POLLO AMARILLO MIXTO</v>
      </c>
      <c r="D49">
        <v>37874</v>
      </c>
      <c r="E49" t="str">
        <v>Broiler Amarillo</v>
      </c>
      <c r="F49">
        <v>29</v>
      </c>
      <c r="G49">
        <v>38520</v>
      </c>
      <c r="H49" t="str">
        <v>Abierto</v>
      </c>
      <c r="I49">
        <v>1.609</v>
      </c>
      <c r="J49">
        <v>1.60917</v>
      </c>
      <c r="K49">
        <v>1.6060000000000001</v>
      </c>
      <c r="L49">
        <v>0</v>
      </c>
      <c r="M49">
        <v>659</v>
      </c>
      <c r="N49">
        <v>1109</v>
      </c>
      <c r="O49">
        <v>37874</v>
      </c>
      <c r="P49">
        <v>60939.266000000003</v>
      </c>
      <c r="Q49">
        <v>0.99634</v>
      </c>
      <c r="R49" s="45">
        <v>30.469633000000002</v>
      </c>
      <c r="S49" s="45">
        <v>30.469633000000002</v>
      </c>
      <c r="T49">
        <v>2000</v>
      </c>
      <c r="U49" t="str">
        <v>20358T-CA L.IGNASI</v>
      </c>
    </row>
    <row r="50" spans="1:21" x14ac:dyDescent="0.25">
      <c r="A50" t="str">
        <v>2025-11-21</v>
      </c>
      <c r="B50" t="str">
        <v>20242T-ELS PLANS DE PENINA-L:38-N:2-A:3002-POLLO AMARILLO HEMBRAS</v>
      </c>
      <c r="C50" t="str">
        <v>POLLO AMARILLO HEMBRAS</v>
      </c>
      <c r="D50">
        <v>14370</v>
      </c>
      <c r="E50" t="str">
        <v>Broiler Amarillo</v>
      </c>
      <c r="F50">
        <v>32</v>
      </c>
      <c r="G50">
        <v>14800</v>
      </c>
      <c r="H50" t="str">
        <v>Abierto</v>
      </c>
      <c r="I50">
        <v>1.5680000000000001</v>
      </c>
      <c r="J50">
        <v>1.5680000000000001</v>
      </c>
      <c r="K50">
        <v>1.7390000000000001</v>
      </c>
      <c r="L50">
        <v>0</v>
      </c>
      <c r="M50">
        <v>435</v>
      </c>
      <c r="N50">
        <v>413</v>
      </c>
      <c r="O50">
        <v>28610</v>
      </c>
      <c r="P50">
        <v>47922.080000000002</v>
      </c>
      <c r="Q50">
        <v>0.95333000000000001</v>
      </c>
      <c r="R50" s="45">
        <v>28.525047619047619</v>
      </c>
      <c r="S50" s="45">
        <v>28.525047619047619</v>
      </c>
      <c r="T50">
        <v>1680</v>
      </c>
      <c r="U50" t="str">
        <v>20242T-ELS PLANS DE PENINA</v>
      </c>
    </row>
    <row r="51" spans="1:21" x14ac:dyDescent="0.25">
      <c r="A51" t="str">
        <v>2025-11-21</v>
      </c>
      <c r="B51" t="str">
        <v>20242T-ELS PLANS DE PENINA-L:38-N:1-A:3002-POLLO AMARILLO HEMBRAS</v>
      </c>
      <c r="C51" t="str">
        <v>POLLO AMARILLO HEMBRAS</v>
      </c>
      <c r="D51">
        <v>14298</v>
      </c>
      <c r="E51" t="str">
        <v>Broiler Amarillo</v>
      </c>
      <c r="F51">
        <v>32</v>
      </c>
      <c r="G51">
        <v>14800</v>
      </c>
      <c r="H51" t="str">
        <v>Abierto</v>
      </c>
      <c r="I51">
        <v>1.5580000000000001</v>
      </c>
      <c r="J51">
        <v>1.5580000000000001</v>
      </c>
      <c r="K51">
        <v>1.7390000000000001</v>
      </c>
      <c r="L51">
        <v>0</v>
      </c>
      <c r="M51">
        <v>507</v>
      </c>
      <c r="N51">
        <v>444</v>
      </c>
      <c r="O51">
        <v>28738</v>
      </c>
      <c r="P51">
        <v>47849.523999999998</v>
      </c>
      <c r="Q51">
        <v>0.95760000000000001</v>
      </c>
      <c r="R51" s="45">
        <v>28.481859523809526</v>
      </c>
      <c r="S51" s="45">
        <v>28.481859523809526</v>
      </c>
      <c r="T51">
        <v>1680</v>
      </c>
      <c r="U51" t="str">
        <v>20242T-ELS PLANS DE PENINA</v>
      </c>
    </row>
    <row r="52" spans="1:21" x14ac:dyDescent="0.25">
      <c r="A52" t="str">
        <v>2025-11-21</v>
      </c>
      <c r="B52" t="str">
        <v>20241T-GALLMENS S.C.P. naus 1,2,3-L:41-N:3-A:3003-POLLO AMARILLO MIXTO</v>
      </c>
      <c r="C52" t="str">
        <v>POLLO AMARILLO MIXTO</v>
      </c>
      <c r="D52">
        <v>20552</v>
      </c>
      <c r="E52" t="str">
        <v>Broiler Amarillo</v>
      </c>
      <c r="F52">
        <v>29</v>
      </c>
      <c r="G52">
        <v>21000</v>
      </c>
      <c r="H52" t="str">
        <v>Abierto</v>
      </c>
      <c r="I52">
        <v>1.5569999999999999</v>
      </c>
      <c r="J52">
        <v>1.5186500000000001</v>
      </c>
      <c r="K52">
        <v>1.6060000000000001</v>
      </c>
      <c r="L52">
        <v>0</v>
      </c>
      <c r="M52">
        <v>455</v>
      </c>
      <c r="N52">
        <v>603</v>
      </c>
      <c r="O52">
        <v>20552</v>
      </c>
      <c r="P52">
        <v>31999.464</v>
      </c>
      <c r="Q52">
        <v>0.93386000000000002</v>
      </c>
      <c r="R52" s="45">
        <v>26.666219999999999</v>
      </c>
      <c r="S52" s="45">
        <v>26.666219999999999</v>
      </c>
      <c r="T52">
        <v>1200</v>
      </c>
      <c r="U52" t="str">
        <v>20241T-GALLMENS S.C.P. naus 1,2,3</v>
      </c>
    </row>
    <row r="53" spans="1:21" x14ac:dyDescent="0.25">
      <c r="A53" t="str">
        <v>2025-11-21</v>
      </c>
      <c r="B53" t="str">
        <v>20229T-BARO CARDONA JOSEP-L:40-N:1-A:3001-POLLO AMARILLO MACHO</v>
      </c>
      <c r="C53" t="str">
        <v>POLLO AMARILLO MACHO</v>
      </c>
      <c r="D53">
        <v>14001</v>
      </c>
      <c r="E53" t="str">
        <v>Broiler Amarillo</v>
      </c>
      <c r="F53">
        <v>28</v>
      </c>
      <c r="G53">
        <v>14600</v>
      </c>
      <c r="H53" t="str">
        <v>Abierto</v>
      </c>
      <c r="I53">
        <v>1.5469999999999999</v>
      </c>
      <c r="J53">
        <v>1.5361899999999999</v>
      </c>
      <c r="K53">
        <v>1.601</v>
      </c>
      <c r="L53">
        <v>0</v>
      </c>
      <c r="M53">
        <v>604</v>
      </c>
      <c r="N53">
        <v>416</v>
      </c>
      <c r="O53">
        <v>28088</v>
      </c>
      <c r="P53">
        <v>40930.563000000002</v>
      </c>
      <c r="Q53">
        <v>1.0027900000000001</v>
      </c>
      <c r="R53" s="45">
        <v>25.203548645320197</v>
      </c>
      <c r="S53" s="45">
        <v>25.203548645320197</v>
      </c>
      <c r="T53">
        <v>1624</v>
      </c>
      <c r="U53" t="str">
        <v>20229T-BARO CARDONA JOSEP</v>
      </c>
    </row>
    <row r="54" spans="1:21" x14ac:dyDescent="0.25">
      <c r="A54" t="str">
        <v>2025-11-21</v>
      </c>
      <c r="B54" t="str">
        <v>20229T-BARO CARDONA JOSEP-L:40-N:2-A:3002-POLLO AMARILLO HEMBRAS</v>
      </c>
      <c r="C54" t="str">
        <v>POLLO AMARILLO HEMBRAS</v>
      </c>
      <c r="D54">
        <v>12846</v>
      </c>
      <c r="E54" t="str">
        <v>Broiler Amarillo</v>
      </c>
      <c r="F54">
        <v>28</v>
      </c>
      <c r="G54">
        <v>14000</v>
      </c>
      <c r="H54" t="str">
        <v>Abierto</v>
      </c>
      <c r="I54">
        <v>1.4279999999999999</v>
      </c>
      <c r="J54">
        <v>1.4267399999999999</v>
      </c>
      <c r="K54">
        <v>1.4350000000000001</v>
      </c>
      <c r="L54">
        <v>0</v>
      </c>
      <c r="M54">
        <v>1159</v>
      </c>
      <c r="N54">
        <v>407</v>
      </c>
      <c r="O54">
        <v>25666</v>
      </c>
      <c r="P54">
        <v>39074.027999999998</v>
      </c>
      <c r="Q54">
        <v>0.93294999999999995</v>
      </c>
      <c r="R54" s="45">
        <v>26.049351999999999</v>
      </c>
      <c r="S54" s="45">
        <v>26.049351999999999</v>
      </c>
      <c r="T54">
        <v>1500</v>
      </c>
      <c r="U54" t="str">
        <v>20229T-BARO CARDONA JOSEP</v>
      </c>
    </row>
    <row r="55" spans="1:21" x14ac:dyDescent="0.25">
      <c r="A55" t="str">
        <v>2025-11-21</v>
      </c>
      <c r="B55" t="str">
        <v>20241T-GALLMENS S.C.P. naus 1,2,3-L:41-N:2-A:3002-POLLO AMARILLO HEMBRAS</v>
      </c>
      <c r="C55" t="str">
        <v>POLLO AMARILLO HEMBRAS</v>
      </c>
      <c r="D55">
        <v>8844</v>
      </c>
      <c r="E55" t="str">
        <v>Broiler Amarillo</v>
      </c>
      <c r="F55">
        <v>29</v>
      </c>
      <c r="G55">
        <v>9000</v>
      </c>
      <c r="H55" t="str">
        <v>Abierto</v>
      </c>
      <c r="I55">
        <v>1.4239999999999999</v>
      </c>
      <c r="J55">
        <v>1.3607100000000001</v>
      </c>
      <c r="K55">
        <v>1.51</v>
      </c>
      <c r="L55">
        <v>0</v>
      </c>
      <c r="M55">
        <v>159</v>
      </c>
      <c r="N55">
        <v>260</v>
      </c>
      <c r="O55">
        <v>18107</v>
      </c>
      <c r="P55">
        <v>27683.282999999999</v>
      </c>
      <c r="Q55">
        <v>1.0056099999999999</v>
      </c>
      <c r="R55" s="45">
        <v>26.695547733847636</v>
      </c>
      <c r="S55" s="45">
        <v>26.695547733847636</v>
      </c>
      <c r="T55">
        <v>1037</v>
      </c>
      <c r="U55" t="str">
        <v>20241T-GALLMENS S.C.P. naus 1,2,3</v>
      </c>
    </row>
    <row r="56" spans="1:21" x14ac:dyDescent="0.25">
      <c r="A56" t="str">
        <v>2025-11-21</v>
      </c>
      <c r="B56" t="str">
        <v>20399T-GRANJA TONIC-L:40-N:1-A:3002-POLLO AMARILLO HEMBRAS</v>
      </c>
      <c r="C56" t="str">
        <v>POLLO AMARILLO HEMBRAS</v>
      </c>
      <c r="D56">
        <v>15183</v>
      </c>
      <c r="E56" t="str">
        <v>Broiler Amarillo</v>
      </c>
      <c r="F56">
        <v>28</v>
      </c>
      <c r="G56">
        <v>15800</v>
      </c>
      <c r="H56" t="str">
        <v>Abierto</v>
      </c>
      <c r="I56">
        <v>1.373</v>
      </c>
      <c r="J56">
        <v>1.3246199999999999</v>
      </c>
      <c r="K56">
        <v>1.4350000000000001</v>
      </c>
      <c r="L56">
        <v>0</v>
      </c>
      <c r="M56">
        <v>619</v>
      </c>
      <c r="N56">
        <v>136</v>
      </c>
      <c r="O56">
        <v>30396</v>
      </c>
      <c r="P56">
        <v>39451.758000000002</v>
      </c>
      <c r="Q56">
        <v>0</v>
      </c>
      <c r="R56" s="45">
        <v>24.534675373134327</v>
      </c>
      <c r="S56" s="45">
        <v>24.534675373134327</v>
      </c>
      <c r="T56">
        <v>1608</v>
      </c>
      <c r="U56" t="str">
        <v>20399T-GRANJA TONIC</v>
      </c>
    </row>
    <row r="57" spans="1:21" x14ac:dyDescent="0.25">
      <c r="A57" t="str">
        <v>2025-11-21</v>
      </c>
      <c r="B57" t="str">
        <v>20229T-BARO CARDONA JOSEP-L:40-N:1-A:3002-POLLO AMARILLO HEMBRAS</v>
      </c>
      <c r="C57" t="str">
        <v>POLLO AMARILLO HEMBRAS</v>
      </c>
      <c r="D57">
        <v>14087</v>
      </c>
      <c r="E57" t="str">
        <v>Broiler Amarillo</v>
      </c>
      <c r="F57">
        <v>28</v>
      </c>
      <c r="G57">
        <v>14600</v>
      </c>
      <c r="H57" t="str">
        <v>Abierto</v>
      </c>
      <c r="I57">
        <v>1.3680000000000001</v>
      </c>
      <c r="J57">
        <v>1.35599</v>
      </c>
      <c r="K57">
        <v>1.4350000000000001</v>
      </c>
      <c r="L57">
        <v>0</v>
      </c>
      <c r="M57">
        <v>518</v>
      </c>
      <c r="N57">
        <v>416</v>
      </c>
      <c r="O57">
        <v>28088</v>
      </c>
      <c r="P57">
        <v>40930.563000000002</v>
      </c>
      <c r="Q57">
        <v>1.0027900000000001</v>
      </c>
      <c r="R57" s="45">
        <v>25.203548645320197</v>
      </c>
      <c r="S57" s="45">
        <v>25.203548645320197</v>
      </c>
      <c r="T57">
        <v>1624</v>
      </c>
      <c r="U57" t="str">
        <v>20229T-BARO CARDONA JOSEP</v>
      </c>
    </row>
    <row r="58" spans="1:21" x14ac:dyDescent="0.25">
      <c r="A58" t="str">
        <v>2025-11-21</v>
      </c>
      <c r="B58" t="str">
        <v>20358T-CA L.IGNASI-L:39-N:1-A:3001-POLLO AMARILLO MACHO</v>
      </c>
      <c r="C58" t="str">
        <v>POLLO AMARILLO MACHO</v>
      </c>
      <c r="D58">
        <v>17383</v>
      </c>
      <c r="E58" t="str">
        <v>Broiler Amarillo</v>
      </c>
      <c r="F58">
        <v>25</v>
      </c>
      <c r="G58">
        <v>17800</v>
      </c>
      <c r="H58" t="str">
        <v>Abierto</v>
      </c>
      <c r="I58">
        <v>1.347</v>
      </c>
      <c r="J58">
        <v>1.3663000000000001</v>
      </c>
      <c r="K58">
        <v>1.3340000000000001</v>
      </c>
      <c r="L58">
        <v>0</v>
      </c>
      <c r="M58">
        <v>423</v>
      </c>
      <c r="N58">
        <v>491</v>
      </c>
      <c r="O58">
        <v>34897</v>
      </c>
      <c r="P58">
        <v>45132.260999999999</v>
      </c>
      <c r="Q58">
        <v>0.96902999999999995</v>
      </c>
      <c r="R58" s="45">
        <v>23.955552547770701</v>
      </c>
      <c r="S58" s="45">
        <v>23.955552547770701</v>
      </c>
      <c r="T58">
        <v>1884</v>
      </c>
      <c r="U58" t="str">
        <v>20358T-CA L.IGNASI</v>
      </c>
    </row>
    <row r="59" spans="1:21" x14ac:dyDescent="0.25">
      <c r="A59" t="str">
        <v>2025-11-21</v>
      </c>
      <c r="B59" t="str">
        <v>20358T-CA L.IGNASI-L:39-N:3-A:3001-POLLO AMARILLO MACHO</v>
      </c>
      <c r="C59" t="str">
        <v>POLLO AMARILLO MACHO</v>
      </c>
      <c r="D59">
        <v>18454</v>
      </c>
      <c r="E59" t="str">
        <v>Broiler Amarillo</v>
      </c>
      <c r="F59">
        <v>25</v>
      </c>
      <c r="G59">
        <v>18800</v>
      </c>
      <c r="H59" t="str">
        <v>Abierto</v>
      </c>
      <c r="I59">
        <v>1.327</v>
      </c>
      <c r="J59">
        <v>1.3166599999999999</v>
      </c>
      <c r="K59">
        <v>1.3340000000000001</v>
      </c>
      <c r="L59">
        <v>0</v>
      </c>
      <c r="M59">
        <v>353</v>
      </c>
      <c r="N59">
        <v>525</v>
      </c>
      <c r="O59">
        <v>37073</v>
      </c>
      <c r="P59">
        <v>47203.637999999999</v>
      </c>
      <c r="Q59">
        <v>0.97524</v>
      </c>
      <c r="R59" s="45">
        <v>23.649117234468939</v>
      </c>
      <c r="S59" s="45">
        <v>23.649117234468939</v>
      </c>
      <c r="T59">
        <v>1996</v>
      </c>
      <c r="U59" t="str">
        <v>20358T-CA L.IGNASI</v>
      </c>
    </row>
    <row r="60" spans="1:21" x14ac:dyDescent="0.25">
      <c r="A60" t="str">
        <v>2025-11-21</v>
      </c>
      <c r="B60" t="str">
        <v>20388T-GRANJA CAMAR-L:39-N:1-A:3001-POLLO AMARILLO MACHO</v>
      </c>
      <c r="C60" t="str">
        <v>POLLO AMARILLO MACHO</v>
      </c>
      <c r="D60">
        <v>15503</v>
      </c>
      <c r="E60" t="str">
        <v>Broiler Amarillo</v>
      </c>
      <c r="F60">
        <v>24</v>
      </c>
      <c r="G60">
        <v>16400</v>
      </c>
      <c r="H60" t="str">
        <v>Abierto</v>
      </c>
      <c r="I60">
        <v>1.3140000000000001</v>
      </c>
      <c r="J60">
        <v>1.41777</v>
      </c>
      <c r="K60">
        <v>1.2490000000000001</v>
      </c>
      <c r="L60">
        <v>0</v>
      </c>
      <c r="M60">
        <v>903</v>
      </c>
      <c r="N60">
        <v>451</v>
      </c>
      <c r="O60">
        <v>31547</v>
      </c>
      <c r="P60">
        <v>39752.093999999997</v>
      </c>
      <c r="Q60">
        <v>0.98563000000000001</v>
      </c>
      <c r="R60" s="45">
        <v>21.604398913043479</v>
      </c>
      <c r="S60" s="45">
        <v>21.604398913043479</v>
      </c>
      <c r="T60">
        <v>1840</v>
      </c>
      <c r="U60" t="str">
        <v>20388T-GRANJA CAMAR</v>
      </c>
    </row>
    <row r="61" spans="1:21" x14ac:dyDescent="0.25">
      <c r="A61" t="str">
        <v>2025-11-21</v>
      </c>
      <c r="B61" t="str">
        <v>20358T-CA L.IGNASI-L:39-N:2-A:3003-POLLO AMARILLO MIXTO</v>
      </c>
      <c r="C61" t="str">
        <v>POLLO AMARILLO MIXTO</v>
      </c>
      <c r="D61">
        <v>34782</v>
      </c>
      <c r="E61" t="str">
        <v>Broiler Amarillo</v>
      </c>
      <c r="F61">
        <v>25</v>
      </c>
      <c r="G61">
        <v>35237</v>
      </c>
      <c r="H61" t="str">
        <v>Abierto</v>
      </c>
      <c r="I61">
        <v>1.2589999999999999</v>
      </c>
      <c r="J61">
        <v>1.23482</v>
      </c>
      <c r="K61">
        <v>1.276</v>
      </c>
      <c r="L61">
        <v>0</v>
      </c>
      <c r="M61">
        <v>467</v>
      </c>
      <c r="N61">
        <v>970</v>
      </c>
      <c r="O61">
        <v>34782</v>
      </c>
      <c r="P61">
        <v>43790.538</v>
      </c>
      <c r="Q61">
        <v>0.91500000000000004</v>
      </c>
      <c r="R61" s="45">
        <v>22.387800613496932</v>
      </c>
      <c r="S61" s="45">
        <v>22.387800613496932</v>
      </c>
      <c r="T61">
        <v>1956</v>
      </c>
      <c r="U61" t="str">
        <v>20358T-CA L.IGNASI</v>
      </c>
    </row>
    <row r="62" spans="1:21" x14ac:dyDescent="0.25">
      <c r="A62" t="str">
        <v>2025-11-21</v>
      </c>
      <c r="B62" t="str">
        <v>20358T-CA L.IGNASI-L:39-N:1-A:3002-POLLO AMARILLO HEMBRAS</v>
      </c>
      <c r="C62" t="str">
        <v>POLLO AMARILLO HEMBRAS</v>
      </c>
      <c r="D62">
        <v>17514</v>
      </c>
      <c r="E62" t="str">
        <v>Broiler Amarillo</v>
      </c>
      <c r="F62">
        <v>25</v>
      </c>
      <c r="G62">
        <v>17900</v>
      </c>
      <c r="H62" t="str">
        <v>Abierto</v>
      </c>
      <c r="I62">
        <v>1.24</v>
      </c>
      <c r="J62">
        <v>1.27115</v>
      </c>
      <c r="K62">
        <v>1.2170000000000001</v>
      </c>
      <c r="L62">
        <v>0</v>
      </c>
      <c r="M62">
        <v>392</v>
      </c>
      <c r="N62">
        <v>491</v>
      </c>
      <c r="O62">
        <v>34897</v>
      </c>
      <c r="P62">
        <v>45132.260999999999</v>
      </c>
      <c r="Q62">
        <v>0.96902999999999995</v>
      </c>
      <c r="R62" s="45">
        <v>23.955552547770701</v>
      </c>
      <c r="S62" s="45">
        <v>23.955552547770701</v>
      </c>
      <c r="T62">
        <v>1884</v>
      </c>
      <c r="U62" t="str">
        <v>20358T-CA L.IGNASI</v>
      </c>
    </row>
    <row r="63" spans="1:21" x14ac:dyDescent="0.25">
      <c r="A63" t="str">
        <v>2025-11-21</v>
      </c>
      <c r="B63" t="str">
        <v>20399T-GRANJA TONIC-L:40-N:1-A:3001-POLLO AMARILLO MACHO</v>
      </c>
      <c r="C63" t="str">
        <v>POLLO AMARILLO MACHO</v>
      </c>
      <c r="D63">
        <v>15213</v>
      </c>
      <c r="E63" t="str">
        <v>Broiler Amarillo</v>
      </c>
      <c r="F63">
        <v>28</v>
      </c>
      <c r="G63">
        <v>15900</v>
      </c>
      <c r="H63" t="str">
        <v>Abierto</v>
      </c>
      <c r="I63">
        <v>1.2230000000000001</v>
      </c>
      <c r="J63">
        <v>0.89563999999999999</v>
      </c>
      <c r="K63">
        <v>1.601</v>
      </c>
      <c r="L63">
        <v>0</v>
      </c>
      <c r="M63">
        <v>689</v>
      </c>
      <c r="N63">
        <v>136</v>
      </c>
      <c r="O63">
        <v>30396</v>
      </c>
      <c r="P63">
        <v>39451.758000000002</v>
      </c>
      <c r="Q63">
        <v>0</v>
      </c>
      <c r="R63" s="45">
        <v>24.534675373134327</v>
      </c>
      <c r="S63" s="45">
        <v>24.534675373134327</v>
      </c>
      <c r="T63">
        <v>1608</v>
      </c>
      <c r="U63" t="str">
        <v>20399T-GRANJA TONIC</v>
      </c>
    </row>
    <row r="64" spans="1:21" x14ac:dyDescent="0.25">
      <c r="A64" t="str">
        <v>2025-11-21</v>
      </c>
      <c r="B64" t="str">
        <v>20358T-CA L.IGNASI-L:39-N:3-A:3002-POLLO AMARILLO HEMBRAS</v>
      </c>
      <c r="C64" t="str">
        <v>POLLO AMARILLO HEMBRAS</v>
      </c>
      <c r="D64">
        <v>18619</v>
      </c>
      <c r="E64" t="str">
        <v>Broiler Amarillo</v>
      </c>
      <c r="F64">
        <v>25</v>
      </c>
      <c r="G64">
        <v>18900</v>
      </c>
      <c r="H64" t="str">
        <v>Abierto</v>
      </c>
      <c r="I64">
        <v>1.22</v>
      </c>
      <c r="J64">
        <v>1.2240599999999999</v>
      </c>
      <c r="K64">
        <v>1.2170000000000001</v>
      </c>
      <c r="L64">
        <v>0</v>
      </c>
      <c r="M64">
        <v>288</v>
      </c>
      <c r="N64">
        <v>525</v>
      </c>
      <c r="O64">
        <v>37073</v>
      </c>
      <c r="P64">
        <v>47203.637999999999</v>
      </c>
      <c r="Q64">
        <v>0.97524</v>
      </c>
      <c r="R64" s="45">
        <v>23.649117234468939</v>
      </c>
      <c r="S64" s="45">
        <v>23.649117234468939</v>
      </c>
      <c r="T64">
        <v>1996</v>
      </c>
      <c r="U64" t="str">
        <v>20358T-CA L.IGNASI</v>
      </c>
    </row>
    <row r="65" spans="1:21" x14ac:dyDescent="0.25">
      <c r="A65" t="str">
        <v>2025-11-21</v>
      </c>
      <c r="B65" t="str">
        <v>20388T-GRANJA CAMAR-L:39-N:1-A:3002-POLLO AMARILLO HEMBRAS</v>
      </c>
      <c r="C65" t="str">
        <v>POLLO AMARILLO HEMBRAS</v>
      </c>
      <c r="D65">
        <v>16044</v>
      </c>
      <c r="E65" t="str">
        <v>Broiler Amarillo</v>
      </c>
      <c r="F65">
        <v>24</v>
      </c>
      <c r="G65">
        <v>16400</v>
      </c>
      <c r="H65" t="str">
        <v>Abierto</v>
      </c>
      <c r="I65">
        <v>1.208</v>
      </c>
      <c r="J65">
        <v>1.29945</v>
      </c>
      <c r="K65">
        <v>1.145</v>
      </c>
      <c r="L65">
        <v>0</v>
      </c>
      <c r="M65">
        <v>357</v>
      </c>
      <c r="N65">
        <v>61</v>
      </c>
      <c r="O65">
        <v>31547</v>
      </c>
      <c r="P65">
        <v>39752.093999999997</v>
      </c>
      <c r="Q65">
        <v>0.98563000000000001</v>
      </c>
      <c r="R65" s="45">
        <v>21.604398913043479</v>
      </c>
      <c r="S65" s="45">
        <v>21.604398913043479</v>
      </c>
      <c r="T65">
        <v>1840</v>
      </c>
      <c r="U65" t="str">
        <v>20388T-GRANJA CAMAR</v>
      </c>
    </row>
    <row r="66" spans="1:21" x14ac:dyDescent="0.25">
      <c r="A66" t="str">
        <v>2025-11-21</v>
      </c>
      <c r="B66" t="str">
        <v>20260T-DUARRI-MANONELLES SCP naus 1,2,3,4-L:39-N:4-A:3001-POLLO AMARILLO MACHO</v>
      </c>
      <c r="C66" t="str">
        <v>POLLO AMARILLO MACHO</v>
      </c>
      <c r="D66">
        <v>5014</v>
      </c>
      <c r="E66" t="str">
        <v>Broiler Amarillo</v>
      </c>
      <c r="F66">
        <v>22</v>
      </c>
      <c r="G66">
        <v>5100</v>
      </c>
      <c r="H66" t="str">
        <v>Abierto</v>
      </c>
      <c r="I66">
        <v>1.1220000000000001</v>
      </c>
      <c r="J66">
        <v>1.12486</v>
      </c>
      <c r="K66">
        <v>1.085</v>
      </c>
      <c r="L66">
        <v>0</v>
      </c>
      <c r="M66">
        <v>88</v>
      </c>
      <c r="N66">
        <v>135</v>
      </c>
      <c r="O66">
        <v>5014</v>
      </c>
      <c r="P66">
        <v>5625.7079999999996</v>
      </c>
      <c r="Q66">
        <v>1.0024</v>
      </c>
      <c r="R66" s="45">
        <v>13.822378378378378</v>
      </c>
      <c r="S66" s="45">
        <v>13.822378378378378</v>
      </c>
      <c r="T66">
        <v>407</v>
      </c>
      <c r="U66" t="str">
        <v>20260T-DUARRI-MANONELLES SCP naus 1,2,3,4</v>
      </c>
    </row>
    <row r="67" spans="1:21" x14ac:dyDescent="0.25">
      <c r="A67" t="str">
        <v>2025-11-21</v>
      </c>
      <c r="B67" t="str">
        <v>20260T-DUARRI-MANONELLES SCP naus 1,2,3,4-L:39-N:2-A:3001-POLLO AMARILLO MACHO</v>
      </c>
      <c r="C67" t="str">
        <v>POLLO AMARILLO MACHO</v>
      </c>
      <c r="D67">
        <v>13325</v>
      </c>
      <c r="E67" t="str">
        <v>Broiler Amarillo</v>
      </c>
      <c r="F67">
        <v>22</v>
      </c>
      <c r="G67">
        <v>13600</v>
      </c>
      <c r="H67" t="str">
        <v>Abierto</v>
      </c>
      <c r="I67">
        <v>1.099</v>
      </c>
      <c r="J67">
        <v>1.1000799999999999</v>
      </c>
      <c r="K67">
        <v>1.085</v>
      </c>
      <c r="L67">
        <v>0</v>
      </c>
      <c r="M67">
        <v>280</v>
      </c>
      <c r="N67">
        <v>363</v>
      </c>
      <c r="O67">
        <v>31726</v>
      </c>
      <c r="P67">
        <v>33100.377999999997</v>
      </c>
      <c r="Q67">
        <v>0.96103000000000005</v>
      </c>
      <c r="R67" s="45">
        <v>16.249571919489444</v>
      </c>
      <c r="S67" s="45">
        <v>16.249571919489444</v>
      </c>
      <c r="T67">
        <v>2037</v>
      </c>
      <c r="U67" t="str">
        <v>20260T-DUARRI-MANONELLES SCP naus 1,2,3,4</v>
      </c>
    </row>
    <row r="68" spans="1:21" x14ac:dyDescent="0.25">
      <c r="A68" t="str">
        <v>2025-11-21</v>
      </c>
      <c r="B68" t="str">
        <v>20260T-DUARRI-MANONELLES SCP naus 1,2,3,4-L:39-N:1-A:3001-POLLO AMARILLO MACHO</v>
      </c>
      <c r="C68" t="str">
        <v>POLLO AMARILLO MACHO</v>
      </c>
      <c r="D68">
        <v>8893</v>
      </c>
      <c r="E68" t="str">
        <v>Broiler Amarillo</v>
      </c>
      <c r="F68">
        <v>22</v>
      </c>
      <c r="G68">
        <v>9100</v>
      </c>
      <c r="H68" t="str">
        <v>Abierto</v>
      </c>
      <c r="I68">
        <v>1.097</v>
      </c>
      <c r="J68">
        <v>1.0979300000000001</v>
      </c>
      <c r="K68">
        <v>1.085</v>
      </c>
      <c r="L68">
        <v>0</v>
      </c>
      <c r="M68">
        <v>210</v>
      </c>
      <c r="N68">
        <v>242</v>
      </c>
      <c r="O68">
        <v>17855</v>
      </c>
      <c r="P68">
        <v>18699.697</v>
      </c>
      <c r="Q68">
        <v>1.1155600000000001</v>
      </c>
      <c r="R68" s="45">
        <v>15.74048569023569</v>
      </c>
      <c r="S68" s="45">
        <v>15.74048569023569</v>
      </c>
      <c r="T68">
        <v>1188</v>
      </c>
      <c r="U68" t="str">
        <v>20260T-DUARRI-MANONELLES SCP naus 1,2,3,4</v>
      </c>
    </row>
    <row r="69" spans="1:21" x14ac:dyDescent="0.25">
      <c r="A69" t="str">
        <v>2025-11-21</v>
      </c>
      <c r="B69" t="str">
        <v>20228T-DE FEBRER ROSAS JOSEP M.-L:40-N:1-A:3001-POLLO AMARILLO MACHO</v>
      </c>
      <c r="C69" t="str">
        <v>POLLO AMARILLO MACHO</v>
      </c>
      <c r="D69">
        <v>15294</v>
      </c>
      <c r="E69" t="str">
        <v>Broiler Amarillo</v>
      </c>
      <c r="F69">
        <v>21</v>
      </c>
      <c r="G69">
        <v>15800</v>
      </c>
      <c r="H69" t="str">
        <v>Abierto</v>
      </c>
      <c r="I69">
        <v>1.012</v>
      </c>
      <c r="J69">
        <v>1.0334700000000001</v>
      </c>
      <c r="K69">
        <v>1.0069999999999999</v>
      </c>
      <c r="L69">
        <v>0</v>
      </c>
      <c r="M69">
        <v>511</v>
      </c>
      <c r="N69">
        <v>392</v>
      </c>
      <c r="O69">
        <v>31044</v>
      </c>
      <c r="P69">
        <v>30266.777999999998</v>
      </c>
      <c r="Q69">
        <v>0.94038999999999995</v>
      </c>
      <c r="R69" s="45">
        <v>17.699870175438598</v>
      </c>
      <c r="S69" s="45">
        <v>17.699870175438598</v>
      </c>
      <c r="T69">
        <v>1710</v>
      </c>
      <c r="U69" t="str">
        <v>20228T-DE FEBRER ROSAS JOSEP M.</v>
      </c>
    </row>
    <row r="70" spans="1:21" x14ac:dyDescent="0.25">
      <c r="A70" t="str">
        <v>2025-11-21</v>
      </c>
      <c r="B70" t="str">
        <v>20228T-DE FEBRER ROSAS JOSEP M.-L:40-N:2-A:3001-POLLO AMARILLO MACHO</v>
      </c>
      <c r="C70" t="str">
        <v>POLLO AMARILLO MACHO</v>
      </c>
      <c r="D70">
        <v>15532</v>
      </c>
      <c r="E70" t="str">
        <v>Broiler Amarillo</v>
      </c>
      <c r="F70">
        <v>21</v>
      </c>
      <c r="G70">
        <v>15800</v>
      </c>
      <c r="H70" t="str">
        <v>Abierto</v>
      </c>
      <c r="I70">
        <v>1.0109999999999999</v>
      </c>
      <c r="J70">
        <v>1.02824</v>
      </c>
      <c r="K70">
        <v>1.0069999999999999</v>
      </c>
      <c r="L70">
        <v>0</v>
      </c>
      <c r="M70">
        <v>273</v>
      </c>
      <c r="N70">
        <v>405</v>
      </c>
      <c r="O70">
        <v>31424</v>
      </c>
      <c r="P70">
        <v>30577.763999999999</v>
      </c>
      <c r="Q70">
        <v>0.89768999999999999</v>
      </c>
      <c r="R70" s="45">
        <v>16.987646666666667</v>
      </c>
      <c r="S70" s="45">
        <v>16.987646666666667</v>
      </c>
      <c r="T70">
        <v>1800</v>
      </c>
      <c r="U70" t="str">
        <v>20228T-DE FEBRER ROSAS JOSEP M.</v>
      </c>
    </row>
    <row r="71" spans="1:21" x14ac:dyDescent="0.25">
      <c r="A71" t="str">
        <v>2025-11-21</v>
      </c>
      <c r="B71" t="str">
        <v>20260T-DUARRI-MANONELLES SCP naus 1,2,3,4-L:39-N:2-A:3002-POLLO AMARILLO HEMBRAS</v>
      </c>
      <c r="C71" t="str">
        <v>POLLO AMARILLO HEMBRAS</v>
      </c>
      <c r="D71">
        <v>18401</v>
      </c>
      <c r="E71" t="str">
        <v>Broiler Amarillo</v>
      </c>
      <c r="F71">
        <v>22</v>
      </c>
      <c r="G71">
        <v>18700</v>
      </c>
      <c r="H71" t="str">
        <v>Abierto</v>
      </c>
      <c r="I71">
        <v>1.0029999999999999</v>
      </c>
      <c r="J71">
        <v>1.0028600000000001</v>
      </c>
      <c r="K71">
        <v>1.0049999999999999</v>
      </c>
      <c r="L71">
        <v>0</v>
      </c>
      <c r="M71">
        <v>306</v>
      </c>
      <c r="N71">
        <v>502</v>
      </c>
      <c r="O71">
        <v>31726</v>
      </c>
      <c r="P71">
        <v>33100.377999999997</v>
      </c>
      <c r="Q71">
        <v>0.96103000000000005</v>
      </c>
      <c r="R71" s="45">
        <v>16.249571919489444</v>
      </c>
      <c r="S71" s="45">
        <v>16.249571919489444</v>
      </c>
      <c r="T71">
        <v>2037</v>
      </c>
      <c r="U71" t="str">
        <v>20260T-DUARRI-MANONELLES SCP naus 1,2,3,4</v>
      </c>
    </row>
    <row r="72" spans="1:21" x14ac:dyDescent="0.25">
      <c r="A72" t="str">
        <v>2025-11-21</v>
      </c>
      <c r="B72" t="str">
        <v>20260T-DUARRI-MANONELLES SCP naus 1,2,3,4-L:39-N:1-A:3002-POLLO AMARILLO HEMBRAS</v>
      </c>
      <c r="C72" t="str">
        <v>POLLO AMARILLO HEMBRAS</v>
      </c>
      <c r="D72">
        <v>8962</v>
      </c>
      <c r="E72" t="str">
        <v>Broiler Amarillo</v>
      </c>
      <c r="F72">
        <v>22</v>
      </c>
      <c r="G72">
        <v>9100</v>
      </c>
      <c r="H72" t="str">
        <v>Abierto</v>
      </c>
      <c r="I72">
        <v>0.998</v>
      </c>
      <c r="J72">
        <v>0.99748000000000003</v>
      </c>
      <c r="K72">
        <v>1.0049999999999999</v>
      </c>
      <c r="L72">
        <v>0</v>
      </c>
      <c r="M72">
        <v>141</v>
      </c>
      <c r="N72">
        <v>242</v>
      </c>
      <c r="O72">
        <v>17855</v>
      </c>
      <c r="P72">
        <v>18699.697</v>
      </c>
      <c r="Q72">
        <v>1.1155600000000001</v>
      </c>
      <c r="R72" s="45">
        <v>15.74048569023569</v>
      </c>
      <c r="S72" s="45">
        <v>15.74048569023569</v>
      </c>
      <c r="T72">
        <v>1188</v>
      </c>
      <c r="U72" t="str">
        <v>20260T-DUARRI-MANONELLES SCP naus 1,2,3,4</v>
      </c>
    </row>
    <row r="73" spans="1:21" x14ac:dyDescent="0.25">
      <c r="A73" t="str">
        <v>2025-11-21</v>
      </c>
      <c r="B73" t="str">
        <v>20260T-DUARRI-MANONELLES SCP naus 1,2,3,4-L:39-N:3-A:3003-POLLO AMARILLO MIXTO</v>
      </c>
      <c r="C73" t="str">
        <v>POLLO AMARILLO MIXTO</v>
      </c>
      <c r="D73">
        <v>19836</v>
      </c>
      <c r="E73" t="str">
        <v>Broiler Amarillo</v>
      </c>
      <c r="F73">
        <v>22</v>
      </c>
      <c r="G73">
        <v>20600</v>
      </c>
      <c r="H73" t="str">
        <v>Abierto</v>
      </c>
      <c r="I73">
        <v>0.996</v>
      </c>
      <c r="J73">
        <v>0.99231999999999998</v>
      </c>
      <c r="K73">
        <v>1.0449999999999999</v>
      </c>
      <c r="L73">
        <v>0</v>
      </c>
      <c r="M73">
        <v>771</v>
      </c>
      <c r="N73">
        <v>548</v>
      </c>
      <c r="O73">
        <v>19836</v>
      </c>
      <c r="P73">
        <v>19756.655999999999</v>
      </c>
      <c r="Q73">
        <v>0.99145000000000005</v>
      </c>
      <c r="R73" s="45">
        <v>16.799877551020408</v>
      </c>
      <c r="S73" s="45">
        <v>16.799877551020408</v>
      </c>
      <c r="T73">
        <v>1176</v>
      </c>
      <c r="U73" t="str">
        <v>20260T-DUARRI-MANONELLES SCP naus 1,2,3,4</v>
      </c>
    </row>
    <row r="74" spans="1:21" x14ac:dyDescent="0.25">
      <c r="A74" t="str">
        <v>2025-11-21</v>
      </c>
      <c r="B74" t="str">
        <v>20388T-GRANJA CAMAR-L:39-N:2-A:3003-POLLO AMARILLO MIXTO</v>
      </c>
      <c r="C74" t="str">
        <v>POLLO AMARILLO MIXTO</v>
      </c>
      <c r="D74">
        <v>33494</v>
      </c>
      <c r="E74" t="str">
        <v>Broiler Amarillo</v>
      </c>
      <c r="F74">
        <v>22</v>
      </c>
      <c r="G74">
        <v>34200</v>
      </c>
      <c r="H74" t="str">
        <v>Abierto</v>
      </c>
      <c r="I74">
        <v>0.95799999999999996</v>
      </c>
      <c r="J74">
        <v>0.87248000000000003</v>
      </c>
      <c r="K74">
        <v>1.0449999999999999</v>
      </c>
      <c r="L74">
        <v>0</v>
      </c>
      <c r="M74">
        <v>709</v>
      </c>
      <c r="N74">
        <v>211</v>
      </c>
      <c r="O74">
        <v>33494</v>
      </c>
      <c r="P74">
        <v>32087.252</v>
      </c>
      <c r="Q74">
        <v>1.01488</v>
      </c>
      <c r="R74" s="45">
        <v>16.582559173126615</v>
      </c>
      <c r="S74" s="45">
        <v>16.582559173126615</v>
      </c>
      <c r="T74">
        <v>1935</v>
      </c>
      <c r="U74" t="str">
        <v>20388T-GRANJA CAMAR</v>
      </c>
    </row>
    <row r="75" spans="1:21" x14ac:dyDescent="0.25">
      <c r="A75" t="str">
        <v>2025-11-21</v>
      </c>
      <c r="B75" t="str">
        <v>20396T-CAL FITÓ-L:41-N:2-A:3001-POLLO AMARILLO MACHO</v>
      </c>
      <c r="C75" t="str">
        <v>POLLO AMARILLO MACHO</v>
      </c>
      <c r="D75">
        <v>16499</v>
      </c>
      <c r="E75" t="str">
        <v>Broiler Amarillo</v>
      </c>
      <c r="F75">
        <v>21</v>
      </c>
      <c r="G75">
        <v>16800</v>
      </c>
      <c r="H75" t="str">
        <v>Abierto</v>
      </c>
      <c r="I75">
        <v>0.94699999999999995</v>
      </c>
      <c r="J75">
        <v>0.86651999999999996</v>
      </c>
      <c r="K75">
        <v>1.0069999999999999</v>
      </c>
      <c r="L75">
        <v>0</v>
      </c>
      <c r="M75">
        <v>307</v>
      </c>
      <c r="N75">
        <v>444</v>
      </c>
      <c r="O75">
        <v>33422</v>
      </c>
      <c r="P75">
        <v>30296.794000000002</v>
      </c>
      <c r="Q75">
        <v>1.0034799999999999</v>
      </c>
      <c r="R75" s="45">
        <v>17.874214749262539</v>
      </c>
      <c r="S75" s="45">
        <v>17.874214749262539</v>
      </c>
      <c r="T75">
        <v>1695</v>
      </c>
      <c r="U75" t="str">
        <v>20396T-CAL FITÓ</v>
      </c>
    </row>
    <row r="76" spans="1:21" x14ac:dyDescent="0.25">
      <c r="A76" t="str">
        <v>2025-11-21</v>
      </c>
      <c r="B76" t="str">
        <v>20228T-DE FEBRER ROSAS JOSEP M.-L:40-N:1-A:3002-POLLO AMARILLO HEMBRAS</v>
      </c>
      <c r="C76" t="str">
        <v>POLLO AMARILLO HEMBRAS</v>
      </c>
      <c r="D76">
        <v>15750</v>
      </c>
      <c r="E76" t="str">
        <v>Broiler Amarillo</v>
      </c>
      <c r="F76">
        <v>21</v>
      </c>
      <c r="G76">
        <v>16100</v>
      </c>
      <c r="H76" t="str">
        <v>Abierto</v>
      </c>
      <c r="I76">
        <v>0.93899999999999995</v>
      </c>
      <c r="J76">
        <v>0.95079000000000002</v>
      </c>
      <c r="K76">
        <v>0.93600000000000005</v>
      </c>
      <c r="L76">
        <v>0</v>
      </c>
      <c r="M76">
        <v>356</v>
      </c>
      <c r="N76">
        <v>427</v>
      </c>
      <c r="O76">
        <v>31044</v>
      </c>
      <c r="P76">
        <v>30266.777999999998</v>
      </c>
      <c r="Q76">
        <v>0.94038999999999995</v>
      </c>
      <c r="R76" s="45">
        <v>17.699870175438598</v>
      </c>
      <c r="S76" s="45">
        <v>17.699870175438598</v>
      </c>
      <c r="T76">
        <v>1710</v>
      </c>
      <c r="U76" t="str">
        <v>20228T-DE FEBRER ROSAS JOSEP M.</v>
      </c>
    </row>
    <row r="77" spans="1:21" x14ac:dyDescent="0.25">
      <c r="A77" t="str">
        <v>2025-11-21</v>
      </c>
      <c r="B77" t="str">
        <v>20228T-DE FEBRER ROSAS JOSEP M.-L:40-N:2-A:3002-POLLO AMARILLO HEMBRAS</v>
      </c>
      <c r="C77" t="str">
        <v>POLLO AMARILLO HEMBRAS</v>
      </c>
      <c r="D77">
        <v>15892</v>
      </c>
      <c r="E77" t="str">
        <v>Broiler Amarillo</v>
      </c>
      <c r="F77">
        <v>21</v>
      </c>
      <c r="G77">
        <v>16100</v>
      </c>
      <c r="H77" t="str">
        <v>Abierto</v>
      </c>
      <c r="I77">
        <v>0.93600000000000005</v>
      </c>
      <c r="J77">
        <v>0.93600000000000005</v>
      </c>
      <c r="K77">
        <v>0.93600000000000005</v>
      </c>
      <c r="L77">
        <v>0</v>
      </c>
      <c r="M77">
        <v>208</v>
      </c>
      <c r="N77">
        <v>6</v>
      </c>
      <c r="O77">
        <v>31424</v>
      </c>
      <c r="P77">
        <v>30577.763999999999</v>
      </c>
      <c r="Q77">
        <v>0.89768999999999999</v>
      </c>
      <c r="R77" s="45">
        <v>16.987646666666667</v>
      </c>
      <c r="S77" s="45">
        <v>16.987646666666667</v>
      </c>
      <c r="T77">
        <v>1800</v>
      </c>
      <c r="U77" t="str">
        <v>20228T-DE FEBRER ROSAS JOSEP M.</v>
      </c>
    </row>
    <row r="78" spans="1:21" x14ac:dyDescent="0.25">
      <c r="A78" t="str">
        <v>2025-11-21</v>
      </c>
      <c r="B78" t="str">
        <v>20396T-CAL FITÓ-L:41-N:2-A:3002-POLLO AMARILLO HEMBRAS</v>
      </c>
      <c r="C78" t="str">
        <v>POLLO AMARILLO HEMBRAS</v>
      </c>
      <c r="D78">
        <v>16923</v>
      </c>
      <c r="E78" t="str">
        <v>Broiler Amarillo</v>
      </c>
      <c r="F78">
        <v>21</v>
      </c>
      <c r="G78">
        <v>17100</v>
      </c>
      <c r="H78" t="str">
        <v>Abierto</v>
      </c>
      <c r="I78">
        <v>0.86699999999999999</v>
      </c>
      <c r="J78">
        <v>0.78186</v>
      </c>
      <c r="K78">
        <v>0.93600000000000005</v>
      </c>
      <c r="L78">
        <v>0</v>
      </c>
      <c r="M78">
        <v>177</v>
      </c>
      <c r="N78">
        <v>6</v>
      </c>
      <c r="O78">
        <v>33422</v>
      </c>
      <c r="P78">
        <v>30296.794000000002</v>
      </c>
      <c r="Q78">
        <v>1.0034799999999999</v>
      </c>
      <c r="R78" s="45">
        <v>17.874214749262539</v>
      </c>
      <c r="S78" s="45">
        <v>17.874214749262539</v>
      </c>
      <c r="T78">
        <v>1695</v>
      </c>
      <c r="U78" t="str">
        <v>20396T-CAL FITÓ</v>
      </c>
    </row>
    <row r="79" spans="1:21" x14ac:dyDescent="0.25">
      <c r="A79" t="str">
        <v>2025-11-21</v>
      </c>
      <c r="B79" t="str">
        <v>20268T-CIRERA-L:38-N:2-A:3001-POLLO AMARILLO MACHO</v>
      </c>
      <c r="C79" t="str">
        <v>POLLO AMARILLO MACHO</v>
      </c>
      <c r="D79">
        <v>18604</v>
      </c>
      <c r="E79" t="str">
        <v>Broiler Amarillo</v>
      </c>
      <c r="F79">
        <v>18</v>
      </c>
      <c r="G79">
        <v>19000</v>
      </c>
      <c r="H79" t="str">
        <v>Abierto</v>
      </c>
      <c r="I79">
        <v>0.78100000000000003</v>
      </c>
      <c r="J79">
        <v>0.75897999999999999</v>
      </c>
      <c r="K79">
        <v>0.78800000000000003</v>
      </c>
      <c r="L79">
        <v>0</v>
      </c>
      <c r="M79">
        <v>403</v>
      </c>
      <c r="N79">
        <v>482</v>
      </c>
      <c r="O79">
        <v>28426</v>
      </c>
      <c r="P79">
        <v>21709.606</v>
      </c>
      <c r="Q79">
        <v>0.97982999999999998</v>
      </c>
      <c r="R79" s="45">
        <v>13.205356447688564</v>
      </c>
      <c r="S79" s="45">
        <v>13.205356447688564</v>
      </c>
      <c r="T79">
        <v>1644</v>
      </c>
      <c r="U79" t="str">
        <v>20268T-CIRERA</v>
      </c>
    </row>
    <row r="80" spans="1:21" x14ac:dyDescent="0.25">
      <c r="A80" t="str">
        <v>2025-11-21</v>
      </c>
      <c r="B80" t="str">
        <v>20268T-CIRERA-L:38-N:3-A:3001-POLLO AMARILLO MACHO</v>
      </c>
      <c r="C80" t="str">
        <v>POLLO AMARILLO MACHO</v>
      </c>
      <c r="D80">
        <v>13590</v>
      </c>
      <c r="E80" t="str">
        <v>Broiler Amarillo</v>
      </c>
      <c r="F80">
        <v>18</v>
      </c>
      <c r="G80">
        <v>14500</v>
      </c>
      <c r="H80" t="str">
        <v>Abierto</v>
      </c>
      <c r="I80">
        <v>0.77600000000000002</v>
      </c>
      <c r="J80">
        <v>0.73821999999999999</v>
      </c>
      <c r="K80">
        <v>0.78800000000000003</v>
      </c>
      <c r="L80">
        <v>0</v>
      </c>
      <c r="M80">
        <v>915</v>
      </c>
      <c r="N80">
        <v>363</v>
      </c>
      <c r="O80">
        <v>27354</v>
      </c>
      <c r="P80">
        <v>20483.448</v>
      </c>
      <c r="Q80">
        <v>0.94289999999999996</v>
      </c>
      <c r="R80" s="45">
        <v>12.551132352941176</v>
      </c>
      <c r="S80" s="45">
        <v>12.551132352941176</v>
      </c>
      <c r="T80">
        <v>1632</v>
      </c>
      <c r="U80" t="str">
        <v>20268T-CIRERA</v>
      </c>
    </row>
    <row r="81" spans="1:21" x14ac:dyDescent="0.25">
      <c r="A81" t="str">
        <v>2025-11-21</v>
      </c>
      <c r="B81" t="str">
        <v>20268T-CIRERA-L:38-N:1-A:3003-POLLO AMARILLO MIXTO</v>
      </c>
      <c r="C81" t="str">
        <v>POLLO AMARILLO MIXTO</v>
      </c>
      <c r="D81">
        <v>27418</v>
      </c>
      <c r="E81" t="str">
        <v>Broiler Amarillo</v>
      </c>
      <c r="F81">
        <v>18</v>
      </c>
      <c r="G81">
        <v>28000</v>
      </c>
      <c r="H81" t="str">
        <v>Abierto</v>
      </c>
      <c r="I81">
        <v>0.745</v>
      </c>
      <c r="J81">
        <v>0.68445</v>
      </c>
      <c r="K81">
        <v>0.76500000000000001</v>
      </c>
      <c r="L81">
        <v>0</v>
      </c>
      <c r="M81">
        <v>592</v>
      </c>
      <c r="N81">
        <v>704</v>
      </c>
      <c r="O81">
        <v>27418</v>
      </c>
      <c r="P81">
        <v>20426.41</v>
      </c>
      <c r="Q81">
        <v>0.94510000000000005</v>
      </c>
      <c r="R81" s="45">
        <v>12.516182598039215</v>
      </c>
      <c r="S81" s="45">
        <v>12.516182598039215</v>
      </c>
      <c r="T81">
        <v>1632</v>
      </c>
      <c r="U81" t="str">
        <v>20268T-CIRERA</v>
      </c>
    </row>
    <row r="82" spans="1:21" x14ac:dyDescent="0.25">
      <c r="A82" t="str">
        <v>2025-11-21</v>
      </c>
      <c r="B82" t="str">
        <v>20268T-CIRERA-L:38-N:2-A:3002-POLLO AMARILLO HEMBRAS</v>
      </c>
      <c r="C82" t="str">
        <v>POLLO AMARILLO HEMBRAS</v>
      </c>
      <c r="D82">
        <v>9822</v>
      </c>
      <c r="E82" t="str">
        <v>Broiler Amarillo</v>
      </c>
      <c r="F82">
        <v>18</v>
      </c>
      <c r="G82">
        <v>10000</v>
      </c>
      <c r="H82" t="str">
        <v>Abierto</v>
      </c>
      <c r="I82">
        <v>0.73099999999999998</v>
      </c>
      <c r="J82">
        <v>0.69310000000000005</v>
      </c>
      <c r="K82">
        <v>0.74399999999999999</v>
      </c>
      <c r="L82">
        <v>0</v>
      </c>
      <c r="M82">
        <v>182</v>
      </c>
      <c r="N82">
        <v>258</v>
      </c>
      <c r="O82">
        <v>28426</v>
      </c>
      <c r="P82">
        <v>21709.606</v>
      </c>
      <c r="Q82">
        <v>0.97982999999999998</v>
      </c>
      <c r="R82" s="45">
        <v>13.205356447688564</v>
      </c>
      <c r="S82" s="45">
        <v>13.205356447688564</v>
      </c>
      <c r="T82">
        <v>1644</v>
      </c>
      <c r="U82" t="str">
        <v>20268T-CIRERA</v>
      </c>
    </row>
    <row r="83" spans="1:21" x14ac:dyDescent="0.25">
      <c r="A83" t="str">
        <v>2025-11-21</v>
      </c>
      <c r="B83" t="str">
        <v>20268T-CIRERA-L:38-N:3-A:3002-POLLO AMARILLO HEMBRAS</v>
      </c>
      <c r="C83" t="str">
        <v>POLLO AMARILLO HEMBRAS</v>
      </c>
      <c r="D83">
        <v>13764</v>
      </c>
      <c r="E83" t="str">
        <v>Broiler Amarillo</v>
      </c>
      <c r="F83">
        <v>18</v>
      </c>
      <c r="G83">
        <v>14500</v>
      </c>
      <c r="H83" t="str">
        <v>Abierto</v>
      </c>
      <c r="I83">
        <v>0.72199999999999998</v>
      </c>
      <c r="J83">
        <v>0.65783999999999998</v>
      </c>
      <c r="K83">
        <v>0.74399999999999999</v>
      </c>
      <c r="L83">
        <v>0</v>
      </c>
      <c r="M83">
        <v>741</v>
      </c>
      <c r="N83">
        <v>363</v>
      </c>
      <c r="O83">
        <v>27354</v>
      </c>
      <c r="P83">
        <v>20483.448</v>
      </c>
      <c r="Q83">
        <v>0.94289999999999996</v>
      </c>
      <c r="R83" s="45">
        <v>12.551132352941176</v>
      </c>
      <c r="S83" s="45">
        <v>12.551132352941176</v>
      </c>
      <c r="T83">
        <v>1632</v>
      </c>
      <c r="U83" t="str">
        <v>20268T-CIRERA</v>
      </c>
    </row>
    <row r="84" spans="1:21" x14ac:dyDescent="0.25">
      <c r="A84" t="str">
        <v>2025-11-21</v>
      </c>
      <c r="B84" t="str">
        <v>20443T-GRANJA POSTILS-L:15-N:1-A:3001-POLLO AMARILLO MACHO</v>
      </c>
      <c r="C84" t="str">
        <v>POLLO AMARILLO MACHO</v>
      </c>
      <c r="D84">
        <v>17276</v>
      </c>
      <c r="E84" t="str">
        <v>Broiler Amarillo</v>
      </c>
      <c r="F84">
        <v>17</v>
      </c>
      <c r="G84">
        <v>17300</v>
      </c>
      <c r="H84" t="str">
        <v>Abierto</v>
      </c>
      <c r="I84">
        <v>0.71899999999999997</v>
      </c>
      <c r="J84">
        <v>0.70999000000000001</v>
      </c>
      <c r="K84">
        <v>0.72</v>
      </c>
      <c r="L84">
        <v>0</v>
      </c>
      <c r="M84">
        <v>30</v>
      </c>
      <c r="N84">
        <v>426</v>
      </c>
      <c r="O84">
        <v>34751</v>
      </c>
      <c r="P84">
        <v>24321.919000000002</v>
      </c>
      <c r="Q84">
        <v>0.99253999999999998</v>
      </c>
      <c r="R84" s="45">
        <v>12.667666145833334</v>
      </c>
      <c r="S84" s="45">
        <v>12.667666145833334</v>
      </c>
      <c r="T84">
        <v>1920</v>
      </c>
      <c r="U84" t="str">
        <v>20443T-GRANJA POSTILS</v>
      </c>
    </row>
    <row r="85" spans="1:21" x14ac:dyDescent="0.25">
      <c r="A85" t="str">
        <v>2025-11-21</v>
      </c>
      <c r="B85" t="str">
        <v>20432T-CASANOVA DEL PUIG (Cal Tiet)-L:22-N:1-A:3001-POLLO AMARILLO MACHO</v>
      </c>
      <c r="C85" t="str">
        <v>POLLO AMARILLO MACHO</v>
      </c>
      <c r="D85">
        <v>15523</v>
      </c>
      <c r="E85" t="str">
        <v>Broiler Amarillo</v>
      </c>
      <c r="F85">
        <v>17</v>
      </c>
      <c r="G85">
        <v>15800</v>
      </c>
      <c r="H85" t="str">
        <v>Abierto</v>
      </c>
      <c r="I85">
        <v>0.70799999999999996</v>
      </c>
      <c r="J85">
        <v>0.67452000000000001</v>
      </c>
      <c r="K85">
        <v>0.72</v>
      </c>
      <c r="L85">
        <v>0</v>
      </c>
      <c r="M85">
        <v>283</v>
      </c>
      <c r="N85">
        <v>396</v>
      </c>
      <c r="O85">
        <v>31315</v>
      </c>
      <c r="P85">
        <v>21539.34</v>
      </c>
      <c r="Q85">
        <v>0.98748000000000002</v>
      </c>
      <c r="R85" s="45">
        <v>12.238261363636363</v>
      </c>
      <c r="S85" s="45">
        <v>12.238261363636363</v>
      </c>
      <c r="T85">
        <v>1760</v>
      </c>
      <c r="U85" t="str">
        <v>20432T-CASANOVA DEL PUIG (Cal Tiet)</v>
      </c>
    </row>
    <row r="86" spans="1:21" x14ac:dyDescent="0.25">
      <c r="A86" t="str">
        <v>2025-11-21</v>
      </c>
      <c r="B86" t="str">
        <v>20443T-GRANJA POSTILS-L:15-N:1-A:3002-POLLO AMARILLO HEMBRAS</v>
      </c>
      <c r="C86" t="str">
        <v>POLLO AMARILLO HEMBRAS</v>
      </c>
      <c r="D86">
        <v>17475</v>
      </c>
      <c r="E86" t="str">
        <v>Broiler Amarillo</v>
      </c>
      <c r="F86">
        <v>17</v>
      </c>
      <c r="G86">
        <v>17500</v>
      </c>
      <c r="H86" t="str">
        <v>Abierto</v>
      </c>
      <c r="I86">
        <v>0.68100000000000005</v>
      </c>
      <c r="J86">
        <v>0.65549000000000002</v>
      </c>
      <c r="K86">
        <v>0.68400000000000005</v>
      </c>
      <c r="L86">
        <v>0</v>
      </c>
      <c r="M86">
        <v>31</v>
      </c>
      <c r="N86">
        <v>437</v>
      </c>
      <c r="O86">
        <v>34751</v>
      </c>
      <c r="P86">
        <v>24321.919000000002</v>
      </c>
      <c r="Q86">
        <v>0.99253999999999998</v>
      </c>
      <c r="R86" s="45">
        <v>12.667666145833334</v>
      </c>
      <c r="S86" s="45">
        <v>12.667666145833334</v>
      </c>
      <c r="T86">
        <v>1920</v>
      </c>
      <c r="U86" t="str">
        <v>20443T-GRANJA POSTILS</v>
      </c>
    </row>
    <row r="87" spans="1:21" x14ac:dyDescent="0.25">
      <c r="A87" t="str">
        <v>2025-11-21</v>
      </c>
      <c r="B87" t="str">
        <v>20432T-CASANOVA DEL PUIG (Cal Tiet)-L:22-N:1-A:3002-POLLO AMARILLO HEMBRAS</v>
      </c>
      <c r="C87" t="str">
        <v>POLLO AMARILLO HEMBRAS</v>
      </c>
      <c r="D87">
        <v>15792</v>
      </c>
      <c r="E87" t="str">
        <v>Broiler Amarillo</v>
      </c>
      <c r="F87">
        <v>17</v>
      </c>
      <c r="G87">
        <v>16000</v>
      </c>
      <c r="H87" t="str">
        <v>Abierto</v>
      </c>
      <c r="I87">
        <v>0.66800000000000004</v>
      </c>
      <c r="J87">
        <v>0.62641000000000002</v>
      </c>
      <c r="K87">
        <v>0.68400000000000005</v>
      </c>
      <c r="L87">
        <v>0</v>
      </c>
      <c r="M87">
        <v>214</v>
      </c>
      <c r="N87">
        <v>398</v>
      </c>
      <c r="O87">
        <v>31315</v>
      </c>
      <c r="P87">
        <v>21539.34</v>
      </c>
      <c r="Q87">
        <v>0.98748000000000002</v>
      </c>
      <c r="R87" s="45">
        <v>12.238261363636363</v>
      </c>
      <c r="S87" s="45">
        <v>12.238261363636363</v>
      </c>
      <c r="T87">
        <v>1760</v>
      </c>
      <c r="U87" t="str">
        <v>20432T-CASANOVA DEL PUIG (Cal Tiet)</v>
      </c>
    </row>
    <row r="88" spans="1:21" x14ac:dyDescent="0.25">
      <c r="A88" t="str">
        <v>2025-11-21</v>
      </c>
      <c r="B88" t="str">
        <v>20263T-GIRBAU CAMP YASMINA-L:39-N:1-A:3001-POLLO AMARILLO MACHO</v>
      </c>
      <c r="C88" t="str">
        <v>POLLO AMARILLO MACHO</v>
      </c>
      <c r="D88">
        <v>10219</v>
      </c>
      <c r="E88" t="str">
        <v>Broiler Amarillo</v>
      </c>
      <c r="F88">
        <v>15</v>
      </c>
      <c r="G88">
        <v>10500</v>
      </c>
      <c r="H88" t="str">
        <v>Abierto</v>
      </c>
      <c r="I88">
        <v>0.59499999999999997</v>
      </c>
      <c r="J88">
        <v>0.59499999999999997</v>
      </c>
      <c r="K88">
        <v>0.59499999999999997</v>
      </c>
      <c r="L88">
        <v>0</v>
      </c>
      <c r="M88">
        <v>285</v>
      </c>
      <c r="N88">
        <v>254</v>
      </c>
      <c r="O88">
        <v>20521</v>
      </c>
      <c r="P88">
        <v>11952.445</v>
      </c>
      <c r="Q88">
        <v>0.97680999999999996</v>
      </c>
      <c r="R88" s="45">
        <v>9.6859359805510543</v>
      </c>
      <c r="S88" s="45">
        <v>9.6859359805510543</v>
      </c>
      <c r="T88">
        <v>1234</v>
      </c>
      <c r="U88" t="str">
        <v>20263T-GIRBAU CAMP YASMINA</v>
      </c>
    </row>
    <row r="89" spans="1:21" x14ac:dyDescent="0.25">
      <c r="A89" t="str">
        <v>2025-11-21</v>
      </c>
      <c r="B89" t="str">
        <v>20263T-GIRBAU CAMP YASMINA-L:39-N:2-A:3003-POLLO AMARILLO MIXTO</v>
      </c>
      <c r="C89" t="str">
        <v>POLLO AMARILLO MIXTO</v>
      </c>
      <c r="D89">
        <v>19466</v>
      </c>
      <c r="E89" t="str">
        <v>Broiler Amarillo</v>
      </c>
      <c r="F89">
        <v>15</v>
      </c>
      <c r="G89">
        <v>20000</v>
      </c>
      <c r="H89" t="str">
        <v>Abierto</v>
      </c>
      <c r="I89">
        <v>0.58299999999999996</v>
      </c>
      <c r="J89">
        <v>0.58299999999999996</v>
      </c>
      <c r="K89">
        <v>0.58299999999999996</v>
      </c>
      <c r="L89">
        <v>0</v>
      </c>
      <c r="M89">
        <v>541</v>
      </c>
      <c r="N89">
        <v>483</v>
      </c>
      <c r="O89">
        <v>19466</v>
      </c>
      <c r="P89">
        <v>11348.678</v>
      </c>
      <c r="Q89">
        <v>0.97294999999999998</v>
      </c>
      <c r="R89" s="45">
        <v>9.5850320945945953</v>
      </c>
      <c r="S89" s="45">
        <v>9.5850320945945953</v>
      </c>
      <c r="T89">
        <v>1184</v>
      </c>
      <c r="U89" t="str">
        <v>20263T-GIRBAU CAMP YASMINA</v>
      </c>
    </row>
    <row r="90" spans="1:21" x14ac:dyDescent="0.25">
      <c r="A90" t="str">
        <v>2025-11-21</v>
      </c>
      <c r="B90" t="str">
        <v>20263T-GIRBAU CAMP YASMINA-L:39-N:1-A:3002-POLLO AMARILLO HEMBRAS</v>
      </c>
      <c r="C90" t="str">
        <v>POLLO AMARILLO HEMBRAS</v>
      </c>
      <c r="D90">
        <v>10302</v>
      </c>
      <c r="E90" t="str">
        <v>Broiler Amarillo</v>
      </c>
      <c r="F90">
        <v>15</v>
      </c>
      <c r="G90">
        <v>10500</v>
      </c>
      <c r="H90" t="str">
        <v>Abierto</v>
      </c>
      <c r="I90">
        <v>0.56999999999999995</v>
      </c>
      <c r="J90">
        <v>0.56999999999999995</v>
      </c>
      <c r="K90">
        <v>0.56999999999999995</v>
      </c>
      <c r="L90">
        <v>0</v>
      </c>
      <c r="M90">
        <v>202</v>
      </c>
      <c r="N90">
        <v>254</v>
      </c>
      <c r="O90">
        <v>20521</v>
      </c>
      <c r="P90">
        <v>11952.445</v>
      </c>
      <c r="Q90">
        <v>0.97680999999999996</v>
      </c>
      <c r="R90" s="45">
        <v>9.6859359805510543</v>
      </c>
      <c r="S90" s="45">
        <v>9.6859359805510543</v>
      </c>
      <c r="T90">
        <v>1234</v>
      </c>
      <c r="U90" t="str">
        <v>20263T-GIRBAU CAMP YASMINA</v>
      </c>
    </row>
    <row r="91" spans="1:21" x14ac:dyDescent="0.25">
      <c r="A91" t="str">
        <v>2025-11-21</v>
      </c>
      <c r="B91" t="str">
        <v>20416T-PUJANTELL-AVICOLA-L:32-N:1-A:3001-POLLO AMARILLO MACHO</v>
      </c>
      <c r="C91" t="str">
        <v>POLLO AMARILLO MACHO</v>
      </c>
      <c r="D91">
        <v>20991</v>
      </c>
      <c r="E91" t="str">
        <v>Broiler Amarillo</v>
      </c>
      <c r="F91">
        <v>15</v>
      </c>
      <c r="G91">
        <v>21500</v>
      </c>
      <c r="H91" t="str">
        <v>Abierto</v>
      </c>
      <c r="I91">
        <v>0.54800000000000004</v>
      </c>
      <c r="J91">
        <v>0.52997000000000005</v>
      </c>
      <c r="K91">
        <v>0.59499999999999997</v>
      </c>
      <c r="L91">
        <v>0</v>
      </c>
      <c r="M91">
        <v>517</v>
      </c>
      <c r="N91">
        <v>522</v>
      </c>
      <c r="O91">
        <v>42008</v>
      </c>
      <c r="P91">
        <v>22200.721000000001</v>
      </c>
      <c r="Q91">
        <v>0.97655999999999998</v>
      </c>
      <c r="R91" s="45">
        <v>9.3673928270042186</v>
      </c>
      <c r="S91" s="45">
        <v>9.3673928270042186</v>
      </c>
      <c r="T91">
        <v>2370</v>
      </c>
      <c r="U91" t="str">
        <v>20416T-PUJANTELL-AVICOLA</v>
      </c>
    </row>
    <row r="92" spans="1:21" x14ac:dyDescent="0.25">
      <c r="A92" t="str">
        <v>2025-11-21</v>
      </c>
      <c r="B92" t="str">
        <v>20438T-GRANJA LA BORDELLA-L:17-N:1-A:3001-POLLO AMARILLO MACHO</v>
      </c>
      <c r="C92" t="str">
        <v>POLLO AMARILLO MACHO</v>
      </c>
      <c r="D92">
        <v>17293</v>
      </c>
      <c r="E92" t="str">
        <v>Broiler Amarillo</v>
      </c>
      <c r="F92">
        <v>14</v>
      </c>
      <c r="G92">
        <v>17800</v>
      </c>
      <c r="H92" t="str">
        <v>Abierto</v>
      </c>
      <c r="I92">
        <v>0.53700000000000003</v>
      </c>
      <c r="J92">
        <v>0.53700000000000003</v>
      </c>
      <c r="K92">
        <v>0.53700000000000003</v>
      </c>
      <c r="L92">
        <v>0</v>
      </c>
      <c r="M92">
        <v>513</v>
      </c>
      <c r="N92">
        <v>425</v>
      </c>
      <c r="O92">
        <v>34763</v>
      </c>
      <c r="P92">
        <v>18318.330999999998</v>
      </c>
      <c r="Q92">
        <v>0.99289000000000005</v>
      </c>
      <c r="R92" s="45">
        <v>9.723105626326964</v>
      </c>
      <c r="S92" s="45">
        <v>9.723105626326964</v>
      </c>
      <c r="T92">
        <v>1884</v>
      </c>
      <c r="U92" t="str">
        <v>20438T-GRANJA LA BORDELLA</v>
      </c>
    </row>
    <row r="93" spans="1:21" x14ac:dyDescent="0.25">
      <c r="A93" t="str">
        <v>2025-11-21</v>
      </c>
      <c r="B93" t="str">
        <v>20281T-EL PLA DE LES ALZINES naus 1,2 i 3-L:39-N:1-A:3001-POLLO AMARILLO MACHO</v>
      </c>
      <c r="C93" t="str">
        <v>POLLO AMARILLO MACHO</v>
      </c>
      <c r="D93">
        <v>10542</v>
      </c>
      <c r="E93" t="str">
        <v>Broiler Amarillo</v>
      </c>
      <c r="F93">
        <v>14</v>
      </c>
      <c r="G93">
        <v>10700</v>
      </c>
      <c r="H93" t="str">
        <v>Abierto</v>
      </c>
      <c r="I93">
        <v>0.53</v>
      </c>
      <c r="J93">
        <v>0.51720999999999995</v>
      </c>
      <c r="K93">
        <v>0.53700000000000003</v>
      </c>
      <c r="L93">
        <v>0</v>
      </c>
      <c r="M93">
        <v>162</v>
      </c>
      <c r="N93">
        <v>255</v>
      </c>
      <c r="O93">
        <v>21106</v>
      </c>
      <c r="P93">
        <v>10922.08</v>
      </c>
      <c r="Q93">
        <v>1.00467</v>
      </c>
      <c r="R93" s="45">
        <v>9.2169451476793256</v>
      </c>
      <c r="S93" s="45">
        <v>9.2169451476793256</v>
      </c>
      <c r="T93">
        <v>1185</v>
      </c>
      <c r="U93" t="str">
        <v>20281T-EL PLA DE LES ALZINES naus 1,2 i 3</v>
      </c>
    </row>
    <row r="94" spans="1:21" x14ac:dyDescent="0.25">
      <c r="A94" t="str">
        <v>2025-11-21</v>
      </c>
      <c r="B94" t="str">
        <v>20308T-QUELET S.C.P-L:41-N:1-A:3001-POLLO AMARILLO MACHO</v>
      </c>
      <c r="C94" t="str">
        <v>POLLO AMARILLO MACHO</v>
      </c>
      <c r="D94">
        <v>15755</v>
      </c>
      <c r="E94" t="str">
        <v>Broiler Amarillo</v>
      </c>
      <c r="F94">
        <v>14</v>
      </c>
      <c r="G94">
        <v>16100</v>
      </c>
      <c r="H94" t="str">
        <v>Abierto</v>
      </c>
      <c r="I94">
        <v>0.52700000000000002</v>
      </c>
      <c r="J94">
        <v>0.50875000000000004</v>
      </c>
      <c r="K94">
        <v>0.53700000000000003</v>
      </c>
      <c r="L94">
        <v>0</v>
      </c>
      <c r="M94">
        <v>351</v>
      </c>
      <c r="N94">
        <v>385</v>
      </c>
      <c r="O94">
        <v>31506</v>
      </c>
      <c r="P94">
        <v>16257.14</v>
      </c>
      <c r="Q94">
        <v>0.98419000000000001</v>
      </c>
      <c r="R94" s="45">
        <v>9.6768690476190482</v>
      </c>
      <c r="S94" s="45">
        <v>9.6768690476190482</v>
      </c>
      <c r="T94">
        <v>1680</v>
      </c>
      <c r="U94" t="str">
        <v>20308T-QUELET S.C.P</v>
      </c>
    </row>
    <row r="95" spans="1:21" x14ac:dyDescent="0.25">
      <c r="A95" t="str">
        <v>2025-11-21</v>
      </c>
      <c r="B95" t="str">
        <v>20438T-GRANJA LA BORDELLA-L:17-N:1-A:3002-POLLO AMARILLO HEMBRAS</v>
      </c>
      <c r="C95" t="str">
        <v>POLLO AMARILLO HEMBRAS</v>
      </c>
      <c r="D95">
        <v>17470</v>
      </c>
      <c r="E95" t="str">
        <v>Broiler Amarillo</v>
      </c>
      <c r="F95">
        <v>14</v>
      </c>
      <c r="G95">
        <v>17900</v>
      </c>
      <c r="H95" t="str">
        <v>Abierto</v>
      </c>
      <c r="I95">
        <v>0.51700000000000002</v>
      </c>
      <c r="J95">
        <v>0.51700000000000002</v>
      </c>
      <c r="K95">
        <v>0.51700000000000002</v>
      </c>
      <c r="L95">
        <v>0</v>
      </c>
      <c r="M95">
        <v>436</v>
      </c>
      <c r="N95">
        <v>425</v>
      </c>
      <c r="O95">
        <v>34763</v>
      </c>
      <c r="P95">
        <v>18318.330999999998</v>
      </c>
      <c r="Q95">
        <v>0.99289000000000005</v>
      </c>
      <c r="R95" s="45">
        <v>9.723105626326964</v>
      </c>
      <c r="S95" s="45">
        <v>9.723105626326964</v>
      </c>
      <c r="T95">
        <v>1884</v>
      </c>
      <c r="U95" t="str">
        <v>20438T-GRANJA LA BORDELLA</v>
      </c>
    </row>
    <row r="96" spans="1:21" x14ac:dyDescent="0.25">
      <c r="A96" t="str">
        <v>2025-11-21</v>
      </c>
      <c r="B96" t="str">
        <v>20416T-PUJANTELL-AVICOLA-L:32-N:1-A:3002-POLLO AMARILLO HEMBRAS</v>
      </c>
      <c r="C96" t="str">
        <v>POLLO AMARILLO HEMBRAS</v>
      </c>
      <c r="D96">
        <v>21017</v>
      </c>
      <c r="E96" t="str">
        <v>Broiler Amarillo</v>
      </c>
      <c r="F96">
        <v>15</v>
      </c>
      <c r="G96">
        <v>21500</v>
      </c>
      <c r="H96" t="str">
        <v>Abierto</v>
      </c>
      <c r="I96">
        <v>0.50900000000000001</v>
      </c>
      <c r="J96">
        <v>0.48701</v>
      </c>
      <c r="K96">
        <v>0.56999999999999995</v>
      </c>
      <c r="L96">
        <v>0</v>
      </c>
      <c r="M96">
        <v>491</v>
      </c>
      <c r="N96">
        <v>522</v>
      </c>
      <c r="O96">
        <v>42008</v>
      </c>
      <c r="P96">
        <v>22200.721000000001</v>
      </c>
      <c r="Q96">
        <v>0.97655999999999998</v>
      </c>
      <c r="R96" s="45">
        <v>9.3673928270042186</v>
      </c>
      <c r="S96" s="45">
        <v>9.3673928270042186</v>
      </c>
      <c r="T96">
        <v>2370</v>
      </c>
      <c r="U96" t="str">
        <v>20416T-PUJANTELL-AVICOLA</v>
      </c>
    </row>
    <row r="97" spans="1:21" x14ac:dyDescent="0.25">
      <c r="A97" t="str">
        <v>2025-11-21</v>
      </c>
      <c r="B97" t="str">
        <v>20281T-EL PLA DE LES ALZINES naus 1,2 i 3-L:39-N:1-A:3002-POLLO AMARILLO HEMBRAS</v>
      </c>
      <c r="C97" t="str">
        <v>POLLO AMARILLO HEMBRAS</v>
      </c>
      <c r="D97">
        <v>10564</v>
      </c>
      <c r="E97" t="str">
        <v>Broiler Amarillo</v>
      </c>
      <c r="F97">
        <v>14</v>
      </c>
      <c r="G97">
        <v>10700</v>
      </c>
      <c r="H97" t="str">
        <v>Abierto</v>
      </c>
      <c r="I97">
        <v>0.505</v>
      </c>
      <c r="J97">
        <v>0.48432999999999998</v>
      </c>
      <c r="K97">
        <v>0.51700000000000002</v>
      </c>
      <c r="L97">
        <v>0</v>
      </c>
      <c r="M97">
        <v>140</v>
      </c>
      <c r="N97">
        <v>255</v>
      </c>
      <c r="O97">
        <v>21106</v>
      </c>
      <c r="P97">
        <v>10922.08</v>
      </c>
      <c r="Q97">
        <v>1.00467</v>
      </c>
      <c r="R97" s="45">
        <v>9.2169451476793256</v>
      </c>
      <c r="S97" s="45">
        <v>9.2169451476793256</v>
      </c>
      <c r="T97">
        <v>1185</v>
      </c>
      <c r="U97" t="str">
        <v>20281T-EL PLA DE LES ALZINES naus 1,2 i 3</v>
      </c>
    </row>
    <row r="98" spans="1:21" x14ac:dyDescent="0.25">
      <c r="A98" t="str">
        <v>2025-11-21</v>
      </c>
      <c r="B98" t="str">
        <v>20308T-QUELET S.C.P-L:41-N:1-A:3002-POLLO AMARILLO HEMBRAS</v>
      </c>
      <c r="C98" t="str">
        <v>POLLO AMARILLO HEMBRAS</v>
      </c>
      <c r="D98">
        <v>15751</v>
      </c>
      <c r="E98" t="str">
        <v>Broiler Amarillo</v>
      </c>
      <c r="F98">
        <v>14</v>
      </c>
      <c r="G98">
        <v>16000</v>
      </c>
      <c r="H98" t="str">
        <v>Abierto</v>
      </c>
      <c r="I98">
        <v>0.505</v>
      </c>
      <c r="J98">
        <v>0.48432999999999998</v>
      </c>
      <c r="K98">
        <v>0.51700000000000002</v>
      </c>
      <c r="L98">
        <v>0</v>
      </c>
      <c r="M98">
        <v>255</v>
      </c>
      <c r="N98">
        <v>380</v>
      </c>
      <c r="O98">
        <v>31506</v>
      </c>
      <c r="P98">
        <v>16257.14</v>
      </c>
      <c r="Q98">
        <v>0.98419000000000001</v>
      </c>
      <c r="R98" s="45">
        <v>9.6768690476190482</v>
      </c>
      <c r="S98" s="45">
        <v>9.6768690476190482</v>
      </c>
      <c r="T98">
        <v>1680</v>
      </c>
      <c r="U98" t="str">
        <v>20308T-QUELET S.C.P</v>
      </c>
    </row>
    <row r="99" spans="1:21" x14ac:dyDescent="0.25">
      <c r="A99" t="str">
        <v>2025-11-21</v>
      </c>
      <c r="B99" t="str">
        <v>20364T-SEMEN AVIA (RIERETA)-L:40-N:1-A:3001-POLLO AMARILLO MACHO</v>
      </c>
      <c r="C99" t="str">
        <v>POLLO AMARILLO MACHO</v>
      </c>
      <c r="D99">
        <v>14076</v>
      </c>
      <c r="E99" t="str">
        <v>Broiler Amarillo</v>
      </c>
      <c r="F99">
        <v>11</v>
      </c>
      <c r="G99">
        <v>14700</v>
      </c>
      <c r="H99" t="str">
        <v>Abierto</v>
      </c>
      <c r="I99">
        <v>0.38200000000000001</v>
      </c>
      <c r="J99">
        <v>0.38200000000000001</v>
      </c>
      <c r="K99">
        <v>0.38200000000000001</v>
      </c>
      <c r="L99">
        <v>0</v>
      </c>
      <c r="M99">
        <v>639</v>
      </c>
      <c r="N99">
        <v>316</v>
      </c>
      <c r="O99">
        <v>28444</v>
      </c>
      <c r="P99">
        <v>10765.031999999999</v>
      </c>
      <c r="Q99">
        <v>0.94713000000000003</v>
      </c>
      <c r="R99" s="45">
        <v>6.4077571428571432</v>
      </c>
      <c r="S99" s="45">
        <v>6.4077571428571432</v>
      </c>
      <c r="T99">
        <v>1680</v>
      </c>
      <c r="U99" t="str">
        <v>20364T-SEMEN AVIA (RIERETA)</v>
      </c>
    </row>
    <row r="100" spans="1:21" x14ac:dyDescent="0.25">
      <c r="A100" t="str">
        <v>2025-11-21</v>
      </c>
      <c r="B100" t="str">
        <v>20364T-SEMEN AVIA (RIERETA)-L:40-N:1-A:3002-POLLO AMARILLO HEMBRAS</v>
      </c>
      <c r="C100" t="str">
        <v>POLLO AMARILLO HEMBRAS</v>
      </c>
      <c r="D100">
        <v>14368</v>
      </c>
      <c r="E100" t="str">
        <v>Broiler Amarillo</v>
      </c>
      <c r="F100">
        <v>11</v>
      </c>
      <c r="G100">
        <v>14700</v>
      </c>
      <c r="H100" t="str">
        <v>Abierto</v>
      </c>
      <c r="I100">
        <v>0.375</v>
      </c>
      <c r="J100">
        <v>0.375</v>
      </c>
      <c r="K100">
        <v>0.375</v>
      </c>
      <c r="L100">
        <v>0</v>
      </c>
      <c r="M100">
        <v>347</v>
      </c>
      <c r="N100">
        <v>316</v>
      </c>
      <c r="O100">
        <v>28444</v>
      </c>
      <c r="P100">
        <v>10765.031999999999</v>
      </c>
      <c r="Q100">
        <v>0.94713000000000003</v>
      </c>
      <c r="R100" s="45">
        <v>6.4077571428571432</v>
      </c>
      <c r="S100" s="45">
        <v>6.4077571428571432</v>
      </c>
      <c r="T100">
        <v>1680</v>
      </c>
      <c r="U100" t="str">
        <v>20364T-SEMEN AVIA (RIERETA)</v>
      </c>
    </row>
    <row r="101" spans="1:21" x14ac:dyDescent="0.25">
      <c r="A101" t="str">
        <v>2025-11-21</v>
      </c>
      <c r="B101" t="str">
        <v>20405T-VENDRELL-L:37-N:1-A:3001-POLLO AMARILLO MACHO</v>
      </c>
      <c r="C101" t="str">
        <v>POLLO AMARILLO MACHO</v>
      </c>
      <c r="D101">
        <v>23502</v>
      </c>
      <c r="E101" t="str">
        <v>Broiler Amarillo</v>
      </c>
      <c r="F101">
        <v>11</v>
      </c>
      <c r="G101">
        <v>24100</v>
      </c>
      <c r="H101" t="str">
        <v>Abierto</v>
      </c>
      <c r="I101">
        <v>0.30599999999999999</v>
      </c>
      <c r="J101">
        <v>0.26859</v>
      </c>
      <c r="K101">
        <v>0.38200000000000001</v>
      </c>
      <c r="L101">
        <v>0</v>
      </c>
      <c r="M101">
        <v>623</v>
      </c>
      <c r="N101">
        <v>514</v>
      </c>
      <c r="O101">
        <v>33450</v>
      </c>
      <c r="P101">
        <v>10166.064</v>
      </c>
      <c r="Q101">
        <v>0.95469000000000004</v>
      </c>
      <c r="R101" s="45">
        <v>5.2948250000000003</v>
      </c>
      <c r="S101" s="45">
        <v>5.2948250000000003</v>
      </c>
      <c r="T101">
        <v>1920</v>
      </c>
      <c r="U101" t="str">
        <v>20405T-VENDRELL</v>
      </c>
    </row>
    <row r="102" spans="1:21" x14ac:dyDescent="0.25">
      <c r="A102" t="str">
        <v>2025-11-21</v>
      </c>
      <c r="B102" t="str">
        <v>20405T-VENDRELL-L:37-N:1-A:3002-POLLO AMARILLO HEMBRAS</v>
      </c>
      <c r="C102" t="str">
        <v>POLLO AMARILLO HEMBRAS</v>
      </c>
      <c r="D102">
        <v>9948</v>
      </c>
      <c r="E102" t="str">
        <v>Broiler Amarillo</v>
      </c>
      <c r="F102">
        <v>11</v>
      </c>
      <c r="G102">
        <v>10200</v>
      </c>
      <c r="H102" t="str">
        <v>Abierto</v>
      </c>
      <c r="I102">
        <v>0.29899999999999999</v>
      </c>
      <c r="J102">
        <v>0.26323999999999997</v>
      </c>
      <c r="K102">
        <v>0.375</v>
      </c>
      <c r="L102">
        <v>0</v>
      </c>
      <c r="M102">
        <v>263</v>
      </c>
      <c r="N102">
        <v>218</v>
      </c>
      <c r="O102">
        <v>33450</v>
      </c>
      <c r="P102">
        <v>10166.064</v>
      </c>
      <c r="Q102">
        <v>0.95469000000000004</v>
      </c>
      <c r="R102" s="45">
        <v>5.2948250000000003</v>
      </c>
      <c r="S102" s="45">
        <v>5.2948250000000003</v>
      </c>
      <c r="T102">
        <v>1920</v>
      </c>
      <c r="U102" t="str">
        <v>20405T-VENDRELL</v>
      </c>
    </row>
    <row r="103" spans="1:21" x14ac:dyDescent="0.25">
      <c r="A103" t="str">
        <v>2025-11-21</v>
      </c>
      <c r="B103" t="str">
        <v>20281T-EL PLA DE LES ALZINES naus 1,2 i 3-L:39-N:2-A:3002-POLLO AMARILLO HEMBRAS</v>
      </c>
      <c r="C103" t="str">
        <v>POLLO AMARILLO HEMBRAS</v>
      </c>
      <c r="D103">
        <v>10078</v>
      </c>
      <c r="E103" t="str">
        <v>Broiler Amarillo</v>
      </c>
      <c r="F103">
        <v>10</v>
      </c>
      <c r="G103">
        <v>10200</v>
      </c>
      <c r="H103" t="str">
        <v>Abierto</v>
      </c>
      <c r="I103">
        <v>0.28499999999999998</v>
      </c>
      <c r="J103">
        <v>0.26171</v>
      </c>
      <c r="K103">
        <v>0.33200000000000002</v>
      </c>
      <c r="L103">
        <v>0</v>
      </c>
      <c r="M103">
        <v>136</v>
      </c>
      <c r="N103">
        <v>207</v>
      </c>
      <c r="O103">
        <v>20112</v>
      </c>
      <c r="P103">
        <v>5731.92</v>
      </c>
      <c r="Q103">
        <v>0.95638000000000001</v>
      </c>
      <c r="R103" s="45">
        <v>4.8370632911392404</v>
      </c>
      <c r="S103" s="45">
        <v>4.8370632911392404</v>
      </c>
      <c r="T103">
        <v>1185</v>
      </c>
      <c r="U103" t="str">
        <v>20281T-EL PLA DE LES ALZINES naus 1,2 i 3</v>
      </c>
    </row>
    <row r="104" spans="1:21" x14ac:dyDescent="0.25">
      <c r="A104" t="str">
        <v>2025-11-21</v>
      </c>
      <c r="B104" t="str">
        <v>20281T-EL PLA DE LES ALZINES naus 1,2 i 3-L:39-N:2-A:3001-POLLO AMARILLO MACHO</v>
      </c>
      <c r="C104" t="str">
        <v>POLLO AMARILLO MACHO</v>
      </c>
      <c r="D104">
        <v>10034</v>
      </c>
      <c r="E104" t="str">
        <v>Broiler Amarillo</v>
      </c>
      <c r="F104">
        <v>10</v>
      </c>
      <c r="G104">
        <v>10200</v>
      </c>
      <c r="H104" t="str">
        <v>Abierto</v>
      </c>
      <c r="I104">
        <v>0.28499999999999998</v>
      </c>
      <c r="J104">
        <v>0.25807000000000002</v>
      </c>
      <c r="K104">
        <v>0.33700000000000002</v>
      </c>
      <c r="L104">
        <v>0</v>
      </c>
      <c r="M104">
        <v>180</v>
      </c>
      <c r="N104">
        <v>207</v>
      </c>
      <c r="O104">
        <v>20112</v>
      </c>
      <c r="P104">
        <v>5731.92</v>
      </c>
      <c r="Q104">
        <v>0.95638000000000001</v>
      </c>
      <c r="R104" s="45">
        <v>4.8370632911392404</v>
      </c>
      <c r="S104" s="45">
        <v>4.8370632911392404</v>
      </c>
      <c r="T104">
        <v>1185</v>
      </c>
      <c r="U104" t="str">
        <v>20281T-EL PLA DE LES ALZINES naus 1,2 i 3</v>
      </c>
    </row>
    <row r="105" spans="1:21" x14ac:dyDescent="0.25">
      <c r="A105" t="str">
        <v>2025-11-21</v>
      </c>
      <c r="B105" t="str">
        <v>20281T-EL PLA DE LES ALZINES naus 1,2 i 3-L:39-N:3-A:3001-POLLO AMARILLO MACHO</v>
      </c>
      <c r="C105" t="str">
        <v>POLLO AMARILLO MACHO</v>
      </c>
      <c r="D105">
        <v>15858</v>
      </c>
      <c r="E105" t="str">
        <v>Broiler Amarillo</v>
      </c>
      <c r="F105">
        <v>10</v>
      </c>
      <c r="G105">
        <v>16100</v>
      </c>
      <c r="H105" t="str">
        <v>Abierto</v>
      </c>
      <c r="I105">
        <v>0.28399999999999997</v>
      </c>
      <c r="J105">
        <v>0.25653999999999999</v>
      </c>
      <c r="K105">
        <v>0.33700000000000002</v>
      </c>
      <c r="L105">
        <v>0</v>
      </c>
      <c r="M105">
        <v>265</v>
      </c>
      <c r="N105">
        <v>328</v>
      </c>
      <c r="O105">
        <v>31749</v>
      </c>
      <c r="P105">
        <v>8826.0239999999994</v>
      </c>
      <c r="Q105">
        <v>0.9607</v>
      </c>
      <c r="R105" s="45">
        <v>5.0262095671981779</v>
      </c>
      <c r="S105" s="45">
        <v>5.0262095671981779</v>
      </c>
      <c r="T105">
        <v>1756</v>
      </c>
      <c r="U105" t="str">
        <v>20281T-EL PLA DE LES ALZINES naus 1,2 i 3</v>
      </c>
    </row>
    <row r="106" spans="1:21" x14ac:dyDescent="0.25">
      <c r="A106" t="str">
        <v>2025-11-21</v>
      </c>
      <c r="B106" t="str">
        <v>20281T-EL PLA DE LES ALZINES naus 1,2 i 3-L:39-N:3-A:3002-POLLO AMARILLO HEMBRAS</v>
      </c>
      <c r="C106" t="str">
        <v>POLLO AMARILLO HEMBRAS</v>
      </c>
      <c r="D106">
        <v>15891</v>
      </c>
      <c r="E106" t="str">
        <v>Broiler Amarillo</v>
      </c>
      <c r="F106">
        <v>10</v>
      </c>
      <c r="G106">
        <v>16100</v>
      </c>
      <c r="H106" t="str">
        <v>Abierto</v>
      </c>
      <c r="I106">
        <v>0.27200000000000002</v>
      </c>
      <c r="J106">
        <v>0.24227000000000001</v>
      </c>
      <c r="K106">
        <v>0.33200000000000002</v>
      </c>
      <c r="L106">
        <v>0</v>
      </c>
      <c r="M106">
        <v>232</v>
      </c>
      <c r="N106">
        <v>328</v>
      </c>
      <c r="O106">
        <v>31749</v>
      </c>
      <c r="P106">
        <v>8826.0239999999994</v>
      </c>
      <c r="Q106">
        <v>0.9607</v>
      </c>
      <c r="R106" s="45">
        <v>5.0262095671981779</v>
      </c>
      <c r="S106" s="45">
        <v>5.0262095671981779</v>
      </c>
      <c r="T106">
        <v>1756</v>
      </c>
      <c r="U106" t="str">
        <v>20281T-EL PLA DE LES ALZINES naus 1,2 i 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2EDF-921C-468E-ADC5-27B22B2D5F29}">
  <sheetPr codeName="Hoja5"/>
  <dimension ref="A1:U106"/>
  <sheetViews>
    <sheetView workbookViewId="0">
      <selection activeCell="B6" sqref="B6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1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1" ht="15.75" thickTop="1" x14ac:dyDescent="0.25">
      <c r="A2" s="12" t="s">
        <v>0</v>
      </c>
      <c r="B2" s="13" t="s">
        <v>65</v>
      </c>
      <c r="C2" s="13" t="s">
        <v>1</v>
      </c>
      <c r="D2" s="14"/>
      <c r="E2" s="14">
        <v>45931</v>
      </c>
      <c r="F2" s="14">
        <v>45940</v>
      </c>
      <c r="G2" s="13">
        <v>0</v>
      </c>
      <c r="H2" s="13">
        <v>999</v>
      </c>
      <c r="I2" s="13">
        <v>0</v>
      </c>
      <c r="J2" s="13">
        <v>9.9990000000000006</v>
      </c>
      <c r="K2" s="13"/>
      <c r="L2" s="13" t="s">
        <v>39</v>
      </c>
    </row>
    <row r="5" spans="1:21" x14ac:dyDescent="0.25">
      <c r="A5" t="str" cm="1">
        <f t="array" ref="A5:U106">GetSetSalidasAvi(A2,B2,C2,E2,F2,G2,H2,I2,J2)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ventas_acumuladas</v>
      </c>
      <c r="M5" t="str">
        <v>bajas_acumuladas</v>
      </c>
      <c r="N5" t="str">
        <v>bajas_teoricas</v>
      </c>
      <c r="O5" t="str">
        <v>stock_nave</v>
      </c>
      <c r="P5" t="str">
        <v>kilos_nave</v>
      </c>
      <c r="Q5" t="str">
        <v>capacidad_nave</v>
      </c>
      <c r="R5" t="str">
        <v>densidad_nave</v>
      </c>
      <c r="S5" t="str">
        <v>kgm2_nave</v>
      </c>
      <c r="T5" t="str">
        <v>m2_nave</v>
      </c>
      <c r="U5" t="str">
        <v>granja</v>
      </c>
    </row>
    <row r="6" spans="1:21" x14ac:dyDescent="0.25">
      <c r="A6" t="str">
        <v>2025-11-21</v>
      </c>
      <c r="B6" t="str">
        <v>36946-TRIBO MUÑOZ CRISTINA - 2-L:040-N:3-A:A13-POLLO AMARILLO MACHO</v>
      </c>
      <c r="C6" t="str">
        <v>POLLO AMARILLO MACHO</v>
      </c>
      <c r="D6">
        <v>20798</v>
      </c>
      <c r="E6" t="str">
        <v>Broiler Amarillo</v>
      </c>
      <c r="F6">
        <v>60</v>
      </c>
      <c r="G6">
        <v>21000</v>
      </c>
      <c r="H6" t="str">
        <v>Abierto</v>
      </c>
      <c r="I6">
        <v>3.9449999999999998</v>
      </c>
      <c r="J6">
        <v>4.2389999999999999</v>
      </c>
      <c r="K6">
        <v>3.9249999999999998</v>
      </c>
      <c r="L6">
        <v>0</v>
      </c>
      <c r="M6">
        <v>200</v>
      </c>
      <c r="N6">
        <v>234</v>
      </c>
      <c r="O6">
        <v>41619</v>
      </c>
      <c r="P6">
        <v>150507.55799999999</v>
      </c>
      <c r="Q6">
        <v>3.20146</v>
      </c>
      <c r="R6">
        <v>167.23061999999999</v>
      </c>
      <c r="S6">
        <v>167.23061999999999</v>
      </c>
      <c r="T6">
        <v>900</v>
      </c>
      <c r="U6" t="str">
        <v>36946-TRIBO MUÑOZ CRISTINA - 2</v>
      </c>
    </row>
    <row r="7" spans="1:21" x14ac:dyDescent="0.25">
      <c r="A7" t="str">
        <v>2025-11-21</v>
      </c>
      <c r="B7" t="str">
        <v>36811-FORCADES PEREZ JOSEP MARIA-L:076-N:5-A:A13-POLLO AMARILLO MACHO</v>
      </c>
      <c r="C7" t="str">
        <v>POLLO AMARILLO MACHO</v>
      </c>
      <c r="D7">
        <v>38417</v>
      </c>
      <c r="E7" t="str">
        <v>Broiler Amarillo</v>
      </c>
      <c r="F7">
        <v>57</v>
      </c>
      <c r="G7">
        <v>39300</v>
      </c>
      <c r="H7" t="str">
        <v>Abierto</v>
      </c>
      <c r="I7">
        <v>3.9409999999999998</v>
      </c>
      <c r="J7">
        <v>4.1461199999999998</v>
      </c>
      <c r="K7">
        <v>3.758</v>
      </c>
      <c r="L7">
        <v>0</v>
      </c>
      <c r="M7">
        <v>871</v>
      </c>
      <c r="N7">
        <v>469</v>
      </c>
      <c r="O7">
        <v>45913</v>
      </c>
      <c r="P7">
        <v>173187.397</v>
      </c>
      <c r="Q7">
        <v>1.8365199999999999</v>
      </c>
      <c r="R7">
        <v>118.94738804945055</v>
      </c>
      <c r="S7">
        <v>118.94738804945055</v>
      </c>
      <c r="T7">
        <v>1456</v>
      </c>
      <c r="U7" t="str">
        <v>36811-FORCADES PEREZ JOSEP MARIA</v>
      </c>
    </row>
    <row r="8" spans="1:21" x14ac:dyDescent="0.25">
      <c r="A8" t="str">
        <v>2025-11-21</v>
      </c>
      <c r="B8" t="str">
        <v>36863-GABANDE LOPEZ EVA - 2 (VERNET)-L:075-N:2-A:A13-POLLO AMARILLO MACHO</v>
      </c>
      <c r="C8" t="str">
        <v>POLLO AMARILLO MACHO</v>
      </c>
      <c r="D8">
        <v>17557</v>
      </c>
      <c r="E8" t="str">
        <v>Broiler Amarillo</v>
      </c>
      <c r="F8">
        <v>57</v>
      </c>
      <c r="G8">
        <v>17700</v>
      </c>
      <c r="H8" t="str">
        <v>Abierto</v>
      </c>
      <c r="I8">
        <v>3.891</v>
      </c>
      <c r="J8">
        <v>4.1863400000000004</v>
      </c>
      <c r="K8">
        <v>3.758</v>
      </c>
      <c r="L8">
        <v>0</v>
      </c>
      <c r="M8">
        <v>140</v>
      </c>
      <c r="N8">
        <v>203</v>
      </c>
      <c r="O8">
        <v>18761</v>
      </c>
      <c r="P8">
        <v>71722.967999999993</v>
      </c>
      <c r="Q8">
        <v>1.5966800000000001</v>
      </c>
      <c r="R8">
        <v>91.952523076923072</v>
      </c>
      <c r="S8">
        <v>91.952523076923072</v>
      </c>
      <c r="T8">
        <v>780</v>
      </c>
      <c r="U8" t="str">
        <v>36863-GABANDE LOPEZ EVA - 2 (VERNET)</v>
      </c>
    </row>
    <row r="9" spans="1:21" x14ac:dyDescent="0.25">
      <c r="A9" t="str">
        <v>2025-11-21</v>
      </c>
      <c r="B9" t="str">
        <v>36308-CAL CASO SCP-L:147-N:2-A:A13-POLLO AMARILLO MACHO</v>
      </c>
      <c r="C9" t="str">
        <v>POLLO AMARILLO MACHO</v>
      </c>
      <c r="D9">
        <v>17580</v>
      </c>
      <c r="E9" t="str">
        <v>Broiler Amarillo</v>
      </c>
      <c r="F9">
        <v>57</v>
      </c>
      <c r="G9">
        <v>17700</v>
      </c>
      <c r="H9" t="str">
        <v>Abierto</v>
      </c>
      <c r="I9">
        <v>3.871</v>
      </c>
      <c r="J9">
        <v>4.1218000000000004</v>
      </c>
      <c r="K9">
        <v>3.758</v>
      </c>
      <c r="L9">
        <v>0</v>
      </c>
      <c r="M9">
        <v>117</v>
      </c>
      <c r="N9">
        <v>203</v>
      </c>
      <c r="O9">
        <v>19109</v>
      </c>
      <c r="P9">
        <v>72383.592000000004</v>
      </c>
      <c r="Q9">
        <v>1.5287200000000001</v>
      </c>
      <c r="R9">
        <v>97.683659919028344</v>
      </c>
      <c r="S9">
        <v>97.683659919028344</v>
      </c>
      <c r="T9">
        <v>741</v>
      </c>
      <c r="U9" t="str">
        <v>36308-CAL CASO SCP</v>
      </c>
    </row>
    <row r="10" spans="1:21" x14ac:dyDescent="0.25">
      <c r="A10" t="str">
        <v>2025-11-21</v>
      </c>
      <c r="B10" t="str">
        <v>36811-FORCADES PEREZ JOSEP MARIA-L:076-N:1-A:A13-POLLO AMARILLO MACHO</v>
      </c>
      <c r="C10" t="str">
        <v>POLLO AMARILLO MACHO</v>
      </c>
      <c r="D10">
        <v>22934</v>
      </c>
      <c r="E10" t="str">
        <v>Broiler Amarillo</v>
      </c>
      <c r="F10">
        <v>57</v>
      </c>
      <c r="G10">
        <v>23400</v>
      </c>
      <c r="H10" t="str">
        <v>Abierto</v>
      </c>
      <c r="I10">
        <v>3.7930000000000001</v>
      </c>
      <c r="J10">
        <v>4.2841199999999997</v>
      </c>
      <c r="K10">
        <v>3.758</v>
      </c>
      <c r="L10">
        <v>0</v>
      </c>
      <c r="M10">
        <v>457</v>
      </c>
      <c r="N10">
        <v>281</v>
      </c>
      <c r="O10">
        <v>46353</v>
      </c>
      <c r="P10">
        <v>160430.64600000001</v>
      </c>
      <c r="Q10">
        <v>3.0901999999999998</v>
      </c>
      <c r="R10">
        <v>187.63818245614036</v>
      </c>
      <c r="S10">
        <v>187.63818245614036</v>
      </c>
      <c r="T10">
        <v>855</v>
      </c>
      <c r="U10" t="str">
        <v>36811-FORCADES PEREZ JOSEP MARIA</v>
      </c>
    </row>
    <row r="11" spans="1:21" x14ac:dyDescent="0.25">
      <c r="A11" t="str">
        <v>2025-11-21</v>
      </c>
      <c r="B11" t="str">
        <v>36731-BLASI INGLA JAUME-L:121-N:1-A:A13-POLLO AMARILLO MACHO</v>
      </c>
      <c r="C11" t="str">
        <v>POLLO AMARILLO MACHO</v>
      </c>
      <c r="D11">
        <v>34747</v>
      </c>
      <c r="E11" t="str">
        <v>Broiler Amarillo</v>
      </c>
      <c r="F11">
        <v>56</v>
      </c>
      <c r="G11">
        <v>35100</v>
      </c>
      <c r="H11" t="str">
        <v>Abierto</v>
      </c>
      <c r="I11">
        <v>3.7890000000000001</v>
      </c>
      <c r="J11">
        <v>3.8749099999999999</v>
      </c>
      <c r="K11">
        <v>3.702</v>
      </c>
      <c r="L11">
        <v>0</v>
      </c>
      <c r="M11">
        <v>350</v>
      </c>
      <c r="N11">
        <v>404</v>
      </c>
      <c r="O11">
        <v>70094</v>
      </c>
      <c r="P11">
        <v>241974.37</v>
      </c>
      <c r="Q11">
        <v>2.80376</v>
      </c>
      <c r="R11">
        <v>169.44983893557423</v>
      </c>
      <c r="S11">
        <v>169.44983893557423</v>
      </c>
      <c r="T11">
        <v>1428</v>
      </c>
      <c r="U11" t="str">
        <v>36731-BLASI INGLA JAUME</v>
      </c>
    </row>
    <row r="12" spans="1:21" x14ac:dyDescent="0.25">
      <c r="A12" t="str">
        <v>2025-11-21</v>
      </c>
      <c r="B12" t="str">
        <v>36034-ALCOLEA MARTI, EFREN-L:028-N:2-A:A13-POLLO AMARILLO MACHO</v>
      </c>
      <c r="C12" t="str">
        <v>POLLO AMARILLO MACHO</v>
      </c>
      <c r="D12">
        <v>56175</v>
      </c>
      <c r="E12" t="str">
        <v>Broiler Amarillo</v>
      </c>
      <c r="F12">
        <v>56</v>
      </c>
      <c r="G12">
        <v>56400</v>
      </c>
      <c r="H12" t="str">
        <v>Abierto</v>
      </c>
      <c r="I12">
        <v>3.76</v>
      </c>
      <c r="J12">
        <v>4.5608500000000003</v>
      </c>
      <c r="K12">
        <v>3.702</v>
      </c>
      <c r="L12">
        <v>0</v>
      </c>
      <c r="M12">
        <v>220</v>
      </c>
      <c r="N12">
        <v>431</v>
      </c>
      <c r="O12">
        <v>112695</v>
      </c>
      <c r="P12">
        <v>389312.52</v>
      </c>
      <c r="Q12">
        <v>2.81738</v>
      </c>
      <c r="R12">
        <v>193.20720595533498</v>
      </c>
      <c r="S12">
        <v>193.20720595533498</v>
      </c>
      <c r="T12">
        <v>2015</v>
      </c>
      <c r="U12" t="str">
        <v>36034-ALCOLEA MARTI, EFREN</v>
      </c>
    </row>
    <row r="13" spans="1:21" x14ac:dyDescent="0.25">
      <c r="A13" t="str">
        <v>2025-11-21</v>
      </c>
      <c r="B13" t="str">
        <v>36811-FORCADES PEREZ JOSEP MARIA-L:076-N:2-A:A13-POLLO AMARILLO MACHO</v>
      </c>
      <c r="C13" t="str">
        <v>POLLO AMARILLO MACHO</v>
      </c>
      <c r="D13">
        <v>23281</v>
      </c>
      <c r="E13" t="str">
        <v>Broiler Amarillo</v>
      </c>
      <c r="F13">
        <v>57</v>
      </c>
      <c r="G13">
        <v>23400</v>
      </c>
      <c r="H13" t="str">
        <v>Abierto</v>
      </c>
      <c r="I13">
        <v>3.758</v>
      </c>
      <c r="J13">
        <v>3.758</v>
      </c>
      <c r="K13">
        <v>3.758</v>
      </c>
      <c r="L13">
        <v>0</v>
      </c>
      <c r="M13">
        <v>119</v>
      </c>
      <c r="N13">
        <v>119</v>
      </c>
      <c r="O13">
        <v>46309</v>
      </c>
      <c r="P13">
        <v>160373.61799999999</v>
      </c>
      <c r="Q13">
        <v>3.0872700000000002</v>
      </c>
      <c r="R13">
        <v>187.57148304093568</v>
      </c>
      <c r="S13">
        <v>187.57148304093568</v>
      </c>
      <c r="T13">
        <v>855</v>
      </c>
      <c r="U13" t="str">
        <v>36811-FORCADES PEREZ JOSEP MARIA</v>
      </c>
    </row>
    <row r="14" spans="1:21" x14ac:dyDescent="0.25">
      <c r="A14" t="str">
        <v>2025-11-21</v>
      </c>
      <c r="B14" t="str">
        <v>36789-GABANDE LOPEZ EVA-1 (ALENTORN)-L:085-N:1-A:A13-POLLO AMARILLO MACHO</v>
      </c>
      <c r="C14" t="str">
        <v>POLLO AMARILLO MACHO</v>
      </c>
      <c r="D14">
        <v>12688</v>
      </c>
      <c r="E14" t="str">
        <v>Broiler Amarillo</v>
      </c>
      <c r="F14">
        <v>56</v>
      </c>
      <c r="G14">
        <v>12900</v>
      </c>
      <c r="H14" t="str">
        <v>Abierto</v>
      </c>
      <c r="I14">
        <v>3.7519999999999998</v>
      </c>
      <c r="J14">
        <v>4.4424000000000001</v>
      </c>
      <c r="K14">
        <v>3.702</v>
      </c>
      <c r="L14">
        <v>0</v>
      </c>
      <c r="M14">
        <v>209</v>
      </c>
      <c r="N14">
        <v>166</v>
      </c>
      <c r="O14">
        <v>25722</v>
      </c>
      <c r="P14">
        <v>87880.436000000002</v>
      </c>
      <c r="Q14">
        <v>3.2152500000000002</v>
      </c>
      <c r="R14">
        <v>165.18878947368421</v>
      </c>
      <c r="S14">
        <v>165.18878947368421</v>
      </c>
      <c r="T14">
        <v>532</v>
      </c>
      <c r="U14" t="str">
        <v>36789-GABANDE LOPEZ EVA-1 (ALENTORN)</v>
      </c>
    </row>
    <row r="15" spans="1:21" x14ac:dyDescent="0.25">
      <c r="A15" t="str">
        <v>2025-11-21</v>
      </c>
      <c r="B15" t="str">
        <v>36978-CORAL SANTACANA SLU-L:036-N:1-A:A13-POLLO AMARILLO MACHO</v>
      </c>
      <c r="C15" t="str">
        <v>POLLO AMARILLO MACHO</v>
      </c>
      <c r="D15">
        <v>19687</v>
      </c>
      <c r="E15" t="str">
        <v>Broiler Amarillo</v>
      </c>
      <c r="F15">
        <v>56</v>
      </c>
      <c r="G15">
        <v>19800</v>
      </c>
      <c r="H15" t="str">
        <v>Abierto</v>
      </c>
      <c r="I15">
        <v>3.7450000000000001</v>
      </c>
      <c r="J15">
        <v>4.4357600000000001</v>
      </c>
      <c r="K15">
        <v>3.702</v>
      </c>
      <c r="L15">
        <v>0</v>
      </c>
      <c r="M15">
        <v>113</v>
      </c>
      <c r="N15">
        <v>222</v>
      </c>
      <c r="O15">
        <v>39974</v>
      </c>
      <c r="P15">
        <v>137124.69</v>
      </c>
      <c r="Q15">
        <v>3.1902599999999999</v>
      </c>
      <c r="R15">
        <v>195.8924142857143</v>
      </c>
      <c r="S15">
        <v>195.8924142857143</v>
      </c>
      <c r="T15">
        <v>700</v>
      </c>
      <c r="U15" t="str">
        <v>36978-CORAL SANTACANA SLU</v>
      </c>
    </row>
    <row r="16" spans="1:21" x14ac:dyDescent="0.25">
      <c r="A16" t="str">
        <v>2025-11-21</v>
      </c>
      <c r="B16" t="str">
        <v>36589-PELEGRI-L:144-N:2-A:A13-POLLO AMARILLO MACHO</v>
      </c>
      <c r="C16" t="str">
        <v>POLLO AMARILLO MACHO</v>
      </c>
      <c r="D16">
        <v>37327</v>
      </c>
      <c r="E16" t="str">
        <v>Broiler Amarillo</v>
      </c>
      <c r="F16">
        <v>53</v>
      </c>
      <c r="G16">
        <v>37500</v>
      </c>
      <c r="H16" t="str">
        <v>Abierto</v>
      </c>
      <c r="I16">
        <v>3.7440000000000002</v>
      </c>
      <c r="J16">
        <v>3.9829500000000002</v>
      </c>
      <c r="K16">
        <v>3.5259999999999998</v>
      </c>
      <c r="L16">
        <v>0</v>
      </c>
      <c r="M16">
        <v>170</v>
      </c>
      <c r="N16">
        <v>274</v>
      </c>
      <c r="O16">
        <v>74654</v>
      </c>
      <c r="P16">
        <v>257369.66500000001</v>
      </c>
      <c r="Q16">
        <v>4.8039899999999998</v>
      </c>
      <c r="R16">
        <v>285.96629444444443</v>
      </c>
      <c r="S16">
        <v>285.96629444444443</v>
      </c>
      <c r="T16">
        <v>900</v>
      </c>
      <c r="U16" t="str">
        <v>36589-PELEGRI</v>
      </c>
    </row>
    <row r="17" spans="1:21" x14ac:dyDescent="0.25">
      <c r="A17" t="str">
        <v>2025-11-21</v>
      </c>
      <c r="B17" t="str">
        <v>36589-PELEGRI-L:144-N:1-A:A13-POLLO AMARILLO MACHO</v>
      </c>
      <c r="C17" t="str">
        <v>POLLO AMARILLO MACHO</v>
      </c>
      <c r="D17">
        <v>37347</v>
      </c>
      <c r="E17" t="str">
        <v>Broiler Amarillo</v>
      </c>
      <c r="F17">
        <v>53</v>
      </c>
      <c r="G17">
        <v>37500</v>
      </c>
      <c r="H17" t="str">
        <v>Abierto</v>
      </c>
      <c r="I17">
        <v>3.7440000000000002</v>
      </c>
      <c r="J17">
        <v>3.9829500000000002</v>
      </c>
      <c r="K17">
        <v>3.5259999999999998</v>
      </c>
      <c r="L17">
        <v>0</v>
      </c>
      <c r="M17">
        <v>150</v>
      </c>
      <c r="N17">
        <v>274</v>
      </c>
      <c r="O17">
        <v>74694</v>
      </c>
      <c r="P17">
        <v>257507.565</v>
      </c>
      <c r="Q17">
        <v>4.8065600000000002</v>
      </c>
      <c r="R17">
        <v>286.11951666666664</v>
      </c>
      <c r="S17">
        <v>286.11951666666664</v>
      </c>
      <c r="T17">
        <v>900</v>
      </c>
      <c r="U17" t="str">
        <v>36589-PELEGRI</v>
      </c>
    </row>
    <row r="18" spans="1:21" x14ac:dyDescent="0.25">
      <c r="A18" t="str">
        <v>2025-11-21</v>
      </c>
      <c r="B18" t="str">
        <v>36588-PELEGRI SCP (Ns 6,7)-L:063-N:6-A:A13-POLLO AMARILLO MACHO</v>
      </c>
      <c r="C18" t="str">
        <v>POLLO AMARILLO MACHO</v>
      </c>
      <c r="D18">
        <v>67180</v>
      </c>
      <c r="E18" t="str">
        <v>Broiler Amarillo</v>
      </c>
      <c r="F18">
        <v>53</v>
      </c>
      <c r="G18">
        <v>67500</v>
      </c>
      <c r="H18" t="str">
        <v>Abierto</v>
      </c>
      <c r="I18">
        <v>3.7440000000000002</v>
      </c>
      <c r="J18">
        <v>3.9829500000000002</v>
      </c>
      <c r="K18">
        <v>3.5259999999999998</v>
      </c>
      <c r="L18">
        <v>0</v>
      </c>
      <c r="M18">
        <v>317</v>
      </c>
      <c r="N18">
        <v>274</v>
      </c>
      <c r="O18">
        <v>134377</v>
      </c>
      <c r="P18">
        <v>463259.66700000002</v>
      </c>
      <c r="Q18">
        <v>4.9769300000000003</v>
      </c>
      <c r="R18">
        <v>308.83977800000002</v>
      </c>
      <c r="S18">
        <v>308.83977800000002</v>
      </c>
      <c r="T18">
        <v>1500</v>
      </c>
      <c r="U18" t="str">
        <v>36588-PELEGRI SCP (Ns 6,7)</v>
      </c>
    </row>
    <row r="19" spans="1:21" x14ac:dyDescent="0.25">
      <c r="A19" t="str">
        <v>2025-11-21</v>
      </c>
      <c r="B19" t="str">
        <v>36589-PELEGRI-L:144-N:4-A:A13-POLLO AMARILLO MACHO</v>
      </c>
      <c r="C19" t="str">
        <v>POLLO AMARILLO MACHO</v>
      </c>
      <c r="D19">
        <v>25827</v>
      </c>
      <c r="E19" t="str">
        <v>Broiler Amarillo</v>
      </c>
      <c r="F19">
        <v>53</v>
      </c>
      <c r="G19">
        <v>26000</v>
      </c>
      <c r="H19" t="str">
        <v>Abierto</v>
      </c>
      <c r="I19">
        <v>3.7440000000000002</v>
      </c>
      <c r="J19">
        <v>3.9829500000000002</v>
      </c>
      <c r="K19">
        <v>3.5259999999999998</v>
      </c>
      <c r="L19">
        <v>0</v>
      </c>
      <c r="M19">
        <v>170</v>
      </c>
      <c r="N19">
        <v>185</v>
      </c>
      <c r="O19">
        <v>52164</v>
      </c>
      <c r="P19">
        <v>179684.17499999999</v>
      </c>
      <c r="Q19">
        <v>4.6616600000000004</v>
      </c>
      <c r="R19">
        <v>277.2903935185185</v>
      </c>
      <c r="S19">
        <v>277.2903935185185</v>
      </c>
      <c r="T19">
        <v>648</v>
      </c>
      <c r="U19" t="str">
        <v>36589-PELEGRI</v>
      </c>
    </row>
    <row r="20" spans="1:21" x14ac:dyDescent="0.25">
      <c r="A20" t="str">
        <v>2025-11-21</v>
      </c>
      <c r="B20" t="str">
        <v>36588-PELEGRI SCP (Ns 6,7)-L:063-N:7-A:A13-POLLO AMARILLO MACHO</v>
      </c>
      <c r="C20" t="str">
        <v>POLLO AMARILLO MACHO</v>
      </c>
      <c r="D20">
        <v>67217</v>
      </c>
      <c r="E20" t="str">
        <v>Broiler Amarillo</v>
      </c>
      <c r="F20">
        <v>53</v>
      </c>
      <c r="G20">
        <v>67500</v>
      </c>
      <c r="H20" t="str">
        <v>Abierto</v>
      </c>
      <c r="I20">
        <v>3.7440000000000002</v>
      </c>
      <c r="J20">
        <v>3.9829500000000002</v>
      </c>
      <c r="K20">
        <v>3.5259999999999998</v>
      </c>
      <c r="L20">
        <v>0</v>
      </c>
      <c r="M20">
        <v>280</v>
      </c>
      <c r="N20">
        <v>481</v>
      </c>
      <c r="O20">
        <v>134464</v>
      </c>
      <c r="P20">
        <v>463555.745</v>
      </c>
      <c r="Q20">
        <v>4.9801500000000001</v>
      </c>
      <c r="R20">
        <v>309.03716333333335</v>
      </c>
      <c r="S20">
        <v>309.03716333333335</v>
      </c>
      <c r="T20">
        <v>1500</v>
      </c>
      <c r="U20" t="str">
        <v>36588-PELEGRI SCP (Ns 6,7)</v>
      </c>
    </row>
    <row r="21" spans="1:21" x14ac:dyDescent="0.25">
      <c r="A21" t="str">
        <v>2025-11-21</v>
      </c>
      <c r="B21" t="str">
        <v>36589-PELEGRI-L:144-N:5-A:A13-POLLO AMARILLO MACHO</v>
      </c>
      <c r="C21" t="str">
        <v>POLLO AMARILLO MACHO</v>
      </c>
      <c r="D21">
        <v>32327</v>
      </c>
      <c r="E21" t="str">
        <v>Broiler Amarillo</v>
      </c>
      <c r="F21">
        <v>53</v>
      </c>
      <c r="G21">
        <v>32500</v>
      </c>
      <c r="H21" t="str">
        <v>Abierto</v>
      </c>
      <c r="I21">
        <v>3.7440000000000002</v>
      </c>
      <c r="J21">
        <v>3.9829500000000002</v>
      </c>
      <c r="K21">
        <v>3.5259999999999998</v>
      </c>
      <c r="L21">
        <v>0</v>
      </c>
      <c r="M21">
        <v>170</v>
      </c>
      <c r="N21">
        <v>219</v>
      </c>
      <c r="O21">
        <v>64654</v>
      </c>
      <c r="P21">
        <v>222894.66500000001</v>
      </c>
      <c r="Q21">
        <v>4.7750399999999997</v>
      </c>
      <c r="R21">
        <v>284.30441964285717</v>
      </c>
      <c r="S21">
        <v>284.30441964285717</v>
      </c>
      <c r="T21">
        <v>784</v>
      </c>
      <c r="U21" t="str">
        <v>36589-PELEGRI</v>
      </c>
    </row>
    <row r="22" spans="1:21" x14ac:dyDescent="0.25">
      <c r="A22" t="str">
        <v>2025-11-21</v>
      </c>
      <c r="B22" t="str">
        <v>36589-PELEGRI-L:144-N:3-A:A13-POLLO AMARILLO MACHO</v>
      </c>
      <c r="C22" t="str">
        <v>POLLO AMARILLO MACHO</v>
      </c>
      <c r="D22">
        <v>26372</v>
      </c>
      <c r="E22" t="str">
        <v>Broiler Amarillo</v>
      </c>
      <c r="F22">
        <v>53</v>
      </c>
      <c r="G22">
        <v>26500</v>
      </c>
      <c r="H22" t="str">
        <v>Abierto</v>
      </c>
      <c r="I22">
        <v>3.7440000000000002</v>
      </c>
      <c r="J22">
        <v>3.9829500000000002</v>
      </c>
      <c r="K22">
        <v>3.5259999999999998</v>
      </c>
      <c r="L22">
        <v>0</v>
      </c>
      <c r="M22">
        <v>125</v>
      </c>
      <c r="N22">
        <v>188</v>
      </c>
      <c r="O22">
        <v>52239</v>
      </c>
      <c r="P22">
        <v>180243.685</v>
      </c>
      <c r="Q22">
        <v>4.6683599999999998</v>
      </c>
      <c r="R22">
        <v>278.15383487654321</v>
      </c>
      <c r="S22">
        <v>278.15383487654321</v>
      </c>
      <c r="T22">
        <v>648</v>
      </c>
      <c r="U22" t="str">
        <v>36589-PELEGRI</v>
      </c>
    </row>
    <row r="23" spans="1:21" x14ac:dyDescent="0.25">
      <c r="A23" t="str">
        <v>2025-11-21</v>
      </c>
      <c r="B23" t="str">
        <v>36789-GABANDE LOPEZ EVA-1 (ALENTORN)-L:085-N:2-A:A13-POLLO AMARILLO MACHO</v>
      </c>
      <c r="C23" t="str">
        <v>POLLO AMARILLO MACHO</v>
      </c>
      <c r="D23">
        <v>12737</v>
      </c>
      <c r="E23" t="str">
        <v>Broiler Amarillo</v>
      </c>
      <c r="F23">
        <v>56</v>
      </c>
      <c r="G23">
        <v>12900</v>
      </c>
      <c r="H23" t="str">
        <v>Abierto</v>
      </c>
      <c r="I23">
        <v>3.7389999999999999</v>
      </c>
      <c r="J23">
        <v>3.77555</v>
      </c>
      <c r="K23">
        <v>3.702</v>
      </c>
      <c r="L23">
        <v>0</v>
      </c>
      <c r="M23">
        <v>160</v>
      </c>
      <c r="N23">
        <v>31</v>
      </c>
      <c r="O23">
        <v>26074</v>
      </c>
      <c r="P23">
        <v>88848.31</v>
      </c>
      <c r="Q23">
        <v>3.2592500000000002</v>
      </c>
      <c r="R23">
        <v>167.00810150375941</v>
      </c>
      <c r="S23">
        <v>167.00810150375941</v>
      </c>
      <c r="T23">
        <v>532</v>
      </c>
      <c r="U23" t="str">
        <v>36789-GABANDE LOPEZ EVA-1 (ALENTORN)</v>
      </c>
    </row>
    <row r="24" spans="1:21" x14ac:dyDescent="0.25">
      <c r="A24" t="str">
        <v>2025-11-21</v>
      </c>
      <c r="B24" t="str">
        <v>36978-CORAL SANTACANA SLU-L:036-N:3-A:A13-POLLO AMARILLO MACHO</v>
      </c>
      <c r="C24" t="str">
        <v>POLLO AMARILLO MACHO</v>
      </c>
      <c r="D24">
        <v>31950</v>
      </c>
      <c r="E24" t="str">
        <v>Broiler Amarillo</v>
      </c>
      <c r="F24">
        <v>56</v>
      </c>
      <c r="G24">
        <v>32100</v>
      </c>
      <c r="H24" t="str">
        <v>Abierto</v>
      </c>
      <c r="I24">
        <v>3.73</v>
      </c>
      <c r="J24">
        <v>4.17957</v>
      </c>
      <c r="K24">
        <v>3.702</v>
      </c>
      <c r="L24">
        <v>0</v>
      </c>
      <c r="M24">
        <v>150</v>
      </c>
      <c r="N24">
        <v>381</v>
      </c>
      <c r="O24">
        <v>64265</v>
      </c>
      <c r="P24">
        <v>219026.85</v>
      </c>
      <c r="Q24">
        <v>3.10609</v>
      </c>
      <c r="R24">
        <v>189.46959342560552</v>
      </c>
      <c r="S24">
        <v>189.46959342560552</v>
      </c>
      <c r="T24">
        <v>1156</v>
      </c>
      <c r="U24" t="str">
        <v>36978-CORAL SANTACANA SLU</v>
      </c>
    </row>
    <row r="25" spans="1:21" x14ac:dyDescent="0.25">
      <c r="A25" t="str">
        <v>2025-11-21</v>
      </c>
      <c r="B25" t="str">
        <v>36863-GABANDE LOPEZ EVA - 2 (VERNET)-L:075-N:1-A:A13-POLLO AMARILLO MACHO</v>
      </c>
      <c r="C25" t="str">
        <v>POLLO AMARILLO MACHO</v>
      </c>
      <c r="D25">
        <v>17514</v>
      </c>
      <c r="E25" t="str">
        <v>Broiler Amarillo</v>
      </c>
      <c r="F25">
        <v>57</v>
      </c>
      <c r="G25">
        <v>17700</v>
      </c>
      <c r="H25" t="str">
        <v>Abierto</v>
      </c>
      <c r="I25">
        <v>3.7290000000000001</v>
      </c>
      <c r="J25">
        <v>3.4268800000000001</v>
      </c>
      <c r="K25">
        <v>3.758</v>
      </c>
      <c r="L25">
        <v>0</v>
      </c>
      <c r="M25">
        <v>183</v>
      </c>
      <c r="N25">
        <v>203</v>
      </c>
      <c r="O25">
        <v>35011</v>
      </c>
      <c r="P25">
        <v>120180.298</v>
      </c>
      <c r="Q25">
        <v>2.97966</v>
      </c>
      <c r="R25">
        <v>154.07730512820513</v>
      </c>
      <c r="S25">
        <v>154.07730512820513</v>
      </c>
      <c r="T25">
        <v>780</v>
      </c>
      <c r="U25" t="str">
        <v>36863-GABANDE LOPEZ EVA - 2 (VERNET)</v>
      </c>
    </row>
    <row r="26" spans="1:21" x14ac:dyDescent="0.25">
      <c r="A26" t="str">
        <v>2025-11-21</v>
      </c>
      <c r="B26" t="str">
        <v>36978-CORAL SANTACANA SLU-L:036-N:2-A:A13-POLLO AMARILLO MACHO</v>
      </c>
      <c r="C26" t="str">
        <v>POLLO AMARILLO MACHO</v>
      </c>
      <c r="D26">
        <v>25500</v>
      </c>
      <c r="E26" t="str">
        <v>Broiler Amarillo</v>
      </c>
      <c r="F26">
        <v>56</v>
      </c>
      <c r="G26">
        <v>25800</v>
      </c>
      <c r="H26" t="str">
        <v>Abierto</v>
      </c>
      <c r="I26">
        <v>3.702</v>
      </c>
      <c r="J26">
        <v>3.702</v>
      </c>
      <c r="K26">
        <v>3.702</v>
      </c>
      <c r="L26">
        <v>0</v>
      </c>
      <c r="M26">
        <v>300</v>
      </c>
      <c r="N26">
        <v>300</v>
      </c>
      <c r="O26">
        <v>52033</v>
      </c>
      <c r="P26">
        <v>177316.625</v>
      </c>
      <c r="Q26">
        <v>3.1474099999999998</v>
      </c>
      <c r="R26">
        <v>191.90110930735932</v>
      </c>
      <c r="S26">
        <v>191.90110930735932</v>
      </c>
      <c r="T26">
        <v>924</v>
      </c>
      <c r="U26" t="str">
        <v>36978-CORAL SANTACANA SLU</v>
      </c>
    </row>
    <row r="27" spans="1:21" x14ac:dyDescent="0.25">
      <c r="A27" t="str">
        <v>2025-11-21</v>
      </c>
      <c r="B27" t="str">
        <v>36666-PONS FAURA SCP-L:144-N:1-A:A13-POLLO AMARILLO MACHO</v>
      </c>
      <c r="C27" t="str">
        <v>POLLO AMARILLO MACHO</v>
      </c>
      <c r="D27">
        <v>50065</v>
      </c>
      <c r="E27" t="str">
        <v>Broiler Amarillo</v>
      </c>
      <c r="F27">
        <v>52</v>
      </c>
      <c r="G27">
        <v>50400</v>
      </c>
      <c r="H27" t="str">
        <v>Abierto</v>
      </c>
      <c r="I27">
        <v>3.6019999999999999</v>
      </c>
      <c r="J27">
        <v>3.8050199999999998</v>
      </c>
      <c r="K27">
        <v>3.4609999999999999</v>
      </c>
      <c r="L27">
        <v>0</v>
      </c>
      <c r="M27">
        <v>332</v>
      </c>
      <c r="N27">
        <v>431</v>
      </c>
      <c r="O27">
        <v>99713</v>
      </c>
      <c r="P27">
        <v>327242.56199999998</v>
      </c>
      <c r="Q27">
        <v>4.1547099999999997</v>
      </c>
      <c r="R27">
        <v>231.10350423728815</v>
      </c>
      <c r="S27">
        <v>231.10350423728815</v>
      </c>
      <c r="T27">
        <v>1416</v>
      </c>
      <c r="U27" t="str">
        <v>36666-PONS FAURA SCP</v>
      </c>
    </row>
    <row r="28" spans="1:21" x14ac:dyDescent="0.25">
      <c r="A28" t="str">
        <v>2025-11-21</v>
      </c>
      <c r="B28" t="str">
        <v>36811-FORCADES PEREZ JOSEP MARIA-L:076-N:3-A:A15-POLLO AMARILLO MIXTO</v>
      </c>
      <c r="C28" t="str">
        <v>POLLO AMARILLO MIXTO</v>
      </c>
      <c r="D28">
        <v>25474</v>
      </c>
      <c r="E28" t="str">
        <v>Broiler Amarillo</v>
      </c>
      <c r="F28">
        <v>57</v>
      </c>
      <c r="G28">
        <v>25650</v>
      </c>
      <c r="H28" t="str">
        <v>Abierto</v>
      </c>
      <c r="I28">
        <v>3.48</v>
      </c>
      <c r="J28">
        <v>3.9184199999999998</v>
      </c>
      <c r="K28">
        <v>3.4460000000000002</v>
      </c>
      <c r="L28">
        <v>0</v>
      </c>
      <c r="M28">
        <v>174</v>
      </c>
      <c r="N28">
        <v>300</v>
      </c>
      <c r="O28">
        <v>25474</v>
      </c>
      <c r="P28">
        <v>88649.52</v>
      </c>
      <c r="Q28">
        <v>2.8304399999999998</v>
      </c>
      <c r="R28">
        <v>194.40684210526317</v>
      </c>
      <c r="S28">
        <v>194.40684210526317</v>
      </c>
      <c r="T28">
        <v>456</v>
      </c>
      <c r="U28" t="str">
        <v>36811-FORCADES PEREZ JOSEP MARIA</v>
      </c>
    </row>
    <row r="29" spans="1:21" x14ac:dyDescent="0.25">
      <c r="A29" t="str">
        <v>2025-11-21</v>
      </c>
      <c r="B29" t="str">
        <v>36033-ORONICH BONET SCP-L:030-N:1-A:A13-POLLO AMARILLO MACHO</v>
      </c>
      <c r="C29" t="str">
        <v>POLLO AMARILLO MACHO</v>
      </c>
      <c r="D29">
        <v>72766</v>
      </c>
      <c r="E29" t="str">
        <v>Broiler Amarillo</v>
      </c>
      <c r="F29">
        <v>52</v>
      </c>
      <c r="G29">
        <v>72800</v>
      </c>
      <c r="H29" t="str">
        <v>Abierto</v>
      </c>
      <c r="I29">
        <v>3.4609999999999999</v>
      </c>
      <c r="J29">
        <v>3.4609999999999999</v>
      </c>
      <c r="K29">
        <v>3.4609999999999999</v>
      </c>
      <c r="L29">
        <v>0</v>
      </c>
      <c r="M29">
        <v>34</v>
      </c>
      <c r="N29">
        <v>34</v>
      </c>
      <c r="O29">
        <v>148091</v>
      </c>
      <c r="P29">
        <v>470511.60100000002</v>
      </c>
      <c r="Q29">
        <v>4.1136400000000002</v>
      </c>
      <c r="R29">
        <v>229.07088656280428</v>
      </c>
      <c r="S29">
        <v>229.07088656280428</v>
      </c>
      <c r="T29">
        <v>2054</v>
      </c>
      <c r="U29" t="str">
        <v>36033-ORONICH BONET SCP</v>
      </c>
    </row>
    <row r="30" spans="1:21" x14ac:dyDescent="0.25">
      <c r="A30" t="str">
        <v>2025-11-21</v>
      </c>
      <c r="B30" t="str">
        <v>36012-RAMADERIA FERPRATS- J FDZ - 2-L:030-N:4-A:A13-POLLO AMARILLO MACHO</v>
      </c>
      <c r="C30" t="str">
        <v>POLLO AMARILLO MACHO</v>
      </c>
      <c r="D30">
        <v>30007</v>
      </c>
      <c r="E30" t="str">
        <v>Broiler Amarillo</v>
      </c>
      <c r="F30">
        <v>50</v>
      </c>
      <c r="G30">
        <v>30200</v>
      </c>
      <c r="H30" t="str">
        <v>Abierto</v>
      </c>
      <c r="I30">
        <v>3.444</v>
      </c>
      <c r="J30">
        <v>3.60642</v>
      </c>
      <c r="K30">
        <v>3.323</v>
      </c>
      <c r="L30">
        <v>0</v>
      </c>
      <c r="M30">
        <v>190</v>
      </c>
      <c r="N30">
        <v>519</v>
      </c>
      <c r="O30">
        <v>60054</v>
      </c>
      <c r="P30">
        <v>190901.06599999999</v>
      </c>
      <c r="Q30">
        <v>2.0139499999999999</v>
      </c>
      <c r="R30">
        <v>115.69761575757576</v>
      </c>
      <c r="S30">
        <v>115.69761575757576</v>
      </c>
      <c r="T30">
        <v>1650</v>
      </c>
      <c r="U30" t="str">
        <v>36012-RAMADERIA FERPRATS- J FDZ - 2</v>
      </c>
    </row>
    <row r="31" spans="1:21" x14ac:dyDescent="0.25">
      <c r="A31" t="str">
        <v>2025-11-21</v>
      </c>
      <c r="B31" t="str">
        <v>36733-BOIX LLOP SC- 3-L:078-N:3-A:A13-POLLO AMARILLO MACHO</v>
      </c>
      <c r="C31" t="str">
        <v>POLLO AMARILLO MACHO</v>
      </c>
      <c r="D31">
        <v>32301</v>
      </c>
      <c r="E31" t="str">
        <v>Broiler Amarillo</v>
      </c>
      <c r="F31">
        <v>49</v>
      </c>
      <c r="G31">
        <v>32700</v>
      </c>
      <c r="H31" t="str">
        <v>Abierto</v>
      </c>
      <c r="I31">
        <v>3.44</v>
      </c>
      <c r="J31">
        <v>3.6863100000000002</v>
      </c>
      <c r="K31">
        <v>3.2490000000000001</v>
      </c>
      <c r="L31">
        <v>0</v>
      </c>
      <c r="M31">
        <v>390</v>
      </c>
      <c r="N31">
        <v>300</v>
      </c>
      <c r="O31">
        <v>64599</v>
      </c>
      <c r="P31">
        <v>209269.06200000001</v>
      </c>
      <c r="Q31">
        <v>2.97417</v>
      </c>
      <c r="R31">
        <v>193.76765</v>
      </c>
      <c r="S31">
        <v>193.76765</v>
      </c>
      <c r="T31">
        <v>1080</v>
      </c>
      <c r="U31" t="str">
        <v>36733-BOIX LLOP SC- 3</v>
      </c>
    </row>
    <row r="32" spans="1:21" x14ac:dyDescent="0.25">
      <c r="A32" t="str">
        <v>2025-11-21</v>
      </c>
      <c r="B32" t="str">
        <v>36308-CAL CASO SCP-L:147-N:1-A:A13-POLLO AMARILLO MACHO</v>
      </c>
      <c r="C32" t="str">
        <v>POLLO AMARILLO MACHO</v>
      </c>
      <c r="D32">
        <v>1661</v>
      </c>
      <c r="E32" t="str">
        <v>Broiler Amarillo</v>
      </c>
      <c r="F32">
        <v>57</v>
      </c>
      <c r="G32">
        <v>17700</v>
      </c>
      <c r="H32" t="str">
        <v>Abierto</v>
      </c>
      <c r="I32">
        <v>3.41167</v>
      </c>
      <c r="J32">
        <v>2.9841899999999999</v>
      </c>
      <c r="K32">
        <v>3.758</v>
      </c>
      <c r="L32">
        <v>-15978</v>
      </c>
      <c r="M32">
        <v>58</v>
      </c>
      <c r="N32">
        <v>66</v>
      </c>
      <c r="O32">
        <v>18944</v>
      </c>
      <c r="P32">
        <v>60004.536</v>
      </c>
      <c r="Q32">
        <v>1.51552</v>
      </c>
      <c r="R32">
        <v>80.977781376518223</v>
      </c>
      <c r="S32">
        <v>80.977781376518223</v>
      </c>
      <c r="T32">
        <v>741</v>
      </c>
      <c r="U32" t="str">
        <v>36308-CAL CASO SCP</v>
      </c>
    </row>
    <row r="33" spans="1:21" x14ac:dyDescent="0.25">
      <c r="A33" t="str">
        <v>2025-11-21</v>
      </c>
      <c r="B33" t="str">
        <v>36011-RAMADERIA FERPRATS- J FDZ - 1-L:030-N:7-A:A13-POLLO AMARILLO MACHO</v>
      </c>
      <c r="C33" t="str">
        <v>POLLO AMARILLO MACHO</v>
      </c>
      <c r="D33">
        <v>15327</v>
      </c>
      <c r="E33" t="str">
        <v>Broiler Amarillo</v>
      </c>
      <c r="F33">
        <v>49</v>
      </c>
      <c r="G33">
        <v>15600</v>
      </c>
      <c r="H33" t="str">
        <v>Abierto</v>
      </c>
      <c r="I33">
        <v>3.3959999999999999</v>
      </c>
      <c r="J33">
        <v>3.60738</v>
      </c>
      <c r="K33">
        <v>3.2490000000000001</v>
      </c>
      <c r="L33">
        <v>0</v>
      </c>
      <c r="M33">
        <v>270</v>
      </c>
      <c r="N33">
        <v>281</v>
      </c>
      <c r="O33">
        <v>30674</v>
      </c>
      <c r="P33">
        <v>96541.445000000007</v>
      </c>
      <c r="Q33">
        <v>2.0628099999999998</v>
      </c>
      <c r="R33">
        <v>100.56400520833333</v>
      </c>
      <c r="S33">
        <v>100.56400520833333</v>
      </c>
      <c r="T33">
        <v>960</v>
      </c>
      <c r="U33" t="str">
        <v>36011-RAMADERIA FERPRATS- J FDZ - 1</v>
      </c>
    </row>
    <row r="34" spans="1:21" x14ac:dyDescent="0.25">
      <c r="A34" t="str">
        <v>2025-11-21</v>
      </c>
      <c r="B34" t="str">
        <v>36733-BOIX LLOP SC- 3-L:078-N:1-A:A13-POLLO AMARILLO MACHO</v>
      </c>
      <c r="C34" t="str">
        <v>POLLO AMARILLO MACHO</v>
      </c>
      <c r="D34">
        <v>31007</v>
      </c>
      <c r="E34" t="str">
        <v>Broiler Amarillo</v>
      </c>
      <c r="F34">
        <v>49</v>
      </c>
      <c r="G34">
        <v>31500</v>
      </c>
      <c r="H34" t="str">
        <v>Abierto</v>
      </c>
      <c r="I34">
        <v>3.367</v>
      </c>
      <c r="J34">
        <v>3.4770500000000002</v>
      </c>
      <c r="K34">
        <v>3.2490000000000001</v>
      </c>
      <c r="L34">
        <v>0</v>
      </c>
      <c r="M34">
        <v>478</v>
      </c>
      <c r="N34">
        <v>375</v>
      </c>
      <c r="O34">
        <v>64507</v>
      </c>
      <c r="P34">
        <v>202857.06899999999</v>
      </c>
      <c r="Q34">
        <v>2.6722000000000001</v>
      </c>
      <c r="R34">
        <v>169.04755750000001</v>
      </c>
      <c r="S34">
        <v>169.04755750000001</v>
      </c>
      <c r="T34">
        <v>1200</v>
      </c>
      <c r="U34" t="str">
        <v>36733-BOIX LLOP SC- 3</v>
      </c>
    </row>
    <row r="35" spans="1:21" x14ac:dyDescent="0.25">
      <c r="A35" t="str">
        <v>2025-11-21</v>
      </c>
      <c r="B35" t="str">
        <v>36946-TRIBO MUÑOZ CRISTINA - 2-L:040-N:3-A:A14-POLLO AMARILLO HEMBRAS</v>
      </c>
      <c r="C35" t="str">
        <v>POLLO AMARILLO HEMBRAS</v>
      </c>
      <c r="D35">
        <v>20821</v>
      </c>
      <c r="E35" t="str">
        <v>Broiler Amarillo</v>
      </c>
      <c r="F35">
        <v>60</v>
      </c>
      <c r="G35">
        <v>21000</v>
      </c>
      <c r="H35" t="str">
        <v>Abierto</v>
      </c>
      <c r="I35">
        <v>3.2879999999999998</v>
      </c>
      <c r="J35">
        <v>3.44726</v>
      </c>
      <c r="K35">
        <v>3.2749999999999999</v>
      </c>
      <c r="L35">
        <v>0</v>
      </c>
      <c r="M35">
        <v>177</v>
      </c>
      <c r="N35">
        <v>234</v>
      </c>
      <c r="O35">
        <v>41619</v>
      </c>
      <c r="P35">
        <v>150507.55799999999</v>
      </c>
      <c r="Q35">
        <v>3.20146</v>
      </c>
      <c r="R35">
        <v>167.23061999999999</v>
      </c>
      <c r="S35">
        <v>167.23061999999999</v>
      </c>
      <c r="T35">
        <v>900</v>
      </c>
      <c r="U35" t="str">
        <v>36946-TRIBO MUÑOZ CRISTINA - 2</v>
      </c>
    </row>
    <row r="36" spans="1:21" x14ac:dyDescent="0.25">
      <c r="A36" t="str">
        <v>2025-11-21</v>
      </c>
      <c r="B36" t="str">
        <v>36011-RAMADERIA FERPRATS- J FDZ - 1-L:030-N:2-A:A15-POLLO AMARILLO MIXTO</v>
      </c>
      <c r="C36" t="str">
        <v>POLLO AMARILLO MIXTO</v>
      </c>
      <c r="D36">
        <v>18424</v>
      </c>
      <c r="E36" t="str">
        <v>Broiler Amarillo</v>
      </c>
      <c r="F36">
        <v>49</v>
      </c>
      <c r="G36">
        <v>18800</v>
      </c>
      <c r="H36" t="str">
        <v>Abierto</v>
      </c>
      <c r="I36">
        <v>3.1819999999999999</v>
      </c>
      <c r="J36">
        <v>3.43499</v>
      </c>
      <c r="K36">
        <v>2.9950000000000001</v>
      </c>
      <c r="L36">
        <v>0</v>
      </c>
      <c r="M36">
        <v>373</v>
      </c>
      <c r="N36">
        <v>319</v>
      </c>
      <c r="O36">
        <v>18424</v>
      </c>
      <c r="P36">
        <v>58625.167999999998</v>
      </c>
      <c r="Q36">
        <v>1.98214</v>
      </c>
      <c r="R36">
        <v>97.708613333333332</v>
      </c>
      <c r="S36">
        <v>97.708613333333332</v>
      </c>
      <c r="T36">
        <v>600</v>
      </c>
      <c r="U36" t="str">
        <v>36011-RAMADERIA FERPRATS- J FDZ - 1</v>
      </c>
    </row>
    <row r="37" spans="1:21" x14ac:dyDescent="0.25">
      <c r="A37" t="str">
        <v>2025-11-21</v>
      </c>
      <c r="B37" t="str">
        <v>36011-RAMADERIA FERPRATS- J FDZ - 1-L:030-N:1-A:A15-POLLO AMARILLO MIXTO</v>
      </c>
      <c r="C37" t="str">
        <v>POLLO AMARILLO MIXTO</v>
      </c>
      <c r="D37">
        <v>18511</v>
      </c>
      <c r="E37" t="str">
        <v>Broiler Amarillo</v>
      </c>
      <c r="F37">
        <v>49</v>
      </c>
      <c r="G37">
        <v>18800</v>
      </c>
      <c r="H37" t="str">
        <v>Abierto</v>
      </c>
      <c r="I37">
        <v>3.1720000000000002</v>
      </c>
      <c r="J37">
        <v>3.4113699999999998</v>
      </c>
      <c r="K37">
        <v>2.9950000000000001</v>
      </c>
      <c r="L37">
        <v>0</v>
      </c>
      <c r="M37">
        <v>286</v>
      </c>
      <c r="N37">
        <v>319</v>
      </c>
      <c r="O37">
        <v>18511</v>
      </c>
      <c r="P37">
        <v>58716.892</v>
      </c>
      <c r="Q37">
        <v>1.9915</v>
      </c>
      <c r="R37">
        <v>97.861486666666664</v>
      </c>
      <c r="S37">
        <v>97.861486666666664</v>
      </c>
      <c r="T37">
        <v>600</v>
      </c>
      <c r="U37" t="str">
        <v>36011-RAMADERIA FERPRATS- J FDZ - 1</v>
      </c>
    </row>
    <row r="38" spans="1:21" x14ac:dyDescent="0.25">
      <c r="A38" t="str">
        <v>2025-11-21</v>
      </c>
      <c r="B38" t="str">
        <v>36811-FORCADES PEREZ JOSEP MARIA-L:076-N:2-A:A14-POLLO AMARILLO HEMBRAS</v>
      </c>
      <c r="C38" t="str">
        <v>POLLO AMARILLO HEMBRAS</v>
      </c>
      <c r="D38">
        <v>23028</v>
      </c>
      <c r="E38" t="str">
        <v>Broiler Amarillo</v>
      </c>
      <c r="F38">
        <v>57</v>
      </c>
      <c r="G38">
        <v>23400</v>
      </c>
      <c r="H38" t="str">
        <v>Abierto</v>
      </c>
      <c r="I38">
        <v>3.165</v>
      </c>
      <c r="J38">
        <v>3.5041899999999999</v>
      </c>
      <c r="K38">
        <v>3.1360000000000001</v>
      </c>
      <c r="L38">
        <v>0</v>
      </c>
      <c r="M38">
        <v>363</v>
      </c>
      <c r="N38">
        <v>169</v>
      </c>
      <c r="O38">
        <v>46309</v>
      </c>
      <c r="P38">
        <v>160373.61799999999</v>
      </c>
      <c r="Q38">
        <v>3.0872700000000002</v>
      </c>
      <c r="R38">
        <v>187.57148304093568</v>
      </c>
      <c r="S38">
        <v>187.57148304093568</v>
      </c>
      <c r="T38">
        <v>855</v>
      </c>
      <c r="U38" t="str">
        <v>36811-FORCADES PEREZ JOSEP MARIA</v>
      </c>
    </row>
    <row r="39" spans="1:21" x14ac:dyDescent="0.25">
      <c r="A39" t="str">
        <v>2025-11-21</v>
      </c>
      <c r="B39" t="str">
        <v>36733-BOIX LLOP SC- 3-L:078-N:2-A:A15-POLLO AMARILLO MIXTO</v>
      </c>
      <c r="C39" t="str">
        <v>POLLO AMARILLO MIXTO</v>
      </c>
      <c r="D39">
        <v>64822</v>
      </c>
      <c r="E39" t="str">
        <v>Broiler Amarillo</v>
      </c>
      <c r="F39">
        <v>49</v>
      </c>
      <c r="G39">
        <v>65550</v>
      </c>
      <c r="H39" t="str">
        <v>Abierto</v>
      </c>
      <c r="I39">
        <v>3.153</v>
      </c>
      <c r="J39">
        <v>3.29216</v>
      </c>
      <c r="K39">
        <v>2.9950000000000001</v>
      </c>
      <c r="L39">
        <v>0</v>
      </c>
      <c r="M39">
        <v>722</v>
      </c>
      <c r="N39">
        <v>485</v>
      </c>
      <c r="O39">
        <v>64822</v>
      </c>
      <c r="P39">
        <v>204383.766</v>
      </c>
      <c r="Q39">
        <v>2.6852499999999999</v>
      </c>
      <c r="R39">
        <v>170.319805</v>
      </c>
      <c r="S39">
        <v>170.319805</v>
      </c>
      <c r="T39">
        <v>1200</v>
      </c>
      <c r="U39" t="str">
        <v>36733-BOIX LLOP SC- 3</v>
      </c>
    </row>
    <row r="40" spans="1:21" x14ac:dyDescent="0.25">
      <c r="A40" t="str">
        <v>2025-11-21</v>
      </c>
      <c r="B40" t="str">
        <v>36588-PELEGRI SCP (Ns 6,7)-L:063-N:7-A:A14-POLLO AMARILLO HEMBRAS</v>
      </c>
      <c r="C40" t="str">
        <v>POLLO AMARILLO HEMBRAS</v>
      </c>
      <c r="D40">
        <v>67247</v>
      </c>
      <c r="E40" t="str">
        <v>Broiler Amarillo</v>
      </c>
      <c r="F40">
        <v>53</v>
      </c>
      <c r="G40">
        <v>67500</v>
      </c>
      <c r="H40" t="str">
        <v>Abierto</v>
      </c>
      <c r="I40">
        <v>3.1509999999999998</v>
      </c>
      <c r="J40">
        <v>3.3422299999999998</v>
      </c>
      <c r="K40">
        <v>2.9529999999999998</v>
      </c>
      <c r="L40">
        <v>0</v>
      </c>
      <c r="M40">
        <v>250</v>
      </c>
      <c r="N40">
        <v>481</v>
      </c>
      <c r="O40">
        <v>134464</v>
      </c>
      <c r="P40">
        <v>463555.745</v>
      </c>
      <c r="Q40">
        <v>4.9801500000000001</v>
      </c>
      <c r="R40">
        <v>309.03716333333335</v>
      </c>
      <c r="S40">
        <v>309.03716333333335</v>
      </c>
      <c r="T40">
        <v>1500</v>
      </c>
      <c r="U40" t="str">
        <v>36588-PELEGRI SCP (Ns 6,7)</v>
      </c>
    </row>
    <row r="41" spans="1:21" x14ac:dyDescent="0.25">
      <c r="A41" t="str">
        <v>2025-11-21</v>
      </c>
      <c r="B41" t="str">
        <v>36589-PELEGRI-L:144-N:5-A:A14-POLLO AMARILLO HEMBRAS</v>
      </c>
      <c r="C41" t="str">
        <v>POLLO AMARILLO HEMBRAS</v>
      </c>
      <c r="D41">
        <v>32327</v>
      </c>
      <c r="E41" t="str">
        <v>Broiler Amarillo</v>
      </c>
      <c r="F41">
        <v>53</v>
      </c>
      <c r="G41">
        <v>32500</v>
      </c>
      <c r="H41" t="str">
        <v>Abierto</v>
      </c>
      <c r="I41">
        <v>3.1509999999999998</v>
      </c>
      <c r="J41">
        <v>3.3422299999999998</v>
      </c>
      <c r="K41">
        <v>2.9529999999999998</v>
      </c>
      <c r="L41">
        <v>0</v>
      </c>
      <c r="M41">
        <v>170</v>
      </c>
      <c r="N41">
        <v>219</v>
      </c>
      <c r="O41">
        <v>64654</v>
      </c>
      <c r="P41">
        <v>222894.66500000001</v>
      </c>
      <c r="Q41">
        <v>4.7750399999999997</v>
      </c>
      <c r="R41">
        <v>284.30441964285717</v>
      </c>
      <c r="S41">
        <v>284.30441964285717</v>
      </c>
      <c r="T41">
        <v>784</v>
      </c>
      <c r="U41" t="str">
        <v>36589-PELEGRI</v>
      </c>
    </row>
    <row r="42" spans="1:21" x14ac:dyDescent="0.25">
      <c r="A42" t="str">
        <v>2025-11-21</v>
      </c>
      <c r="B42" t="str">
        <v>36589-PELEGRI-L:144-N:2-A:A14-POLLO AMARILLO HEMBRAS</v>
      </c>
      <c r="C42" t="str">
        <v>POLLO AMARILLO HEMBRAS</v>
      </c>
      <c r="D42">
        <v>37327</v>
      </c>
      <c r="E42" t="str">
        <v>Broiler Amarillo</v>
      </c>
      <c r="F42">
        <v>53</v>
      </c>
      <c r="G42">
        <v>37500</v>
      </c>
      <c r="H42" t="str">
        <v>Abierto</v>
      </c>
      <c r="I42">
        <v>3.1509999999999998</v>
      </c>
      <c r="J42">
        <v>3.3422299999999998</v>
      </c>
      <c r="K42">
        <v>2.9529999999999998</v>
      </c>
      <c r="L42">
        <v>0</v>
      </c>
      <c r="M42">
        <v>170</v>
      </c>
      <c r="N42">
        <v>274</v>
      </c>
      <c r="O42">
        <v>74654</v>
      </c>
      <c r="P42">
        <v>257369.66500000001</v>
      </c>
      <c r="Q42">
        <v>4.8039899999999998</v>
      </c>
      <c r="R42">
        <v>285.96629444444443</v>
      </c>
      <c r="S42">
        <v>285.96629444444443</v>
      </c>
      <c r="T42">
        <v>900</v>
      </c>
      <c r="U42" t="str">
        <v>36589-PELEGRI</v>
      </c>
    </row>
    <row r="43" spans="1:21" x14ac:dyDescent="0.25">
      <c r="A43" t="str">
        <v>2025-11-21</v>
      </c>
      <c r="B43" t="str">
        <v>36589-PELEGRI-L:144-N:3-A:A14-POLLO AMARILLO HEMBRAS</v>
      </c>
      <c r="C43" t="str">
        <v>POLLO AMARILLO HEMBRAS</v>
      </c>
      <c r="D43">
        <v>25867</v>
      </c>
      <c r="E43" t="str">
        <v>Broiler Amarillo</v>
      </c>
      <c r="F43">
        <v>53</v>
      </c>
      <c r="G43">
        <v>26000</v>
      </c>
      <c r="H43" t="str">
        <v>Abierto</v>
      </c>
      <c r="I43">
        <v>3.1509999999999998</v>
      </c>
      <c r="J43">
        <v>3.3422299999999998</v>
      </c>
      <c r="K43">
        <v>2.9529999999999998</v>
      </c>
      <c r="L43">
        <v>0</v>
      </c>
      <c r="M43">
        <v>130</v>
      </c>
      <c r="N43">
        <v>185</v>
      </c>
      <c r="O43">
        <v>52239</v>
      </c>
      <c r="P43">
        <v>180243.685</v>
      </c>
      <c r="Q43">
        <v>4.6683599999999998</v>
      </c>
      <c r="R43">
        <v>278.15383487654321</v>
      </c>
      <c r="S43">
        <v>278.15383487654321</v>
      </c>
      <c r="T43">
        <v>648</v>
      </c>
      <c r="U43" t="str">
        <v>36589-PELEGRI</v>
      </c>
    </row>
    <row r="44" spans="1:21" x14ac:dyDescent="0.25">
      <c r="A44" t="str">
        <v>2025-11-21</v>
      </c>
      <c r="B44" t="str">
        <v>36589-PELEGRI-L:144-N:4-A:A14-POLLO AMARILLO HEMBRAS</v>
      </c>
      <c r="C44" t="str">
        <v>POLLO AMARILLO HEMBRAS</v>
      </c>
      <c r="D44">
        <v>26337</v>
      </c>
      <c r="E44" t="str">
        <v>Broiler Amarillo</v>
      </c>
      <c r="F44">
        <v>53</v>
      </c>
      <c r="G44">
        <v>26500</v>
      </c>
      <c r="H44" t="str">
        <v>Abierto</v>
      </c>
      <c r="I44">
        <v>3.1509999999999998</v>
      </c>
      <c r="J44">
        <v>3.3422299999999998</v>
      </c>
      <c r="K44">
        <v>2.9529999999999998</v>
      </c>
      <c r="L44">
        <v>0</v>
      </c>
      <c r="M44">
        <v>160</v>
      </c>
      <c r="N44">
        <v>188</v>
      </c>
      <c r="O44">
        <v>52164</v>
      </c>
      <c r="P44">
        <v>179684.17499999999</v>
      </c>
      <c r="Q44">
        <v>4.6616600000000004</v>
      </c>
      <c r="R44">
        <v>277.2903935185185</v>
      </c>
      <c r="S44">
        <v>277.2903935185185</v>
      </c>
      <c r="T44">
        <v>648</v>
      </c>
      <c r="U44" t="str">
        <v>36589-PELEGRI</v>
      </c>
    </row>
    <row r="45" spans="1:21" x14ac:dyDescent="0.25">
      <c r="A45" t="str">
        <v>2025-11-21</v>
      </c>
      <c r="B45" t="str">
        <v>36589-PELEGRI-L:144-N:1-A:A14-POLLO AMARILLO HEMBRAS</v>
      </c>
      <c r="C45" t="str">
        <v>POLLO AMARILLO HEMBRAS</v>
      </c>
      <c r="D45">
        <v>37347</v>
      </c>
      <c r="E45" t="str">
        <v>Broiler Amarillo</v>
      </c>
      <c r="F45">
        <v>53</v>
      </c>
      <c r="G45">
        <v>37500</v>
      </c>
      <c r="H45" t="str">
        <v>Abierto</v>
      </c>
      <c r="I45">
        <v>3.1509999999999998</v>
      </c>
      <c r="J45">
        <v>3.3422299999999998</v>
      </c>
      <c r="K45">
        <v>2.9529999999999998</v>
      </c>
      <c r="L45">
        <v>0</v>
      </c>
      <c r="M45">
        <v>150</v>
      </c>
      <c r="N45">
        <v>274</v>
      </c>
      <c r="O45">
        <v>74694</v>
      </c>
      <c r="P45">
        <v>257507.565</v>
      </c>
      <c r="Q45">
        <v>4.8065600000000002</v>
      </c>
      <c r="R45">
        <v>286.11951666666664</v>
      </c>
      <c r="S45">
        <v>286.11951666666664</v>
      </c>
      <c r="T45">
        <v>900</v>
      </c>
      <c r="U45" t="str">
        <v>36589-PELEGRI</v>
      </c>
    </row>
    <row r="46" spans="1:21" x14ac:dyDescent="0.25">
      <c r="A46" t="str">
        <v>2025-11-21</v>
      </c>
      <c r="B46" t="str">
        <v>36034-ALCOLEA MARTI, EFREN-L:028-N:2-A:A14-POLLO AMARILLO HEMBRAS</v>
      </c>
      <c r="C46" t="str">
        <v>POLLO AMARILLO HEMBRAS</v>
      </c>
      <c r="D46">
        <v>56520</v>
      </c>
      <c r="E46" t="str">
        <v>Broiler Amarillo</v>
      </c>
      <c r="F46">
        <v>56</v>
      </c>
      <c r="G46">
        <v>56700</v>
      </c>
      <c r="H46" t="str">
        <v>Abierto</v>
      </c>
      <c r="I46">
        <v>3.1509999999999998</v>
      </c>
      <c r="J46">
        <v>3.8532199999999999</v>
      </c>
      <c r="K46">
        <v>3.09</v>
      </c>
      <c r="L46">
        <v>0</v>
      </c>
      <c r="M46">
        <v>175</v>
      </c>
      <c r="N46">
        <v>234</v>
      </c>
      <c r="O46">
        <v>112695</v>
      </c>
      <c r="P46">
        <v>389312.52</v>
      </c>
      <c r="Q46">
        <v>2.81738</v>
      </c>
      <c r="R46">
        <v>193.20720595533498</v>
      </c>
      <c r="S46">
        <v>193.20720595533498</v>
      </c>
      <c r="T46">
        <v>2015</v>
      </c>
      <c r="U46" t="str">
        <v>36034-ALCOLEA MARTI, EFREN</v>
      </c>
    </row>
    <row r="47" spans="1:21" x14ac:dyDescent="0.25">
      <c r="A47" t="str">
        <v>2025-11-21</v>
      </c>
      <c r="B47" t="str">
        <v>36588-PELEGRI SCP (Ns 6,7)-L:063-N:6-A:A14-POLLO AMARILLO HEMBRAS</v>
      </c>
      <c r="C47" t="str">
        <v>POLLO AMARILLO HEMBRAS</v>
      </c>
      <c r="D47">
        <v>67197</v>
      </c>
      <c r="E47" t="str">
        <v>Broiler Amarillo</v>
      </c>
      <c r="F47">
        <v>53</v>
      </c>
      <c r="G47">
        <v>67500</v>
      </c>
      <c r="H47" t="str">
        <v>Abierto</v>
      </c>
      <c r="I47">
        <v>3.1509999999999998</v>
      </c>
      <c r="J47">
        <v>3.3422299999999998</v>
      </c>
      <c r="K47">
        <v>2.9529999999999998</v>
      </c>
      <c r="L47">
        <v>0</v>
      </c>
      <c r="M47">
        <v>300</v>
      </c>
      <c r="N47">
        <v>325</v>
      </c>
      <c r="O47">
        <v>134377</v>
      </c>
      <c r="P47">
        <v>463259.66700000002</v>
      </c>
      <c r="Q47">
        <v>4.9769300000000003</v>
      </c>
      <c r="R47">
        <v>308.83977800000002</v>
      </c>
      <c r="S47">
        <v>308.83977800000002</v>
      </c>
      <c r="T47">
        <v>1500</v>
      </c>
      <c r="U47" t="str">
        <v>36588-PELEGRI SCP (Ns 6,7)</v>
      </c>
    </row>
    <row r="48" spans="1:21" x14ac:dyDescent="0.25">
      <c r="A48" t="str">
        <v>2025-11-21</v>
      </c>
      <c r="B48" t="str">
        <v>36308-CAL CASO SCP-L:147-N:1-A:A14-POLLO AMARILLO HEMBRAS</v>
      </c>
      <c r="C48" t="str">
        <v>POLLO AMARILLO HEMBRAS</v>
      </c>
      <c r="D48">
        <v>17283</v>
      </c>
      <c r="E48" t="str">
        <v>Broiler Amarillo</v>
      </c>
      <c r="F48">
        <v>57</v>
      </c>
      <c r="G48">
        <v>17400</v>
      </c>
      <c r="H48" t="str">
        <v>Abierto</v>
      </c>
      <c r="I48">
        <v>3.1440000000000001</v>
      </c>
      <c r="J48">
        <v>3.1595300000000002</v>
      </c>
      <c r="K48">
        <v>3.1360000000000001</v>
      </c>
      <c r="L48">
        <v>0</v>
      </c>
      <c r="M48">
        <v>114</v>
      </c>
      <c r="N48">
        <v>181</v>
      </c>
      <c r="O48">
        <v>18944</v>
      </c>
      <c r="P48">
        <v>60004.536</v>
      </c>
      <c r="Q48">
        <v>1.51552</v>
      </c>
      <c r="R48">
        <v>80.977781376518223</v>
      </c>
      <c r="S48">
        <v>80.977781376518223</v>
      </c>
      <c r="T48">
        <v>741</v>
      </c>
      <c r="U48" t="str">
        <v>36308-CAL CASO SCP</v>
      </c>
    </row>
    <row r="49" spans="1:21" x14ac:dyDescent="0.25">
      <c r="A49" t="str">
        <v>2025-11-21</v>
      </c>
      <c r="B49" t="str">
        <v>36863-GABANDE LOPEZ EVA - 2 (VERNET)-L:075-N:1-A:A14-POLLO AMARILLO HEMBRAS</v>
      </c>
      <c r="C49" t="str">
        <v>POLLO AMARILLO HEMBRAS</v>
      </c>
      <c r="D49">
        <v>17497</v>
      </c>
      <c r="E49" t="str">
        <v>Broiler Amarillo</v>
      </c>
      <c r="F49">
        <v>57</v>
      </c>
      <c r="G49">
        <v>17700</v>
      </c>
      <c r="H49" t="str">
        <v>Abierto</v>
      </c>
      <c r="I49">
        <v>3.1360000000000001</v>
      </c>
      <c r="J49">
        <v>3.1360000000000001</v>
      </c>
      <c r="K49">
        <v>3.1360000000000001</v>
      </c>
      <c r="L49">
        <v>0</v>
      </c>
      <c r="M49">
        <v>203</v>
      </c>
      <c r="N49">
        <v>203</v>
      </c>
      <c r="O49">
        <v>35011</v>
      </c>
      <c r="P49">
        <v>120180.298</v>
      </c>
      <c r="Q49">
        <v>2.97966</v>
      </c>
      <c r="R49">
        <v>154.07730512820513</v>
      </c>
      <c r="S49">
        <v>154.07730512820513</v>
      </c>
      <c r="T49">
        <v>780</v>
      </c>
      <c r="U49" t="str">
        <v>36863-GABANDE LOPEZ EVA - 2 (VERNET)</v>
      </c>
    </row>
    <row r="50" spans="1:21" x14ac:dyDescent="0.25">
      <c r="A50" t="str">
        <v>2025-11-21</v>
      </c>
      <c r="B50" t="str">
        <v>36811-FORCADES PEREZ JOSEP MARIA-L:076-N:1-A:A14-POLLO AMARILLO HEMBRAS</v>
      </c>
      <c r="C50" t="str">
        <v>POLLO AMARILLO HEMBRAS</v>
      </c>
      <c r="D50">
        <v>23419</v>
      </c>
      <c r="E50" t="str">
        <v>Broiler Amarillo</v>
      </c>
      <c r="F50">
        <v>57</v>
      </c>
      <c r="G50">
        <v>23700</v>
      </c>
      <c r="H50" t="str">
        <v>Abierto</v>
      </c>
      <c r="I50">
        <v>3.1360000000000001</v>
      </c>
      <c r="J50">
        <v>3.1360000000000001</v>
      </c>
      <c r="K50">
        <v>3.1360000000000001</v>
      </c>
      <c r="L50">
        <v>0</v>
      </c>
      <c r="M50">
        <v>281</v>
      </c>
      <c r="N50">
        <v>281</v>
      </c>
      <c r="O50">
        <v>46353</v>
      </c>
      <c r="P50">
        <v>160430.64600000001</v>
      </c>
      <c r="Q50">
        <v>3.0901999999999998</v>
      </c>
      <c r="R50">
        <v>187.63818245614036</v>
      </c>
      <c r="S50">
        <v>187.63818245614036</v>
      </c>
      <c r="T50">
        <v>855</v>
      </c>
      <c r="U50" t="str">
        <v>36811-FORCADES PEREZ JOSEP MARIA</v>
      </c>
    </row>
    <row r="51" spans="1:21" x14ac:dyDescent="0.25">
      <c r="A51" t="str">
        <v>2025-11-21</v>
      </c>
      <c r="B51" t="str">
        <v>36978-CORAL SANTACANA SLU-L:036-N:2-A:A14-POLLO AMARILLO HEMBRAS</v>
      </c>
      <c r="C51" t="str">
        <v>POLLO AMARILLO HEMBRAS</v>
      </c>
      <c r="D51">
        <v>26533</v>
      </c>
      <c r="E51" t="str">
        <v>Broiler Amarillo</v>
      </c>
      <c r="F51">
        <v>56</v>
      </c>
      <c r="G51">
        <v>26700</v>
      </c>
      <c r="H51" t="str">
        <v>Abierto</v>
      </c>
      <c r="I51">
        <v>3.125</v>
      </c>
      <c r="J51">
        <v>3.59301</v>
      </c>
      <c r="K51">
        <v>3.09</v>
      </c>
      <c r="L51">
        <v>0</v>
      </c>
      <c r="M51">
        <v>167</v>
      </c>
      <c r="N51">
        <v>307</v>
      </c>
      <c r="O51">
        <v>52033</v>
      </c>
      <c r="P51">
        <v>177316.625</v>
      </c>
      <c r="Q51">
        <v>3.1474099999999998</v>
      </c>
      <c r="R51">
        <v>191.90110930735932</v>
      </c>
      <c r="S51">
        <v>191.90110930735932</v>
      </c>
      <c r="T51">
        <v>924</v>
      </c>
      <c r="U51" t="str">
        <v>36978-CORAL SANTACANA SLU</v>
      </c>
    </row>
    <row r="52" spans="1:21" x14ac:dyDescent="0.25">
      <c r="A52" t="str">
        <v>2025-11-21</v>
      </c>
      <c r="B52" t="str">
        <v>36978-CORAL SANTACANA SLU-L:036-N:1-A:A14-POLLO AMARILLO HEMBRAS</v>
      </c>
      <c r="C52" t="str">
        <v>POLLO AMARILLO HEMBRAS</v>
      </c>
      <c r="D52">
        <v>20287</v>
      </c>
      <c r="E52" t="str">
        <v>Broiler Amarillo</v>
      </c>
      <c r="F52">
        <v>56</v>
      </c>
      <c r="G52">
        <v>20400</v>
      </c>
      <c r="H52" t="str">
        <v>Abierto</v>
      </c>
      <c r="I52">
        <v>3.125</v>
      </c>
      <c r="J52">
        <v>3.59301</v>
      </c>
      <c r="K52">
        <v>3.09</v>
      </c>
      <c r="L52">
        <v>0</v>
      </c>
      <c r="M52">
        <v>113</v>
      </c>
      <c r="N52">
        <v>231</v>
      </c>
      <c r="O52">
        <v>39974</v>
      </c>
      <c r="P52">
        <v>137124.69</v>
      </c>
      <c r="Q52">
        <v>3.1902599999999999</v>
      </c>
      <c r="R52">
        <v>195.8924142857143</v>
      </c>
      <c r="S52">
        <v>195.8924142857143</v>
      </c>
      <c r="T52">
        <v>700</v>
      </c>
      <c r="U52" t="str">
        <v>36978-CORAL SANTACANA SLU</v>
      </c>
    </row>
    <row r="53" spans="1:21" x14ac:dyDescent="0.25">
      <c r="A53" t="str">
        <v>2025-11-21</v>
      </c>
      <c r="B53" t="str">
        <v>36731-BLASI INGLA JAUME-L:121-N:1-A:A14-POLLO AMARILLO HEMBRAS</v>
      </c>
      <c r="C53" t="str">
        <v>POLLO AMARILLO HEMBRAS</v>
      </c>
      <c r="D53">
        <v>35347</v>
      </c>
      <c r="E53" t="str">
        <v>Broiler Amarillo</v>
      </c>
      <c r="F53">
        <v>56</v>
      </c>
      <c r="G53">
        <v>35700</v>
      </c>
      <c r="H53" t="str">
        <v>Abierto</v>
      </c>
      <c r="I53">
        <v>3.121</v>
      </c>
      <c r="J53">
        <v>3.1480800000000002</v>
      </c>
      <c r="K53">
        <v>3.09</v>
      </c>
      <c r="L53">
        <v>0</v>
      </c>
      <c r="M53">
        <v>350</v>
      </c>
      <c r="N53">
        <v>412</v>
      </c>
      <c r="O53">
        <v>70094</v>
      </c>
      <c r="P53">
        <v>241974.37</v>
      </c>
      <c r="Q53">
        <v>2.80376</v>
      </c>
      <c r="R53">
        <v>169.44983893557423</v>
      </c>
      <c r="S53">
        <v>169.44983893557423</v>
      </c>
      <c r="T53">
        <v>1428</v>
      </c>
      <c r="U53" t="str">
        <v>36731-BLASI INGLA JAUME</v>
      </c>
    </row>
    <row r="54" spans="1:21" x14ac:dyDescent="0.25">
      <c r="A54" t="str">
        <v>2025-11-21</v>
      </c>
      <c r="B54" t="str">
        <v>36789-GABANDE LOPEZ EVA-1 (ALENTORN)-L:085-N:2-A:A14-POLLO AMARILLO HEMBRAS</v>
      </c>
      <c r="C54" t="str">
        <v>POLLO AMARILLO HEMBRAS</v>
      </c>
      <c r="D54">
        <v>13337</v>
      </c>
      <c r="E54" t="str">
        <v>Broiler Amarillo</v>
      </c>
      <c r="F54">
        <v>56</v>
      </c>
      <c r="G54">
        <v>13500</v>
      </c>
      <c r="H54" t="str">
        <v>Abierto</v>
      </c>
      <c r="I54">
        <v>3.0910000000000002</v>
      </c>
      <c r="J54">
        <v>3.09185</v>
      </c>
      <c r="K54">
        <v>3.09</v>
      </c>
      <c r="L54">
        <v>0</v>
      </c>
      <c r="M54">
        <v>160</v>
      </c>
      <c r="N54">
        <v>96</v>
      </c>
      <c r="O54">
        <v>26074</v>
      </c>
      <c r="P54">
        <v>88848.31</v>
      </c>
      <c r="Q54">
        <v>3.2592500000000002</v>
      </c>
      <c r="R54">
        <v>167.00810150375941</v>
      </c>
      <c r="S54">
        <v>167.00810150375941</v>
      </c>
      <c r="T54">
        <v>532</v>
      </c>
      <c r="U54" t="str">
        <v>36789-GABANDE LOPEZ EVA-1 (ALENTORN)</v>
      </c>
    </row>
    <row r="55" spans="1:21" x14ac:dyDescent="0.25">
      <c r="A55" t="str">
        <v>2025-11-21</v>
      </c>
      <c r="B55" t="str">
        <v>36978-CORAL SANTACANA SLU-L:036-N:3-A:A14-POLLO AMARILLO HEMBRAS</v>
      </c>
      <c r="C55" t="str">
        <v>POLLO AMARILLO HEMBRAS</v>
      </c>
      <c r="D55">
        <v>32315</v>
      </c>
      <c r="E55" t="str">
        <v>Broiler Amarillo</v>
      </c>
      <c r="F55">
        <v>56</v>
      </c>
      <c r="G55">
        <v>32700</v>
      </c>
      <c r="H55" t="str">
        <v>Abierto</v>
      </c>
      <c r="I55">
        <v>3.09</v>
      </c>
      <c r="J55">
        <v>3.09</v>
      </c>
      <c r="K55">
        <v>3.09</v>
      </c>
      <c r="L55">
        <v>0</v>
      </c>
      <c r="M55">
        <v>385</v>
      </c>
      <c r="N55">
        <v>385</v>
      </c>
      <c r="O55">
        <v>64265</v>
      </c>
      <c r="P55">
        <v>219026.85</v>
      </c>
      <c r="Q55">
        <v>3.10609</v>
      </c>
      <c r="R55">
        <v>189.46959342560552</v>
      </c>
      <c r="S55">
        <v>189.46959342560552</v>
      </c>
      <c r="T55">
        <v>1156</v>
      </c>
      <c r="U55" t="str">
        <v>36978-CORAL SANTACANA SLU</v>
      </c>
    </row>
    <row r="56" spans="1:21" x14ac:dyDescent="0.25">
      <c r="A56" t="str">
        <v>2025-11-21</v>
      </c>
      <c r="B56" t="str">
        <v>36789-GABANDE LOPEZ EVA-1 (ALENTORN)-L:085-N:1-A:A14-POLLO AMARILLO HEMBRAS</v>
      </c>
      <c r="C56" t="str">
        <v>POLLO AMARILLO HEMBRAS</v>
      </c>
      <c r="D56">
        <v>13034</v>
      </c>
      <c r="E56" t="str">
        <v>Broiler Amarillo</v>
      </c>
      <c r="F56">
        <v>56</v>
      </c>
      <c r="G56">
        <v>13200</v>
      </c>
      <c r="H56" t="str">
        <v>Abierto</v>
      </c>
      <c r="I56">
        <v>3.09</v>
      </c>
      <c r="J56">
        <v>3.09</v>
      </c>
      <c r="K56">
        <v>3.09</v>
      </c>
      <c r="L56">
        <v>0</v>
      </c>
      <c r="M56">
        <v>166</v>
      </c>
      <c r="N56">
        <v>166</v>
      </c>
      <c r="O56">
        <v>25722</v>
      </c>
      <c r="P56">
        <v>87880.436000000002</v>
      </c>
      <c r="Q56">
        <v>3.2152500000000002</v>
      </c>
      <c r="R56">
        <v>165.18878947368421</v>
      </c>
      <c r="S56">
        <v>165.18878947368421</v>
      </c>
      <c r="T56">
        <v>532</v>
      </c>
      <c r="U56" t="str">
        <v>36789-GABANDE LOPEZ EVA-1 (ALENTORN)</v>
      </c>
    </row>
    <row r="57" spans="1:21" x14ac:dyDescent="0.25">
      <c r="A57" t="str">
        <v>2025-11-21</v>
      </c>
      <c r="B57" t="str">
        <v>36037-ROSELL BOSQUE JOAN-L:028-N:1-A:A13-POLLO AMARILLO MACHO</v>
      </c>
      <c r="C57" t="str">
        <v>POLLO AMARILLO MACHO</v>
      </c>
      <c r="D57">
        <v>35495</v>
      </c>
      <c r="E57" t="str">
        <v>Broiler Amarillo</v>
      </c>
      <c r="F57">
        <v>46</v>
      </c>
      <c r="G57">
        <v>36000</v>
      </c>
      <c r="H57" t="str">
        <v>Abierto</v>
      </c>
      <c r="I57">
        <v>3.0739999999999998</v>
      </c>
      <c r="J57">
        <v>3.7157</v>
      </c>
      <c r="K57">
        <v>3.016</v>
      </c>
      <c r="L57">
        <v>0</v>
      </c>
      <c r="M57">
        <v>500</v>
      </c>
      <c r="N57">
        <v>622</v>
      </c>
      <c r="O57">
        <v>70990</v>
      </c>
      <c r="P57">
        <v>201895.56</v>
      </c>
      <c r="Q57">
        <v>1.97194</v>
      </c>
      <c r="R57">
        <v>100.84693306693306</v>
      </c>
      <c r="S57">
        <v>100.84693306693306</v>
      </c>
      <c r="T57">
        <v>2002</v>
      </c>
      <c r="U57" t="str">
        <v>36037-ROSELL BOSQUE JOAN</v>
      </c>
    </row>
    <row r="58" spans="1:21" x14ac:dyDescent="0.25">
      <c r="A58" t="str">
        <v>2025-11-21</v>
      </c>
      <c r="B58" t="str">
        <v>36868-ESPINET SOLE ANTONIO-L:070-N:1-A:A13-POLLO AMARILLO MACHO</v>
      </c>
      <c r="C58" t="str">
        <v>POLLO AMARILLO MACHO</v>
      </c>
      <c r="D58">
        <v>19685</v>
      </c>
      <c r="E58" t="str">
        <v>Broiler Amarillo</v>
      </c>
      <c r="F58">
        <v>46</v>
      </c>
      <c r="G58">
        <v>20000</v>
      </c>
      <c r="H58" t="str">
        <v>Abierto</v>
      </c>
      <c r="I58">
        <v>3.0459999999999998</v>
      </c>
      <c r="J58">
        <v>3.37792</v>
      </c>
      <c r="K58">
        <v>3.016</v>
      </c>
      <c r="L58">
        <v>0</v>
      </c>
      <c r="M58">
        <v>300</v>
      </c>
      <c r="N58">
        <v>366</v>
      </c>
      <c r="O58">
        <v>39437</v>
      </c>
      <c r="P58">
        <v>110999.678</v>
      </c>
      <c r="Q58">
        <v>1.8686100000000001</v>
      </c>
      <c r="R58">
        <v>96.353887152777773</v>
      </c>
      <c r="S58">
        <v>96.353887152777773</v>
      </c>
      <c r="T58">
        <v>1152</v>
      </c>
      <c r="U58" t="str">
        <v>36868-ESPINET SOLE ANTONIO</v>
      </c>
    </row>
    <row r="59" spans="1:21" x14ac:dyDescent="0.25">
      <c r="A59" t="str">
        <v>2025-11-21</v>
      </c>
      <c r="B59" t="str">
        <v>36733-BOIX LLOP SC- 3-L:078-N:3-A:A14-POLLO AMARILLO HEMBRAS</v>
      </c>
      <c r="C59" t="str">
        <v>POLLO AMARILLO HEMBRAS</v>
      </c>
      <c r="D59">
        <v>32298</v>
      </c>
      <c r="E59" t="str">
        <v>Broiler Amarillo</v>
      </c>
      <c r="F59">
        <v>49</v>
      </c>
      <c r="G59">
        <v>32700</v>
      </c>
      <c r="H59" t="str">
        <v>Abierto</v>
      </c>
      <c r="I59">
        <v>3.0390000000000001</v>
      </c>
      <c r="J59">
        <v>3.2847900000000001</v>
      </c>
      <c r="K59">
        <v>2.7410000000000001</v>
      </c>
      <c r="L59">
        <v>0</v>
      </c>
      <c r="M59">
        <v>394</v>
      </c>
      <c r="N59">
        <v>300</v>
      </c>
      <c r="O59">
        <v>64599</v>
      </c>
      <c r="P59">
        <v>209269.06200000001</v>
      </c>
      <c r="Q59">
        <v>2.97417</v>
      </c>
      <c r="R59">
        <v>193.76765</v>
      </c>
      <c r="S59">
        <v>193.76765</v>
      </c>
      <c r="T59">
        <v>1080</v>
      </c>
      <c r="U59" t="str">
        <v>36733-BOIX LLOP SC- 3</v>
      </c>
    </row>
    <row r="60" spans="1:21" x14ac:dyDescent="0.25">
      <c r="A60" t="str">
        <v>2025-11-21</v>
      </c>
      <c r="B60" t="str">
        <v>36811-FORCADES PEREZ JOSEP MARIA-L:076-N:4-A:A15-POLLO AMARILLO MIXTO</v>
      </c>
      <c r="C60" t="str">
        <v>POLLO AMARILLO MIXTO</v>
      </c>
      <c r="D60">
        <v>9084</v>
      </c>
      <c r="E60" t="str">
        <v>Broiler Amarillo</v>
      </c>
      <c r="F60">
        <v>57</v>
      </c>
      <c r="G60">
        <v>25650</v>
      </c>
      <c r="H60" t="str">
        <v>Abierto</v>
      </c>
      <c r="I60">
        <v>3.02738</v>
      </c>
      <c r="J60">
        <v>2.58413</v>
      </c>
      <c r="K60">
        <v>3.4460000000000002</v>
      </c>
      <c r="L60">
        <v>-16275</v>
      </c>
      <c r="M60">
        <v>285</v>
      </c>
      <c r="N60">
        <v>300</v>
      </c>
      <c r="O60">
        <v>9084</v>
      </c>
      <c r="P60">
        <v>27500.720000000001</v>
      </c>
      <c r="Q60">
        <v>1.0093300000000001</v>
      </c>
      <c r="R60">
        <v>60.308596491228073</v>
      </c>
      <c r="S60">
        <v>60.308596491228073</v>
      </c>
      <c r="T60">
        <v>456</v>
      </c>
      <c r="U60" t="str">
        <v>36811-FORCADES PEREZ JOSEP MARIA</v>
      </c>
    </row>
    <row r="61" spans="1:21" x14ac:dyDescent="0.25">
      <c r="A61" t="str">
        <v>2025-11-21</v>
      </c>
      <c r="B61" t="str">
        <v>36926-AVICOLA GUIM SCP-L:045-N:1-A:A13-POLLO AMARILLO MACHO</v>
      </c>
      <c r="C61" t="str">
        <v>POLLO AMARILLO MACHO</v>
      </c>
      <c r="D61">
        <v>42100</v>
      </c>
      <c r="E61" t="str">
        <v>Broiler Amarillo</v>
      </c>
      <c r="F61">
        <v>46</v>
      </c>
      <c r="G61">
        <v>42600</v>
      </c>
      <c r="H61" t="str">
        <v>Abierto</v>
      </c>
      <c r="I61">
        <v>3.016</v>
      </c>
      <c r="J61">
        <v>3.016</v>
      </c>
      <c r="K61">
        <v>3.016</v>
      </c>
      <c r="L61">
        <v>0</v>
      </c>
      <c r="M61">
        <v>500</v>
      </c>
      <c r="N61">
        <v>500</v>
      </c>
      <c r="O61">
        <v>84500</v>
      </c>
      <c r="P61">
        <v>235560</v>
      </c>
      <c r="Q61">
        <v>2.4142899999999998</v>
      </c>
      <c r="R61">
        <v>138.56470588235294</v>
      </c>
      <c r="S61">
        <v>138.56470588235294</v>
      </c>
      <c r="T61">
        <v>1700</v>
      </c>
      <c r="U61" t="str">
        <v>36926-AVICOLA GUIM SCP</v>
      </c>
    </row>
    <row r="62" spans="1:21" x14ac:dyDescent="0.25">
      <c r="A62" t="str">
        <v>2025-11-21</v>
      </c>
      <c r="B62" t="str">
        <v>36011-RAMADERIA FERPRATS- J FDZ - 1-L:030-N:6-A:A13-POLLO AMARILLO MACHO</v>
      </c>
      <c r="C62" t="str">
        <v>POLLO AMARILLO MACHO</v>
      </c>
      <c r="D62">
        <v>23718</v>
      </c>
      <c r="E62" t="str">
        <v>Broiler Amarillo</v>
      </c>
      <c r="F62">
        <v>46</v>
      </c>
      <c r="G62">
        <v>24000</v>
      </c>
      <c r="H62" t="str">
        <v>Abierto</v>
      </c>
      <c r="I62">
        <v>3.016</v>
      </c>
      <c r="J62">
        <v>3.016</v>
      </c>
      <c r="K62">
        <v>3.016</v>
      </c>
      <c r="L62">
        <v>0</v>
      </c>
      <c r="M62">
        <v>282</v>
      </c>
      <c r="N62">
        <v>282</v>
      </c>
      <c r="O62">
        <v>47436</v>
      </c>
      <c r="P62">
        <v>132275.28599999999</v>
      </c>
      <c r="Q62">
        <v>2.6868300000000001</v>
      </c>
      <c r="R62">
        <v>116.03095263157894</v>
      </c>
      <c r="S62">
        <v>116.03095263157894</v>
      </c>
      <c r="T62">
        <v>1140</v>
      </c>
      <c r="U62" t="str">
        <v>36011-RAMADERIA FERPRATS- J FDZ - 1</v>
      </c>
    </row>
    <row r="63" spans="1:21" x14ac:dyDescent="0.25">
      <c r="A63" t="str">
        <v>2025-11-21</v>
      </c>
      <c r="B63" t="str">
        <v>36011-RAMADERIA FERPRATS- J FDZ - 1-L:030-N:5-A:A13-POLLO AMARILLO MACHO</v>
      </c>
      <c r="C63" t="str">
        <v>POLLO AMARILLO MACHO</v>
      </c>
      <c r="D63">
        <v>28175</v>
      </c>
      <c r="E63" t="str">
        <v>Broiler Amarillo</v>
      </c>
      <c r="F63">
        <v>46</v>
      </c>
      <c r="G63">
        <v>28500</v>
      </c>
      <c r="H63" t="str">
        <v>Abierto</v>
      </c>
      <c r="I63">
        <v>3.016</v>
      </c>
      <c r="J63">
        <v>3.016</v>
      </c>
      <c r="K63">
        <v>3.016</v>
      </c>
      <c r="L63">
        <v>0</v>
      </c>
      <c r="M63">
        <v>325</v>
      </c>
      <c r="N63">
        <v>325</v>
      </c>
      <c r="O63">
        <v>56350</v>
      </c>
      <c r="P63">
        <v>157131.97500000001</v>
      </c>
      <c r="Q63">
        <v>3.1917300000000002</v>
      </c>
      <c r="R63">
        <v>137.83506578947367</v>
      </c>
      <c r="S63">
        <v>137.83506578947367</v>
      </c>
      <c r="T63">
        <v>1140</v>
      </c>
      <c r="U63" t="str">
        <v>36011-RAMADERIA FERPRATS- J FDZ - 1</v>
      </c>
    </row>
    <row r="64" spans="1:21" x14ac:dyDescent="0.25">
      <c r="A64" t="str">
        <v>2025-11-21</v>
      </c>
      <c r="B64" t="str">
        <v>36011-RAMADERIA FERPRATS- J FDZ - 1-L:030-N:3-A:A13-POLLO AMARILLO MACHO</v>
      </c>
      <c r="C64" t="str">
        <v>POLLO AMARILLO MACHO</v>
      </c>
      <c r="D64">
        <v>36478</v>
      </c>
      <c r="E64" t="str">
        <v>Broiler Amarillo</v>
      </c>
      <c r="F64">
        <v>46</v>
      </c>
      <c r="G64">
        <v>36900</v>
      </c>
      <c r="H64" t="str">
        <v>Abierto</v>
      </c>
      <c r="I64">
        <v>3.016</v>
      </c>
      <c r="J64">
        <v>3.016</v>
      </c>
      <c r="K64">
        <v>3.016</v>
      </c>
      <c r="L64">
        <v>0</v>
      </c>
      <c r="M64">
        <v>422</v>
      </c>
      <c r="N64">
        <v>422</v>
      </c>
      <c r="O64">
        <v>72659</v>
      </c>
      <c r="P64">
        <v>202677.18900000001</v>
      </c>
      <c r="Q64">
        <v>3.1278100000000002</v>
      </c>
      <c r="R64">
        <v>135.11812599999999</v>
      </c>
      <c r="S64">
        <v>135.11812599999999</v>
      </c>
      <c r="T64">
        <v>1500</v>
      </c>
      <c r="U64" t="str">
        <v>36011-RAMADERIA FERPRATS- J FDZ - 1</v>
      </c>
    </row>
    <row r="65" spans="1:21" x14ac:dyDescent="0.25">
      <c r="A65" t="str">
        <v>2025-11-21</v>
      </c>
      <c r="B65" t="str">
        <v>36666-PONS FAURA SCP-L:144-N:1-A:A14-POLLO AMARILLO HEMBRAS</v>
      </c>
      <c r="C65" t="str">
        <v>POLLO AMARILLO HEMBRAS</v>
      </c>
      <c r="D65">
        <v>49648</v>
      </c>
      <c r="E65" t="str">
        <v>Broiler Amarillo</v>
      </c>
      <c r="F65">
        <v>52</v>
      </c>
      <c r="G65">
        <v>50000</v>
      </c>
      <c r="H65" t="str">
        <v>Abierto</v>
      </c>
      <c r="I65">
        <v>2.9590000000000001</v>
      </c>
      <c r="J65">
        <v>3.0295800000000002</v>
      </c>
      <c r="K65">
        <v>2.903</v>
      </c>
      <c r="L65">
        <v>0</v>
      </c>
      <c r="M65">
        <v>349</v>
      </c>
      <c r="N65">
        <v>431</v>
      </c>
      <c r="O65">
        <v>99713</v>
      </c>
      <c r="P65">
        <v>327242.56199999998</v>
      </c>
      <c r="Q65">
        <v>4.1547099999999997</v>
      </c>
      <c r="R65">
        <v>231.10350423728815</v>
      </c>
      <c r="S65">
        <v>231.10350423728815</v>
      </c>
      <c r="T65">
        <v>1416</v>
      </c>
      <c r="U65" t="str">
        <v>36666-PONS FAURA SCP</v>
      </c>
    </row>
    <row r="66" spans="1:21" x14ac:dyDescent="0.25">
      <c r="A66" t="str">
        <v>2025-11-21</v>
      </c>
      <c r="B66" t="str">
        <v>36733-BOIX LLOP SC- 3-L:078-N:1-A:A14-POLLO AMARILLO HEMBRAS</v>
      </c>
      <c r="C66" t="str">
        <v>POLLO AMARILLO HEMBRAS</v>
      </c>
      <c r="D66">
        <v>33500</v>
      </c>
      <c r="E66" t="str">
        <v>Broiler Amarillo</v>
      </c>
      <c r="F66">
        <v>49</v>
      </c>
      <c r="G66">
        <v>33900</v>
      </c>
      <c r="H66" t="str">
        <v>Abierto</v>
      </c>
      <c r="I66">
        <v>2.9390000000000001</v>
      </c>
      <c r="J66">
        <v>3.10229</v>
      </c>
      <c r="K66">
        <v>2.7410000000000001</v>
      </c>
      <c r="L66">
        <v>0</v>
      </c>
      <c r="M66">
        <v>400</v>
      </c>
      <c r="N66">
        <v>400</v>
      </c>
      <c r="O66">
        <v>64507</v>
      </c>
      <c r="P66">
        <v>202857.06899999999</v>
      </c>
      <c r="Q66">
        <v>2.6722000000000001</v>
      </c>
      <c r="R66">
        <v>169.04755750000001</v>
      </c>
      <c r="S66">
        <v>169.04755750000001</v>
      </c>
      <c r="T66">
        <v>1200</v>
      </c>
      <c r="U66" t="str">
        <v>36733-BOIX LLOP SC- 3</v>
      </c>
    </row>
    <row r="67" spans="1:21" x14ac:dyDescent="0.25">
      <c r="A67" t="str">
        <v>2025-11-21</v>
      </c>
      <c r="B67" t="str">
        <v>36012-RAMADERIA FERPRATS- J FDZ - 2-L:030-N:4-A:A14-POLLO AMARILLO HEMBRAS</v>
      </c>
      <c r="C67" t="str">
        <v>POLLO AMARILLO HEMBRAS</v>
      </c>
      <c r="D67">
        <v>30047</v>
      </c>
      <c r="E67" t="str">
        <v>Broiler Amarillo</v>
      </c>
      <c r="F67">
        <v>50</v>
      </c>
      <c r="G67">
        <v>30200</v>
      </c>
      <c r="H67" t="str">
        <v>Abierto</v>
      </c>
      <c r="I67">
        <v>2.9140000000000001</v>
      </c>
      <c r="J67">
        <v>3.0507</v>
      </c>
      <c r="K67">
        <v>2.798</v>
      </c>
      <c r="L67">
        <v>0</v>
      </c>
      <c r="M67">
        <v>150</v>
      </c>
      <c r="N67">
        <v>519</v>
      </c>
      <c r="O67">
        <v>60054</v>
      </c>
      <c r="P67">
        <v>190901.06599999999</v>
      </c>
      <c r="Q67">
        <v>2.0139499999999999</v>
      </c>
      <c r="R67">
        <v>115.69761575757576</v>
      </c>
      <c r="S67">
        <v>115.69761575757576</v>
      </c>
      <c r="T67">
        <v>1650</v>
      </c>
      <c r="U67" t="str">
        <v>36012-RAMADERIA FERPRATS- J FDZ - 2</v>
      </c>
    </row>
    <row r="68" spans="1:21" x14ac:dyDescent="0.25">
      <c r="A68" t="str">
        <v>2025-11-21</v>
      </c>
      <c r="B68" t="str">
        <v>36811-FORCADES PEREZ JOSEP MARIA-L:076-N:5-A:A14-POLLO AMARILLO HEMBRAS</v>
      </c>
      <c r="C68" t="str">
        <v>POLLO AMARILLO HEMBRAS</v>
      </c>
      <c r="D68">
        <v>7496</v>
      </c>
      <c r="E68" t="str">
        <v>Broiler Amarillo</v>
      </c>
      <c r="F68">
        <v>57</v>
      </c>
      <c r="G68">
        <v>39600</v>
      </c>
      <c r="H68" t="str">
        <v>Abierto</v>
      </c>
      <c r="I68">
        <v>2.9063500000000002</v>
      </c>
      <c r="J68">
        <v>2.6992099999999999</v>
      </c>
      <c r="K68">
        <v>3.1360000000000001</v>
      </c>
      <c r="L68">
        <v>-31635</v>
      </c>
      <c r="M68">
        <v>469</v>
      </c>
      <c r="N68">
        <v>469</v>
      </c>
      <c r="O68">
        <v>45913</v>
      </c>
      <c r="P68">
        <v>173187.397</v>
      </c>
      <c r="Q68">
        <v>1.8365199999999999</v>
      </c>
      <c r="R68">
        <v>118.94738804945055</v>
      </c>
      <c r="S68">
        <v>118.94738804945055</v>
      </c>
      <c r="T68">
        <v>1456</v>
      </c>
      <c r="U68" t="str">
        <v>36811-FORCADES PEREZ JOSEP MARIA</v>
      </c>
    </row>
    <row r="69" spans="1:21" x14ac:dyDescent="0.25">
      <c r="A69" t="str">
        <v>2025-11-21</v>
      </c>
      <c r="B69" t="str">
        <v>36033-ORONICH BONET SCP-L:030-N:1-A:A14-POLLO AMARILLO HEMBRAS</v>
      </c>
      <c r="C69" t="str">
        <v>POLLO AMARILLO HEMBRAS</v>
      </c>
      <c r="D69">
        <v>75325</v>
      </c>
      <c r="E69" t="str">
        <v>Broiler Amarillo</v>
      </c>
      <c r="F69">
        <v>52</v>
      </c>
      <c r="G69">
        <v>76000</v>
      </c>
      <c r="H69" t="str">
        <v>Abierto</v>
      </c>
      <c r="I69">
        <v>2.903</v>
      </c>
      <c r="J69">
        <v>2.903</v>
      </c>
      <c r="K69">
        <v>2.903</v>
      </c>
      <c r="L69">
        <v>0</v>
      </c>
      <c r="M69">
        <v>675</v>
      </c>
      <c r="N69">
        <v>675</v>
      </c>
      <c r="O69">
        <v>148091</v>
      </c>
      <c r="P69">
        <v>470511.60100000002</v>
      </c>
      <c r="Q69">
        <v>4.1136400000000002</v>
      </c>
      <c r="R69">
        <v>229.07088656280428</v>
      </c>
      <c r="S69">
        <v>229.07088656280428</v>
      </c>
      <c r="T69">
        <v>2054</v>
      </c>
      <c r="U69" t="str">
        <v>36033-ORONICH BONET SCP</v>
      </c>
    </row>
    <row r="70" spans="1:21" x14ac:dyDescent="0.25">
      <c r="A70" t="str">
        <v>2025-11-21</v>
      </c>
      <c r="B70" t="str">
        <v>36011-RAMADERIA FERPRATS- J FDZ - 1-L:030-N:7-A:A14-POLLO AMARILLO HEMBRAS</v>
      </c>
      <c r="C70" t="str">
        <v>POLLO AMARILLO HEMBRAS</v>
      </c>
      <c r="D70">
        <v>15347</v>
      </c>
      <c r="E70" t="str">
        <v>Broiler Amarillo</v>
      </c>
      <c r="F70">
        <v>49</v>
      </c>
      <c r="G70">
        <v>15600</v>
      </c>
      <c r="H70" t="str">
        <v>Abierto</v>
      </c>
      <c r="I70">
        <v>2.899</v>
      </c>
      <c r="J70">
        <v>3.0983999999999998</v>
      </c>
      <c r="K70">
        <v>2.7410000000000001</v>
      </c>
      <c r="L70">
        <v>0</v>
      </c>
      <c r="M70">
        <v>250</v>
      </c>
      <c r="N70">
        <v>281</v>
      </c>
      <c r="O70">
        <v>30674</v>
      </c>
      <c r="P70">
        <v>96541.445000000007</v>
      </c>
      <c r="Q70">
        <v>2.0628099999999998</v>
      </c>
      <c r="R70">
        <v>100.56400520833333</v>
      </c>
      <c r="S70">
        <v>100.56400520833333</v>
      </c>
      <c r="T70">
        <v>960</v>
      </c>
      <c r="U70" t="str">
        <v>36011-RAMADERIA FERPRATS- J FDZ - 1</v>
      </c>
    </row>
    <row r="71" spans="1:21" x14ac:dyDescent="0.25">
      <c r="A71" t="str">
        <v>2025-11-21</v>
      </c>
      <c r="B71" t="str">
        <v>36308-CAL CASO SCP-L:147-N:2-A:A14-POLLO AMARILLO HEMBRAS</v>
      </c>
      <c r="C71" t="str">
        <v>POLLO AMARILLO HEMBRAS</v>
      </c>
      <c r="D71">
        <v>1529</v>
      </c>
      <c r="E71" t="str">
        <v>Broiler Amarillo</v>
      </c>
      <c r="F71">
        <v>57</v>
      </c>
      <c r="G71">
        <v>17700</v>
      </c>
      <c r="H71" t="str">
        <v>Abierto</v>
      </c>
      <c r="I71">
        <v>2.83284</v>
      </c>
      <c r="J71">
        <v>2.5031300000000001</v>
      </c>
      <c r="K71">
        <v>3.1360000000000001</v>
      </c>
      <c r="L71">
        <v>-15981</v>
      </c>
      <c r="M71">
        <v>187</v>
      </c>
      <c r="N71">
        <v>203</v>
      </c>
      <c r="O71">
        <v>19109</v>
      </c>
      <c r="P71">
        <v>72383.592000000004</v>
      </c>
      <c r="Q71">
        <v>1.5287200000000001</v>
      </c>
      <c r="R71">
        <v>97.683659919028344</v>
      </c>
      <c r="S71">
        <v>97.683659919028344</v>
      </c>
      <c r="T71">
        <v>741</v>
      </c>
      <c r="U71" t="str">
        <v>36308-CAL CASO SCP</v>
      </c>
    </row>
    <row r="72" spans="1:21" x14ac:dyDescent="0.25">
      <c r="A72" t="str">
        <v>2025-11-21</v>
      </c>
      <c r="B72" t="str">
        <v>36863-GABANDE LOPEZ EVA - 2 (VERNET)-L:075-N:2-A:A14-POLLO AMARILLO HEMBRAS</v>
      </c>
      <c r="C72" t="str">
        <v>POLLO AMARILLO HEMBRAS</v>
      </c>
      <c r="D72">
        <v>1204</v>
      </c>
      <c r="E72" t="str">
        <v>Broiler Amarillo</v>
      </c>
      <c r="F72">
        <v>57</v>
      </c>
      <c r="G72">
        <v>17700</v>
      </c>
      <c r="H72" t="str">
        <v>Abierto</v>
      </c>
      <c r="I72">
        <v>2.8311299999999999</v>
      </c>
      <c r="J72">
        <v>2.55619</v>
      </c>
      <c r="K72">
        <v>3.1360000000000001</v>
      </c>
      <c r="L72">
        <v>-16302</v>
      </c>
      <c r="M72">
        <v>191</v>
      </c>
      <c r="N72">
        <v>203</v>
      </c>
      <c r="O72">
        <v>18761</v>
      </c>
      <c r="P72">
        <v>71722.967999999993</v>
      </c>
      <c r="Q72">
        <v>1.5966800000000001</v>
      </c>
      <c r="R72">
        <v>91.952523076923072</v>
      </c>
      <c r="S72">
        <v>91.952523076923072</v>
      </c>
      <c r="T72">
        <v>780</v>
      </c>
      <c r="U72" t="str">
        <v>36863-GABANDE LOPEZ EVA - 2 (VERNET)</v>
      </c>
    </row>
    <row r="73" spans="1:21" x14ac:dyDescent="0.25">
      <c r="A73" t="str">
        <v>2025-11-21</v>
      </c>
      <c r="B73" t="str">
        <v>36034-ALCOLEA MARTI, EFREN-L:028-N:1-A:A15-POLLO AMARILLO MIXTO</v>
      </c>
      <c r="C73" t="str">
        <v>POLLO AMARILLO MIXTO</v>
      </c>
      <c r="D73">
        <v>92681</v>
      </c>
      <c r="E73" t="str">
        <v>Broiler Amarillo</v>
      </c>
      <c r="F73">
        <v>56</v>
      </c>
      <c r="G73">
        <v>116910</v>
      </c>
      <c r="H73" t="str">
        <v>Abierto</v>
      </c>
      <c r="I73">
        <v>2.80959</v>
      </c>
      <c r="J73">
        <v>2.2631600000000001</v>
      </c>
      <c r="K73">
        <v>3.395</v>
      </c>
      <c r="L73">
        <v>-23202</v>
      </c>
      <c r="M73">
        <v>1022</v>
      </c>
      <c r="N73">
        <v>1088</v>
      </c>
      <c r="O73">
        <v>92681</v>
      </c>
      <c r="P73">
        <v>260395.611</v>
      </c>
      <c r="Q73">
        <v>2.3170299999999999</v>
      </c>
      <c r="R73">
        <v>129.22859106699752</v>
      </c>
      <c r="S73">
        <v>129.22859106699752</v>
      </c>
      <c r="T73">
        <v>2015</v>
      </c>
      <c r="U73" t="str">
        <v>36034-ALCOLEA MARTI, EFREN</v>
      </c>
    </row>
    <row r="74" spans="1:21" x14ac:dyDescent="0.25">
      <c r="A74" t="str">
        <v>2025-11-21</v>
      </c>
      <c r="B74" t="str">
        <v>36017-BOCHACA BERTRAN SCP-L:030-N:1-A:A15-POLLO AMARILLO MIXTO</v>
      </c>
      <c r="C74" t="str">
        <v>POLLO AMARILLO MIXTO</v>
      </c>
      <c r="D74">
        <v>83152</v>
      </c>
      <c r="E74" t="str">
        <v>Broiler Amarillo</v>
      </c>
      <c r="F74">
        <v>46</v>
      </c>
      <c r="G74">
        <v>83700</v>
      </c>
      <c r="H74" t="str">
        <v>Abierto</v>
      </c>
      <c r="I74">
        <v>2.806</v>
      </c>
      <c r="J74">
        <v>2.83962</v>
      </c>
      <c r="K74">
        <v>2.7879999999999998</v>
      </c>
      <c r="L74">
        <v>0</v>
      </c>
      <c r="M74">
        <v>540</v>
      </c>
      <c r="N74">
        <v>482</v>
      </c>
      <c r="O74">
        <v>83152</v>
      </c>
      <c r="P74">
        <v>233324.51199999999</v>
      </c>
      <c r="Q74">
        <v>3.1069800000000001</v>
      </c>
      <c r="R74">
        <v>163.39251540616246</v>
      </c>
      <c r="S74">
        <v>163.39251540616246</v>
      </c>
      <c r="T74">
        <v>1428</v>
      </c>
      <c r="U74" t="str">
        <v>36017-BOCHACA BERTRAN SCP</v>
      </c>
    </row>
    <row r="75" spans="1:21" x14ac:dyDescent="0.25">
      <c r="A75" t="str">
        <v>2025-11-21</v>
      </c>
      <c r="B75" t="str">
        <v>36937-RAMADERIA LA BARRACA SCP-L:048-N:1-A:A15-POLLO AMARILLO MIXTO</v>
      </c>
      <c r="C75" t="str">
        <v>POLLO AMARILLO MIXTO</v>
      </c>
      <c r="D75">
        <v>93105</v>
      </c>
      <c r="E75" t="str">
        <v>Broiler Amarillo</v>
      </c>
      <c r="F75">
        <v>46</v>
      </c>
      <c r="G75">
        <v>93480</v>
      </c>
      <c r="H75" t="str">
        <v>Abierto</v>
      </c>
      <c r="I75">
        <v>2.7879999999999998</v>
      </c>
      <c r="J75">
        <v>2.7879999999999998</v>
      </c>
      <c r="K75">
        <v>2.7879999999999998</v>
      </c>
      <c r="L75">
        <v>0</v>
      </c>
      <c r="M75">
        <v>375</v>
      </c>
      <c r="N75">
        <v>375</v>
      </c>
      <c r="O75">
        <v>93105</v>
      </c>
      <c r="P75">
        <v>259576.74</v>
      </c>
      <c r="Q75">
        <v>3.1034999999999999</v>
      </c>
      <c r="R75">
        <v>159.05437499999999</v>
      </c>
      <c r="S75">
        <v>159.05437499999999</v>
      </c>
      <c r="T75">
        <v>1632</v>
      </c>
      <c r="U75" t="str">
        <v>36937-RAMADERIA LA BARRACA SCP</v>
      </c>
    </row>
    <row r="76" spans="1:21" x14ac:dyDescent="0.25">
      <c r="A76" t="str">
        <v>2025-11-21</v>
      </c>
      <c r="B76" t="str">
        <v>36017-BOCHACA BERTRAN SCP-L:030-N:2-A:A15-POLLO AMARILLO MIXTO</v>
      </c>
      <c r="C76" t="str">
        <v>POLLO AMARILLO MIXTO</v>
      </c>
      <c r="D76">
        <v>90526</v>
      </c>
      <c r="E76" t="str">
        <v>Broiler Amarillo</v>
      </c>
      <c r="F76">
        <v>46</v>
      </c>
      <c r="G76">
        <v>91200</v>
      </c>
      <c r="H76" t="str">
        <v>Abierto</v>
      </c>
      <c r="I76">
        <v>2.766</v>
      </c>
      <c r="J76">
        <v>2.7249699999999999</v>
      </c>
      <c r="K76">
        <v>2.7879999999999998</v>
      </c>
      <c r="L76">
        <v>0</v>
      </c>
      <c r="M76">
        <v>669</v>
      </c>
      <c r="N76">
        <v>1074</v>
      </c>
      <c r="O76">
        <v>90526</v>
      </c>
      <c r="P76">
        <v>250394.916</v>
      </c>
      <c r="Q76">
        <v>3.0962800000000001</v>
      </c>
      <c r="R76">
        <v>160.50956153846153</v>
      </c>
      <c r="S76">
        <v>160.50956153846153</v>
      </c>
      <c r="T76">
        <v>1560</v>
      </c>
      <c r="U76" t="str">
        <v>36017-BOCHACA BERTRAN SCP</v>
      </c>
    </row>
    <row r="77" spans="1:21" x14ac:dyDescent="0.25">
      <c r="A77" t="str">
        <v>2025-11-21</v>
      </c>
      <c r="B77" t="str">
        <v>36868-ESPINET SOLE ANTONIO-L:070-N:3-A:A13-POLLO AMARILLO MACHO</v>
      </c>
      <c r="C77" t="str">
        <v>POLLO AMARILLO MACHO</v>
      </c>
      <c r="D77">
        <v>81682</v>
      </c>
      <c r="E77" t="str">
        <v>Broiler Amarillo</v>
      </c>
      <c r="F77">
        <v>43</v>
      </c>
      <c r="G77">
        <v>82400</v>
      </c>
      <c r="H77" t="str">
        <v>Abierto</v>
      </c>
      <c r="I77">
        <v>2.7629999999999999</v>
      </c>
      <c r="J77">
        <v>2.7629999999999999</v>
      </c>
      <c r="K77">
        <v>2.7629999999999999</v>
      </c>
      <c r="L77">
        <v>0</v>
      </c>
      <c r="M77">
        <v>718</v>
      </c>
      <c r="N77">
        <v>718</v>
      </c>
      <c r="O77">
        <v>163364</v>
      </c>
      <c r="P77">
        <v>418865.29599999997</v>
      </c>
      <c r="Q77">
        <v>4.04617</v>
      </c>
      <c r="R77">
        <v>190.04777495462795</v>
      </c>
      <c r="S77">
        <v>190.04777495462795</v>
      </c>
      <c r="T77">
        <v>2204</v>
      </c>
      <c r="U77" t="str">
        <v>36868-ESPINET SOLE ANTONIO</v>
      </c>
    </row>
    <row r="78" spans="1:21" x14ac:dyDescent="0.25">
      <c r="A78" t="str">
        <v>2025-11-21</v>
      </c>
      <c r="B78" t="str">
        <v>36868-ESPINET SOLE ANTONIO-L:070-N:7-A:A15-POLLO AMARILLO MIXTO</v>
      </c>
      <c r="C78" t="str">
        <v>POLLO AMARILLO MIXTO</v>
      </c>
      <c r="D78">
        <v>149136</v>
      </c>
      <c r="E78" t="str">
        <v>Broiler Amarillo</v>
      </c>
      <c r="F78">
        <v>45</v>
      </c>
      <c r="G78">
        <v>149470</v>
      </c>
      <c r="H78" t="str">
        <v>Abierto</v>
      </c>
      <c r="I78">
        <v>2.7149999999999999</v>
      </c>
      <c r="J78">
        <v>2.7149999999999999</v>
      </c>
      <c r="K78">
        <v>2.7149999999999999</v>
      </c>
      <c r="L78">
        <v>0</v>
      </c>
      <c r="M78">
        <v>334</v>
      </c>
      <c r="N78">
        <v>334</v>
      </c>
      <c r="O78">
        <v>149136</v>
      </c>
      <c r="P78">
        <v>404904.24</v>
      </c>
      <c r="Q78">
        <v>6.7850799999999998</v>
      </c>
      <c r="R78">
        <v>337.42020000000002</v>
      </c>
      <c r="S78">
        <v>337.42020000000002</v>
      </c>
      <c r="T78">
        <v>1200</v>
      </c>
      <c r="U78" t="str">
        <v>36868-ESPINET SOLE ANTONIO</v>
      </c>
    </row>
    <row r="79" spans="1:21" x14ac:dyDescent="0.25">
      <c r="A79" t="str">
        <v>2025-11-21</v>
      </c>
      <c r="B79" t="str">
        <v>36868-ESPINET SOLE ANTONIO-L:070-N:5-A:A15-POLLO AMARILLO MIXTO</v>
      </c>
      <c r="C79" t="str">
        <v>POLLO AMARILLO MIXTO</v>
      </c>
      <c r="D79">
        <v>44688</v>
      </c>
      <c r="E79" t="str">
        <v>Broiler Amarillo</v>
      </c>
      <c r="F79">
        <v>45</v>
      </c>
      <c r="G79">
        <v>45000</v>
      </c>
      <c r="H79" t="str">
        <v>Abierto</v>
      </c>
      <c r="I79">
        <v>2.7149999999999999</v>
      </c>
      <c r="J79">
        <v>2.7149999999999999</v>
      </c>
      <c r="K79">
        <v>2.7149999999999999</v>
      </c>
      <c r="L79">
        <v>0</v>
      </c>
      <c r="M79">
        <v>312</v>
      </c>
      <c r="N79">
        <v>312</v>
      </c>
      <c r="O79">
        <v>44688</v>
      </c>
      <c r="P79">
        <v>121327.92</v>
      </c>
      <c r="Q79">
        <v>2.0331199999999998</v>
      </c>
      <c r="R79">
        <v>101.1066</v>
      </c>
      <c r="S79">
        <v>101.1066</v>
      </c>
      <c r="T79">
        <v>1200</v>
      </c>
      <c r="U79" t="str">
        <v>36868-ESPINET SOLE ANTONIO</v>
      </c>
    </row>
    <row r="80" spans="1:21" x14ac:dyDescent="0.25">
      <c r="A80" t="str">
        <v>2025-11-21</v>
      </c>
      <c r="B80" t="str">
        <v>36037-ROSELL BOSQUE JOAN-L:028-N:1-A:A14-POLLO AMARILLO HEMBRAS</v>
      </c>
      <c r="C80" t="str">
        <v>POLLO AMARILLO HEMBRAS</v>
      </c>
      <c r="D80">
        <v>35495</v>
      </c>
      <c r="E80" t="str">
        <v>Broiler Amarillo</v>
      </c>
      <c r="F80">
        <v>46</v>
      </c>
      <c r="G80">
        <v>36000</v>
      </c>
      <c r="H80" t="str">
        <v>Abierto</v>
      </c>
      <c r="I80">
        <v>2.6139999999999999</v>
      </c>
      <c r="J80">
        <v>3.1106099999999999</v>
      </c>
      <c r="K80">
        <v>2.5609999999999999</v>
      </c>
      <c r="L80">
        <v>0</v>
      </c>
      <c r="M80">
        <v>500</v>
      </c>
      <c r="N80">
        <v>600</v>
      </c>
      <c r="O80">
        <v>70990</v>
      </c>
      <c r="P80">
        <v>201895.56</v>
      </c>
      <c r="Q80">
        <v>1.97194</v>
      </c>
      <c r="R80">
        <v>100.84693306693306</v>
      </c>
      <c r="S80">
        <v>100.84693306693306</v>
      </c>
      <c r="T80">
        <v>2002</v>
      </c>
      <c r="U80" t="str">
        <v>36037-ROSELL BOSQUE JOAN</v>
      </c>
    </row>
    <row r="81" spans="1:21" x14ac:dyDescent="0.25">
      <c r="A81" t="str">
        <v>2025-11-21</v>
      </c>
      <c r="B81" t="str">
        <v>36868-ESPINET SOLE ANTONIO-L:070-N:1-A:A14-POLLO AMARILLO HEMBRAS</v>
      </c>
      <c r="C81" t="str">
        <v>POLLO AMARILLO HEMBRAS</v>
      </c>
      <c r="D81">
        <v>19752</v>
      </c>
      <c r="E81" t="str">
        <v>Broiler Amarillo</v>
      </c>
      <c r="F81">
        <v>46</v>
      </c>
      <c r="G81">
        <v>20000</v>
      </c>
      <c r="H81" t="str">
        <v>Abierto</v>
      </c>
      <c r="I81">
        <v>2.5840000000000001</v>
      </c>
      <c r="J81">
        <v>2.7994300000000001</v>
      </c>
      <c r="K81">
        <v>2.5609999999999999</v>
      </c>
      <c r="L81">
        <v>0</v>
      </c>
      <c r="M81">
        <v>240</v>
      </c>
      <c r="N81">
        <v>366</v>
      </c>
      <c r="O81">
        <v>39437</v>
      </c>
      <c r="P81">
        <v>110999.678</v>
      </c>
      <c r="Q81">
        <v>1.8686100000000001</v>
      </c>
      <c r="R81">
        <v>96.353887152777773</v>
      </c>
      <c r="S81">
        <v>96.353887152777773</v>
      </c>
      <c r="T81">
        <v>1152</v>
      </c>
      <c r="U81" t="str">
        <v>36868-ESPINET SOLE ANTONIO</v>
      </c>
    </row>
    <row r="82" spans="1:21" x14ac:dyDescent="0.25">
      <c r="A82" t="str">
        <v>2025-11-21</v>
      </c>
      <c r="B82" t="str">
        <v>36011-RAMADERIA FERPRATS- J FDZ - 1-L:030-N:3-A:A14-POLLO AMARILLO HEMBRAS</v>
      </c>
      <c r="C82" t="str">
        <v>POLLO AMARILLO HEMBRAS</v>
      </c>
      <c r="D82">
        <v>36181</v>
      </c>
      <c r="E82" t="str">
        <v>Broiler Amarillo</v>
      </c>
      <c r="F82">
        <v>46</v>
      </c>
      <c r="G82">
        <v>36600</v>
      </c>
      <c r="H82" t="str">
        <v>Abierto</v>
      </c>
      <c r="I82">
        <v>2.5609999999999999</v>
      </c>
      <c r="J82">
        <v>2.5609999999999999</v>
      </c>
      <c r="K82">
        <v>2.5609999999999999</v>
      </c>
      <c r="L82">
        <v>0</v>
      </c>
      <c r="M82">
        <v>419</v>
      </c>
      <c r="N82">
        <v>419</v>
      </c>
      <c r="O82">
        <v>72659</v>
      </c>
      <c r="P82">
        <v>202677.18900000001</v>
      </c>
      <c r="Q82">
        <v>3.1278100000000002</v>
      </c>
      <c r="R82">
        <v>135.11812599999999</v>
      </c>
      <c r="S82">
        <v>135.11812599999999</v>
      </c>
      <c r="T82">
        <v>1500</v>
      </c>
      <c r="U82" t="str">
        <v>36011-RAMADERIA FERPRATS- J FDZ - 1</v>
      </c>
    </row>
    <row r="83" spans="1:21" x14ac:dyDescent="0.25">
      <c r="A83" t="str">
        <v>2025-11-21</v>
      </c>
      <c r="B83" t="str">
        <v>36011-RAMADERIA FERPRATS- J FDZ - 1-L:030-N:6-A:A14-POLLO AMARILLO HEMBRAS</v>
      </c>
      <c r="C83" t="str">
        <v>POLLO AMARILLO HEMBRAS</v>
      </c>
      <c r="D83">
        <v>23718</v>
      </c>
      <c r="E83" t="str">
        <v>Broiler Amarillo</v>
      </c>
      <c r="F83">
        <v>46</v>
      </c>
      <c r="G83">
        <v>24000</v>
      </c>
      <c r="H83" t="str">
        <v>Abierto</v>
      </c>
      <c r="I83">
        <v>2.5609999999999999</v>
      </c>
      <c r="J83">
        <v>2.5609999999999999</v>
      </c>
      <c r="K83">
        <v>2.5609999999999999</v>
      </c>
      <c r="L83">
        <v>0</v>
      </c>
      <c r="M83">
        <v>282</v>
      </c>
      <c r="N83">
        <v>282</v>
      </c>
      <c r="O83">
        <v>47436</v>
      </c>
      <c r="P83">
        <v>132275.28599999999</v>
      </c>
      <c r="Q83">
        <v>2.6868300000000001</v>
      </c>
      <c r="R83">
        <v>116.03095263157894</v>
      </c>
      <c r="S83">
        <v>116.03095263157894</v>
      </c>
      <c r="T83">
        <v>1140</v>
      </c>
      <c r="U83" t="str">
        <v>36011-RAMADERIA FERPRATS- J FDZ - 1</v>
      </c>
    </row>
    <row r="84" spans="1:21" x14ac:dyDescent="0.25">
      <c r="A84" t="str">
        <v>2025-11-21</v>
      </c>
      <c r="B84" t="str">
        <v>36926-AVICOLA GUIM SCP-L:045-N:1-A:A14-POLLO AMARILLO HEMBRAS</v>
      </c>
      <c r="C84" t="str">
        <v>POLLO AMARILLO HEMBRAS</v>
      </c>
      <c r="D84">
        <v>42400</v>
      </c>
      <c r="E84" t="str">
        <v>Broiler Amarillo</v>
      </c>
      <c r="F84">
        <v>46</v>
      </c>
      <c r="G84">
        <v>42900</v>
      </c>
      <c r="H84" t="str">
        <v>Abierto</v>
      </c>
      <c r="I84">
        <v>2.5609999999999999</v>
      </c>
      <c r="J84">
        <v>2.5609999999999999</v>
      </c>
      <c r="K84">
        <v>2.5609999999999999</v>
      </c>
      <c r="L84">
        <v>0</v>
      </c>
      <c r="M84">
        <v>500</v>
      </c>
      <c r="N84">
        <v>500</v>
      </c>
      <c r="O84">
        <v>84500</v>
      </c>
      <c r="P84">
        <v>235560</v>
      </c>
      <c r="Q84">
        <v>2.4142899999999998</v>
      </c>
      <c r="R84">
        <v>138.56470588235294</v>
      </c>
      <c r="S84">
        <v>138.56470588235294</v>
      </c>
      <c r="T84">
        <v>1700</v>
      </c>
      <c r="U84" t="str">
        <v>36926-AVICOLA GUIM SCP</v>
      </c>
    </row>
    <row r="85" spans="1:21" x14ac:dyDescent="0.25">
      <c r="A85" t="str">
        <v>2025-11-21</v>
      </c>
      <c r="B85" t="str">
        <v>36011-RAMADERIA FERPRATS- J FDZ - 1-L:030-N:5-A:A14-POLLO AMARILLO HEMBRAS</v>
      </c>
      <c r="C85" t="str">
        <v>POLLO AMARILLO HEMBRAS</v>
      </c>
      <c r="D85">
        <v>28175</v>
      </c>
      <c r="E85" t="str">
        <v>Broiler Amarillo</v>
      </c>
      <c r="F85">
        <v>46</v>
      </c>
      <c r="G85">
        <v>28500</v>
      </c>
      <c r="H85" t="str">
        <v>Abierto</v>
      </c>
      <c r="I85">
        <v>2.5609999999999999</v>
      </c>
      <c r="J85">
        <v>2.5609999999999999</v>
      </c>
      <c r="K85">
        <v>2.5609999999999999</v>
      </c>
      <c r="L85">
        <v>0</v>
      </c>
      <c r="M85">
        <v>325</v>
      </c>
      <c r="N85">
        <v>325</v>
      </c>
      <c r="O85">
        <v>56350</v>
      </c>
      <c r="P85">
        <v>157131.97500000001</v>
      </c>
      <c r="Q85">
        <v>3.1917300000000002</v>
      </c>
      <c r="R85">
        <v>137.83506578947367</v>
      </c>
      <c r="S85">
        <v>137.83506578947367</v>
      </c>
      <c r="T85">
        <v>1140</v>
      </c>
      <c r="U85" t="str">
        <v>36011-RAMADERIA FERPRATS- J FDZ - 1</v>
      </c>
    </row>
    <row r="86" spans="1:21" x14ac:dyDescent="0.25">
      <c r="A86" t="str">
        <v>2025-11-21</v>
      </c>
      <c r="B86" t="str">
        <v>36950-CARBONELL BERGADA GERARD-2-L:041-N:3-A:A13-POLLO AMARILLO MACHO</v>
      </c>
      <c r="C86" t="str">
        <v>POLLO AMARILLO MACHO</v>
      </c>
      <c r="D86">
        <v>86506</v>
      </c>
      <c r="E86" t="str">
        <v>Broiler Amarillo</v>
      </c>
      <c r="F86">
        <v>39</v>
      </c>
      <c r="G86">
        <v>87500</v>
      </c>
      <c r="H86" t="str">
        <v>Abierto</v>
      </c>
      <c r="I86">
        <v>2.4590000000000001</v>
      </c>
      <c r="J86">
        <v>2.8908</v>
      </c>
      <c r="K86">
        <v>2.4089999999999998</v>
      </c>
      <c r="L86">
        <v>0</v>
      </c>
      <c r="M86">
        <v>991</v>
      </c>
      <c r="N86">
        <v>612</v>
      </c>
      <c r="O86">
        <v>173394</v>
      </c>
      <c r="P86">
        <v>393966.62199999997</v>
      </c>
      <c r="Q86">
        <v>5.7797999999999998</v>
      </c>
      <c r="R86">
        <v>218.87034555555556</v>
      </c>
      <c r="S86">
        <v>218.87034555555556</v>
      </c>
      <c r="T86">
        <v>1800</v>
      </c>
      <c r="U86" t="str">
        <v>36950-CARBONELL BERGADA GERARD-2</v>
      </c>
    </row>
    <row r="87" spans="1:21" x14ac:dyDescent="0.25">
      <c r="A87" t="str">
        <v>2025-11-21</v>
      </c>
      <c r="B87" t="str">
        <v>36993-SENDRA-FIGUERAS, SCP-1,2,3-L:013-N:3-A:A13-POLLO AMARILLO MACHO</v>
      </c>
      <c r="C87" t="str">
        <v>POLLO AMARILLO MACHO</v>
      </c>
      <c r="D87">
        <v>48765</v>
      </c>
      <c r="E87" t="str">
        <v>Broiler Amarillo</v>
      </c>
      <c r="F87">
        <v>39</v>
      </c>
      <c r="G87">
        <v>49000</v>
      </c>
      <c r="H87" t="str">
        <v>Abierto</v>
      </c>
      <c r="I87">
        <v>2.4590000000000001</v>
      </c>
      <c r="J87">
        <v>2.8908</v>
      </c>
      <c r="K87">
        <v>2.4089999999999998</v>
      </c>
      <c r="L87">
        <v>0</v>
      </c>
      <c r="M87">
        <v>232</v>
      </c>
      <c r="N87">
        <v>331</v>
      </c>
      <c r="O87">
        <v>97434</v>
      </c>
      <c r="P87">
        <v>221436.66899999999</v>
      </c>
      <c r="Q87">
        <v>5.1281100000000004</v>
      </c>
      <c r="R87">
        <v>222.77330885311872</v>
      </c>
      <c r="S87">
        <v>222.77330885311872</v>
      </c>
      <c r="T87">
        <v>994</v>
      </c>
      <c r="U87" t="str">
        <v>36993-SENDRA-FIGUERAS, SCP-1,2,3</v>
      </c>
    </row>
    <row r="88" spans="1:21" x14ac:dyDescent="0.25">
      <c r="A88" t="str">
        <v>2025-11-21</v>
      </c>
      <c r="B88" t="str">
        <v>36023-AGRÀRIA SANBER SCP-L:030-N:1-A:A13-POLLO AMARILLO MACHO</v>
      </c>
      <c r="C88" t="str">
        <v>POLLO AMARILLO MACHO</v>
      </c>
      <c r="D88">
        <v>61228</v>
      </c>
      <c r="E88" t="str">
        <v>Broiler Amarillo</v>
      </c>
      <c r="F88">
        <v>39</v>
      </c>
      <c r="G88">
        <v>61500</v>
      </c>
      <c r="H88" t="str">
        <v>Abierto</v>
      </c>
      <c r="I88">
        <v>2.4390000000000001</v>
      </c>
      <c r="J88">
        <v>2.69808</v>
      </c>
      <c r="K88">
        <v>2.4089999999999998</v>
      </c>
      <c r="L88">
        <v>0</v>
      </c>
      <c r="M88">
        <v>262</v>
      </c>
      <c r="N88">
        <v>422</v>
      </c>
      <c r="O88">
        <v>123024</v>
      </c>
      <c r="P88">
        <v>279662.85600000003</v>
      </c>
      <c r="Q88">
        <v>4.1007999999999996</v>
      </c>
      <c r="R88">
        <v>199.75918285714286</v>
      </c>
      <c r="S88">
        <v>199.75918285714286</v>
      </c>
      <c r="T88">
        <v>1400</v>
      </c>
      <c r="U88" t="str">
        <v>36023-AGRÀRIA SANBER SCP</v>
      </c>
    </row>
    <row r="89" spans="1:21" x14ac:dyDescent="0.25">
      <c r="A89" t="str">
        <v>2025-11-21</v>
      </c>
      <c r="B89" t="str">
        <v>36994-SENDRA-FIGUERAS, SCP-4,5,6-L:013-N:6-A:A13-POLLO AMARILLO MACHO</v>
      </c>
      <c r="C89" t="str">
        <v>POLLO AMARILLO MACHO</v>
      </c>
      <c r="D89">
        <v>71598</v>
      </c>
      <c r="E89" t="str">
        <v>Broiler Amarillo</v>
      </c>
      <c r="F89">
        <v>38</v>
      </c>
      <c r="G89">
        <v>72000</v>
      </c>
      <c r="H89" t="str">
        <v>Abierto</v>
      </c>
      <c r="I89">
        <v>2.3690000000000002</v>
      </c>
      <c r="J89">
        <v>2.7827999999999999</v>
      </c>
      <c r="K89">
        <v>2.319</v>
      </c>
      <c r="L89">
        <v>0</v>
      </c>
      <c r="M89">
        <v>399</v>
      </c>
      <c r="N89">
        <v>18</v>
      </c>
      <c r="O89">
        <v>144882</v>
      </c>
      <c r="P89">
        <v>317282.92200000002</v>
      </c>
      <c r="Q89">
        <v>7.8569399999999998</v>
      </c>
      <c r="R89">
        <v>328.79059274611399</v>
      </c>
      <c r="S89">
        <v>328.79059274611399</v>
      </c>
      <c r="T89">
        <v>965</v>
      </c>
      <c r="U89" t="str">
        <v>36994-SENDRA-FIGUERAS, SCP-4,5,6</v>
      </c>
    </row>
    <row r="90" spans="1:21" x14ac:dyDescent="0.25">
      <c r="A90" t="str">
        <v>2025-11-21</v>
      </c>
      <c r="B90" t="str">
        <v>36994-SENDRA-FIGUERAS, SCP-4,5,6-L:013-N:4-A:A13-POLLO AMARILLO MACHO</v>
      </c>
      <c r="C90" t="str">
        <v>POLLO AMARILLO MACHO</v>
      </c>
      <c r="D90">
        <v>87747</v>
      </c>
      <c r="E90" t="str">
        <v>Broiler Amarillo</v>
      </c>
      <c r="F90">
        <v>38</v>
      </c>
      <c r="G90">
        <v>88000</v>
      </c>
      <c r="H90" t="str">
        <v>Abierto</v>
      </c>
      <c r="I90">
        <v>2.3690000000000002</v>
      </c>
      <c r="J90">
        <v>2.7827999999999999</v>
      </c>
      <c r="K90">
        <v>2.319</v>
      </c>
      <c r="L90">
        <v>0</v>
      </c>
      <c r="M90">
        <v>250</v>
      </c>
      <c r="N90">
        <v>384</v>
      </c>
      <c r="O90">
        <v>177751</v>
      </c>
      <c r="P90">
        <v>389230.70299999998</v>
      </c>
      <c r="Q90">
        <v>8.0532299999999992</v>
      </c>
      <c r="R90">
        <v>336.99627965367966</v>
      </c>
      <c r="S90">
        <v>336.99627965367966</v>
      </c>
      <c r="T90">
        <v>1155</v>
      </c>
      <c r="U90" t="str">
        <v>36994-SENDRA-FIGUERAS, SCP-4,5,6</v>
      </c>
    </row>
    <row r="91" spans="1:21" x14ac:dyDescent="0.25">
      <c r="A91" t="str">
        <v>2025-11-21</v>
      </c>
      <c r="B91" t="str">
        <v>36994-SENDRA-FIGUERAS, SCP-4,5,6-L:013-N:5-A:A13-POLLO AMARILLO MACHO</v>
      </c>
      <c r="C91" t="str">
        <v>POLLO AMARILLO MACHO</v>
      </c>
      <c r="D91">
        <v>127591</v>
      </c>
      <c r="E91" t="str">
        <v>Broiler Amarillo</v>
      </c>
      <c r="F91">
        <v>38</v>
      </c>
      <c r="G91">
        <v>128000</v>
      </c>
      <c r="H91" t="str">
        <v>Abierto</v>
      </c>
      <c r="I91">
        <v>2.3690000000000002</v>
      </c>
      <c r="J91">
        <v>2.7827999999999999</v>
      </c>
      <c r="K91">
        <v>2.319</v>
      </c>
      <c r="L91">
        <v>0</v>
      </c>
      <c r="M91">
        <v>406</v>
      </c>
      <c r="N91">
        <v>563</v>
      </c>
      <c r="O91">
        <v>258284</v>
      </c>
      <c r="P91">
        <v>565609.47400000005</v>
      </c>
      <c r="Q91">
        <v>8.1792400000000001</v>
      </c>
      <c r="R91">
        <v>342.17149062310949</v>
      </c>
      <c r="S91">
        <v>342.17149062310949</v>
      </c>
      <c r="T91">
        <v>1653</v>
      </c>
      <c r="U91" t="str">
        <v>36994-SENDRA-FIGUERAS, SCP-4,5,6</v>
      </c>
    </row>
    <row r="92" spans="1:21" x14ac:dyDescent="0.25">
      <c r="A92" t="str">
        <v>2025-11-21</v>
      </c>
      <c r="B92" t="str">
        <v>36868-ESPINET SOLE ANTONIO-L:070-N:3-A:A14-POLLO AMARILLO HEMBRAS</v>
      </c>
      <c r="C92" t="str">
        <v>POLLO AMARILLO HEMBRAS</v>
      </c>
      <c r="D92">
        <v>81682</v>
      </c>
      <c r="E92" t="str">
        <v>Broiler Amarillo</v>
      </c>
      <c r="F92">
        <v>43</v>
      </c>
      <c r="G92">
        <v>82400</v>
      </c>
      <c r="H92" t="str">
        <v>Abierto</v>
      </c>
      <c r="I92">
        <v>2.3650000000000002</v>
      </c>
      <c r="J92">
        <v>2.3650000000000002</v>
      </c>
      <c r="K92">
        <v>2.3650000000000002</v>
      </c>
      <c r="L92">
        <v>0</v>
      </c>
      <c r="M92">
        <v>718</v>
      </c>
      <c r="N92">
        <v>718</v>
      </c>
      <c r="O92">
        <v>163364</v>
      </c>
      <c r="P92">
        <v>418865.29599999997</v>
      </c>
      <c r="Q92">
        <v>4.04617</v>
      </c>
      <c r="R92">
        <v>190.04777495462795</v>
      </c>
      <c r="S92">
        <v>190.04777495462795</v>
      </c>
      <c r="T92">
        <v>2204</v>
      </c>
      <c r="U92" t="str">
        <v>36868-ESPINET SOLE ANTONIO</v>
      </c>
    </row>
    <row r="93" spans="1:21" x14ac:dyDescent="0.25">
      <c r="A93" t="str">
        <v>2025-11-21</v>
      </c>
      <c r="B93" t="str">
        <v>36778-CARBONELL BERGADA GERARD-1-L:100-N:1-A:A15-POLLO AMARILLO MIXTO</v>
      </c>
      <c r="C93" t="str">
        <v>POLLO AMARILLO MIXTO</v>
      </c>
      <c r="D93">
        <v>61961</v>
      </c>
      <c r="E93" t="str">
        <v>Broiler Amarillo</v>
      </c>
      <c r="F93">
        <v>39</v>
      </c>
      <c r="G93">
        <v>62100</v>
      </c>
      <c r="H93" t="str">
        <v>Abierto</v>
      </c>
      <c r="I93">
        <v>2.2999999999999998</v>
      </c>
      <c r="J93">
        <v>2.7194600000000002</v>
      </c>
      <c r="K93">
        <v>2.2480000000000002</v>
      </c>
      <c r="L93">
        <v>0</v>
      </c>
      <c r="M93">
        <v>136</v>
      </c>
      <c r="N93">
        <v>425</v>
      </c>
      <c r="O93">
        <v>61961</v>
      </c>
      <c r="P93">
        <v>142510.29999999999</v>
      </c>
      <c r="Q93">
        <v>5.13347</v>
      </c>
      <c r="R93">
        <v>169.65511904761905</v>
      </c>
      <c r="S93">
        <v>169.65511904761905</v>
      </c>
      <c r="T93">
        <v>840</v>
      </c>
      <c r="U93" t="str">
        <v>36778-CARBONELL BERGADA GERARD-1</v>
      </c>
    </row>
    <row r="94" spans="1:21" x14ac:dyDescent="0.25">
      <c r="A94" t="str">
        <v>2025-11-21</v>
      </c>
      <c r="B94" t="str">
        <v>36993-SENDRA-FIGUERAS, SCP-1,2,3-L:013-N:2-A:A15-POLLO AMARILLO MIXTO</v>
      </c>
      <c r="C94" t="str">
        <v>POLLO AMARILLO MIXTO</v>
      </c>
      <c r="D94">
        <v>22950</v>
      </c>
      <c r="E94" t="str">
        <v>Broiler Amarillo</v>
      </c>
      <c r="F94">
        <v>39</v>
      </c>
      <c r="G94">
        <v>23000</v>
      </c>
      <c r="H94" t="str">
        <v>Abierto</v>
      </c>
      <c r="I94">
        <v>2.2999999999999998</v>
      </c>
      <c r="J94">
        <v>2.7194600000000002</v>
      </c>
      <c r="K94">
        <v>2.2480000000000002</v>
      </c>
      <c r="L94">
        <v>0</v>
      </c>
      <c r="M94">
        <v>47</v>
      </c>
      <c r="N94">
        <v>169</v>
      </c>
      <c r="O94">
        <v>22950</v>
      </c>
      <c r="P94">
        <v>52785</v>
      </c>
      <c r="Q94">
        <v>4.7222200000000001</v>
      </c>
      <c r="R94">
        <v>207.81496062992127</v>
      </c>
      <c r="S94">
        <v>207.81496062992127</v>
      </c>
      <c r="T94">
        <v>254</v>
      </c>
      <c r="U94" t="str">
        <v>36993-SENDRA-FIGUERAS, SCP-1,2,3</v>
      </c>
    </row>
    <row r="95" spans="1:21" x14ac:dyDescent="0.25">
      <c r="A95" t="str">
        <v>2025-11-21</v>
      </c>
      <c r="B95" t="str">
        <v>36993-SENDRA-FIGUERAS, SCP-1,2,3-L:013-N:1-A:A15-POLLO AMARILLO MIXTO</v>
      </c>
      <c r="C95" t="str">
        <v>POLLO AMARILLO MIXTO</v>
      </c>
      <c r="D95">
        <v>22951</v>
      </c>
      <c r="E95" t="str">
        <v>Broiler Amarillo</v>
      </c>
      <c r="F95">
        <v>39</v>
      </c>
      <c r="G95">
        <v>23000</v>
      </c>
      <c r="H95" t="str">
        <v>Abierto</v>
      </c>
      <c r="I95">
        <v>2.2999999999999998</v>
      </c>
      <c r="J95">
        <v>2.7194600000000002</v>
      </c>
      <c r="K95">
        <v>2.2480000000000002</v>
      </c>
      <c r="L95">
        <v>0</v>
      </c>
      <c r="M95">
        <v>46</v>
      </c>
      <c r="N95">
        <v>169</v>
      </c>
      <c r="O95">
        <v>22951</v>
      </c>
      <c r="P95">
        <v>52787.3</v>
      </c>
      <c r="Q95">
        <v>4.7224300000000001</v>
      </c>
      <c r="R95">
        <v>207.82401574803148</v>
      </c>
      <c r="S95">
        <v>207.82401574803148</v>
      </c>
      <c r="T95">
        <v>254</v>
      </c>
      <c r="U95" t="str">
        <v>36993-SENDRA-FIGUERAS, SCP-1,2,3</v>
      </c>
    </row>
    <row r="96" spans="1:21" x14ac:dyDescent="0.25">
      <c r="A96" t="str">
        <v>2025-11-21</v>
      </c>
      <c r="B96" t="str">
        <v>36778-CARBONELL BERGADA GERARD-1-L:100-N:2-A:A15-POLLO AMARILLO MIXTO</v>
      </c>
      <c r="C96" t="str">
        <v>POLLO AMARILLO MIXTO</v>
      </c>
      <c r="D96">
        <v>61952</v>
      </c>
      <c r="E96" t="str">
        <v>Broiler Amarillo</v>
      </c>
      <c r="F96">
        <v>39</v>
      </c>
      <c r="G96">
        <v>62100</v>
      </c>
      <c r="H96" t="str">
        <v>Abierto</v>
      </c>
      <c r="I96">
        <v>2.2999999999999998</v>
      </c>
      <c r="J96">
        <v>2.7194600000000002</v>
      </c>
      <c r="K96">
        <v>2.2480000000000002</v>
      </c>
      <c r="L96">
        <v>0</v>
      </c>
      <c r="M96">
        <v>145</v>
      </c>
      <c r="N96">
        <v>166</v>
      </c>
      <c r="O96">
        <v>61952</v>
      </c>
      <c r="P96">
        <v>142489.60000000001</v>
      </c>
      <c r="Q96">
        <v>4.7913399999999999</v>
      </c>
      <c r="R96">
        <v>158.32177777777778</v>
      </c>
      <c r="S96">
        <v>158.32177777777778</v>
      </c>
      <c r="T96">
        <v>900</v>
      </c>
      <c r="U96" t="str">
        <v>36778-CARBONELL BERGADA GERARD-1</v>
      </c>
    </row>
    <row r="97" spans="1:21" x14ac:dyDescent="0.25">
      <c r="A97" t="str">
        <v>2025-11-21</v>
      </c>
      <c r="B97" t="str">
        <v>36781-SANZ BORRAS CARLES-L:071-N:1-A:A15-POLLO AMARILLO MIXTO</v>
      </c>
      <c r="C97" t="str">
        <v>POLLO AMARILLO MIXTO</v>
      </c>
      <c r="D97">
        <v>70589</v>
      </c>
      <c r="E97" t="str">
        <v>Broiler Amarillo</v>
      </c>
      <c r="F97">
        <v>36</v>
      </c>
      <c r="G97">
        <v>70700</v>
      </c>
      <c r="H97" t="str">
        <v>Abierto</v>
      </c>
      <c r="I97">
        <v>2.11</v>
      </c>
      <c r="J97">
        <v>2.3389199999999999</v>
      </c>
      <c r="K97">
        <v>2.0030000000000001</v>
      </c>
      <c r="L97">
        <v>0</v>
      </c>
      <c r="M97">
        <v>108</v>
      </c>
      <c r="N97">
        <v>354</v>
      </c>
      <c r="O97">
        <v>70589</v>
      </c>
      <c r="P97">
        <v>148942.79</v>
      </c>
      <c r="Q97">
        <v>6.8706399999999999</v>
      </c>
      <c r="R97">
        <v>248.23798333333335</v>
      </c>
      <c r="S97">
        <v>248.23798333333335</v>
      </c>
      <c r="T97">
        <v>600</v>
      </c>
      <c r="U97" t="str">
        <v>36781-SANZ BORRAS CARLES</v>
      </c>
    </row>
    <row r="98" spans="1:21" x14ac:dyDescent="0.25">
      <c r="A98" t="str">
        <v>2025-11-21</v>
      </c>
      <c r="B98" t="str">
        <v>36023-AGRÀRIA SANBER SCP-L:030-N:1-A:A14-POLLO AMARILLO HEMBRAS</v>
      </c>
      <c r="C98" t="str">
        <v>POLLO AMARILLO HEMBRAS</v>
      </c>
      <c r="D98">
        <v>61796</v>
      </c>
      <c r="E98" t="str">
        <v>Broiler Amarillo</v>
      </c>
      <c r="F98">
        <v>39</v>
      </c>
      <c r="G98">
        <v>62000</v>
      </c>
      <c r="H98" t="str">
        <v>Abierto</v>
      </c>
      <c r="I98">
        <v>2.109</v>
      </c>
      <c r="J98">
        <v>2.2802099999999998</v>
      </c>
      <c r="K98">
        <v>2.0859999999999999</v>
      </c>
      <c r="L98">
        <v>0</v>
      </c>
      <c r="M98">
        <v>200</v>
      </c>
      <c r="N98">
        <v>425</v>
      </c>
      <c r="O98">
        <v>123024</v>
      </c>
      <c r="P98">
        <v>279662.85600000003</v>
      </c>
      <c r="Q98">
        <v>4.1007999999999996</v>
      </c>
      <c r="R98">
        <v>199.75918285714286</v>
      </c>
      <c r="S98">
        <v>199.75918285714286</v>
      </c>
      <c r="T98">
        <v>1400</v>
      </c>
      <c r="U98" t="str">
        <v>36023-AGRÀRIA SANBER SCP</v>
      </c>
    </row>
    <row r="99" spans="1:21" x14ac:dyDescent="0.25">
      <c r="A99" t="str">
        <v>2025-11-21</v>
      </c>
      <c r="B99" t="str">
        <v>36785-SANZ SEBASTIA, IONE-L:054-N:1-A:A13-POLLO AMARILLO MACHO</v>
      </c>
      <c r="C99" t="str">
        <v>POLLO AMARILLO MACHO</v>
      </c>
      <c r="D99">
        <v>100220</v>
      </c>
      <c r="E99" t="str">
        <v>Broiler Amarillo</v>
      </c>
      <c r="F99">
        <v>35</v>
      </c>
      <c r="G99">
        <v>100800</v>
      </c>
      <c r="H99" t="str">
        <v>Abierto</v>
      </c>
      <c r="I99">
        <v>2.1080000000000001</v>
      </c>
      <c r="J99">
        <v>2.2625999999999999</v>
      </c>
      <c r="K99">
        <v>2.0449999999999999</v>
      </c>
      <c r="L99">
        <v>0</v>
      </c>
      <c r="M99">
        <v>567</v>
      </c>
      <c r="N99">
        <v>569</v>
      </c>
      <c r="O99">
        <v>199856</v>
      </c>
      <c r="P99">
        <v>395191.81599999999</v>
      </c>
      <c r="Q99">
        <v>6.2454999999999998</v>
      </c>
      <c r="R99">
        <v>227.12173333333334</v>
      </c>
      <c r="S99">
        <v>227.12173333333334</v>
      </c>
      <c r="T99">
        <v>1740</v>
      </c>
      <c r="U99" t="str">
        <v>36785-SANZ SEBASTIA, IONE</v>
      </c>
    </row>
    <row r="100" spans="1:21" x14ac:dyDescent="0.25">
      <c r="A100" t="str">
        <v>2025-11-21</v>
      </c>
      <c r="B100" t="str">
        <v>36781-SANZ BORRAS CARLES-L:071-N:2-A:A15-POLLO AMARILLO MIXTO</v>
      </c>
      <c r="C100" t="str">
        <v>POLLO AMARILLO MIXTO</v>
      </c>
      <c r="D100">
        <v>72293</v>
      </c>
      <c r="E100" t="str">
        <v>Broiler Amarillo</v>
      </c>
      <c r="F100">
        <v>36</v>
      </c>
      <c r="G100">
        <v>72450</v>
      </c>
      <c r="H100" t="str">
        <v>Abierto</v>
      </c>
      <c r="I100">
        <v>2.0950000000000002</v>
      </c>
      <c r="J100">
        <v>2.29183</v>
      </c>
      <c r="K100">
        <v>2.0030000000000001</v>
      </c>
      <c r="L100">
        <v>0</v>
      </c>
      <c r="M100">
        <v>153</v>
      </c>
      <c r="N100">
        <v>357</v>
      </c>
      <c r="O100">
        <v>72293</v>
      </c>
      <c r="P100">
        <v>151453.83499999999</v>
      </c>
      <c r="Q100">
        <v>7.0365000000000002</v>
      </c>
      <c r="R100">
        <v>252.42305833333333</v>
      </c>
      <c r="S100">
        <v>252.42305833333333</v>
      </c>
      <c r="T100">
        <v>600</v>
      </c>
      <c r="U100" t="str">
        <v>36781-SANZ BORRAS CARLES</v>
      </c>
    </row>
    <row r="101" spans="1:21" x14ac:dyDescent="0.25">
      <c r="A101" t="str">
        <v>2025-11-21</v>
      </c>
      <c r="B101" t="str">
        <v>36781-SANZ BORRAS CARLES-L:071-N:3-A:A15-POLLO AMARILLO MIXTO</v>
      </c>
      <c r="C101" t="str">
        <v>POLLO AMARILLO MIXTO</v>
      </c>
      <c r="D101">
        <v>181549</v>
      </c>
      <c r="E101" t="str">
        <v>Broiler Amarillo</v>
      </c>
      <c r="F101">
        <v>36</v>
      </c>
      <c r="G101">
        <v>182070</v>
      </c>
      <c r="H101" t="str">
        <v>Abierto</v>
      </c>
      <c r="I101">
        <v>2.09</v>
      </c>
      <c r="J101">
        <v>2.27617</v>
      </c>
      <c r="K101">
        <v>2.0030000000000001</v>
      </c>
      <c r="L101">
        <v>0</v>
      </c>
      <c r="M101">
        <v>506</v>
      </c>
      <c r="N101">
        <v>880</v>
      </c>
      <c r="O101">
        <v>181549</v>
      </c>
      <c r="P101">
        <v>379437.41</v>
      </c>
      <c r="Q101">
        <v>7.4247100000000001</v>
      </c>
      <c r="R101">
        <v>265.71247198879553</v>
      </c>
      <c r="S101">
        <v>265.71247198879553</v>
      </c>
      <c r="T101">
        <v>1428</v>
      </c>
      <c r="U101" t="str">
        <v>36781-SANZ BORRAS CARLES</v>
      </c>
    </row>
    <row r="102" spans="1:21" x14ac:dyDescent="0.25">
      <c r="A102" t="str">
        <v>2025-11-21</v>
      </c>
      <c r="B102" t="str">
        <v>36993-SENDRA-FIGUERAS, SCP-1,2,3-L:013-N:3-A:A14-POLLO AMARILLO HEMBRAS</v>
      </c>
      <c r="C102" t="str">
        <v>POLLO AMARILLO HEMBRAS</v>
      </c>
      <c r="D102">
        <v>48669</v>
      </c>
      <c r="E102" t="str">
        <v>Broiler Amarillo</v>
      </c>
      <c r="F102">
        <v>39</v>
      </c>
      <c r="G102">
        <v>49000</v>
      </c>
      <c r="H102" t="str">
        <v>Abierto</v>
      </c>
      <c r="I102">
        <v>2.0859999999999999</v>
      </c>
      <c r="J102">
        <v>2.0859999999999999</v>
      </c>
      <c r="K102">
        <v>2.0859999999999999</v>
      </c>
      <c r="L102">
        <v>0</v>
      </c>
      <c r="M102">
        <v>331</v>
      </c>
      <c r="N102">
        <v>331</v>
      </c>
      <c r="O102">
        <v>97434</v>
      </c>
      <c r="P102">
        <v>221436.66899999999</v>
      </c>
      <c r="Q102">
        <v>5.1281100000000004</v>
      </c>
      <c r="R102">
        <v>222.77330885311872</v>
      </c>
      <c r="S102">
        <v>222.77330885311872</v>
      </c>
      <c r="T102">
        <v>994</v>
      </c>
      <c r="U102" t="str">
        <v>36993-SENDRA-FIGUERAS, SCP-1,2,3</v>
      </c>
    </row>
    <row r="103" spans="1:21" x14ac:dyDescent="0.25">
      <c r="A103" t="str">
        <v>2025-11-21</v>
      </c>
      <c r="B103" t="str">
        <v>36950-CARBONELL BERGADA GERARD-2-L:041-N:3-A:A14-POLLO AMARILLO HEMBRAS</v>
      </c>
      <c r="C103" t="str">
        <v>POLLO AMARILLO HEMBRAS</v>
      </c>
      <c r="D103">
        <v>86888</v>
      </c>
      <c r="E103" t="str">
        <v>Broiler Amarillo</v>
      </c>
      <c r="F103">
        <v>39</v>
      </c>
      <c r="G103">
        <v>87500</v>
      </c>
      <c r="H103" t="str">
        <v>Abierto</v>
      </c>
      <c r="I103">
        <v>2.0859999999999999</v>
      </c>
      <c r="J103">
        <v>2.0859999999999999</v>
      </c>
      <c r="K103">
        <v>2.0859999999999999</v>
      </c>
      <c r="L103">
        <v>0</v>
      </c>
      <c r="M103">
        <v>612</v>
      </c>
      <c r="N103">
        <v>612</v>
      </c>
      <c r="O103">
        <v>173394</v>
      </c>
      <c r="P103">
        <v>393966.62199999997</v>
      </c>
      <c r="Q103">
        <v>5.7797999999999998</v>
      </c>
      <c r="R103">
        <v>218.87034555555556</v>
      </c>
      <c r="S103">
        <v>218.87034555555556</v>
      </c>
      <c r="T103">
        <v>1800</v>
      </c>
      <c r="U103" t="str">
        <v>36950-CARBONELL BERGADA GERARD-2</v>
      </c>
    </row>
    <row r="104" spans="1:21" x14ac:dyDescent="0.25">
      <c r="A104" t="str">
        <v>2025-11-21</v>
      </c>
      <c r="B104" t="str">
        <v>36994-SENDRA-FIGUERAS, SCP-4,5,6-L:013-N:5-A:A14-POLLO AMARILLO HEMBRAS</v>
      </c>
      <c r="C104" t="str">
        <v>POLLO AMARILLO HEMBRAS</v>
      </c>
      <c r="D104">
        <v>130693</v>
      </c>
      <c r="E104" t="str">
        <v>Broiler Amarillo</v>
      </c>
      <c r="F104">
        <v>38</v>
      </c>
      <c r="G104">
        <v>131200</v>
      </c>
      <c r="H104" t="str">
        <v>Abierto</v>
      </c>
      <c r="I104">
        <v>2.0150000000000001</v>
      </c>
      <c r="J104">
        <v>2.0150000000000001</v>
      </c>
      <c r="K104">
        <v>2.0150000000000001</v>
      </c>
      <c r="L104">
        <v>0</v>
      </c>
      <c r="M104">
        <v>507</v>
      </c>
      <c r="N104">
        <v>507</v>
      </c>
      <c r="O104">
        <v>258284</v>
      </c>
      <c r="P104">
        <v>565609.47400000005</v>
      </c>
      <c r="Q104">
        <v>8.1792400000000001</v>
      </c>
      <c r="R104">
        <v>342.17149062310949</v>
      </c>
      <c r="S104">
        <v>342.17149062310949</v>
      </c>
      <c r="T104">
        <v>1653</v>
      </c>
      <c r="U104" t="str">
        <v>36994-SENDRA-FIGUERAS, SCP-4,5,6</v>
      </c>
    </row>
    <row r="105" spans="1:21" x14ac:dyDescent="0.25">
      <c r="A105" t="str">
        <v>2025-11-21</v>
      </c>
      <c r="B105" t="str">
        <v>36994-SENDRA-FIGUERAS, SCP-4,5,6-L:013-N:4-A:A14-POLLO AMARILLO HEMBRAS</v>
      </c>
      <c r="C105" t="str">
        <v>POLLO AMARILLO HEMBRAS</v>
      </c>
      <c r="D105">
        <v>90004</v>
      </c>
      <c r="E105" t="str">
        <v>Broiler Amarillo</v>
      </c>
      <c r="F105">
        <v>38</v>
      </c>
      <c r="G105">
        <v>90400</v>
      </c>
      <c r="H105" t="str">
        <v>Abierto</v>
      </c>
      <c r="I105">
        <v>2.0150000000000001</v>
      </c>
      <c r="J105">
        <v>2.0150000000000001</v>
      </c>
      <c r="K105">
        <v>2.0150000000000001</v>
      </c>
      <c r="L105">
        <v>0</v>
      </c>
      <c r="M105">
        <v>396</v>
      </c>
      <c r="N105">
        <v>396</v>
      </c>
      <c r="O105">
        <v>177751</v>
      </c>
      <c r="P105">
        <v>389230.70299999998</v>
      </c>
      <c r="Q105">
        <v>8.0532299999999992</v>
      </c>
      <c r="R105">
        <v>336.99627965367966</v>
      </c>
      <c r="S105">
        <v>336.99627965367966</v>
      </c>
      <c r="T105">
        <v>1155</v>
      </c>
      <c r="U105" t="str">
        <v>36994-SENDRA-FIGUERAS, SCP-4,5,6</v>
      </c>
    </row>
    <row r="106" spans="1:21" x14ac:dyDescent="0.25">
      <c r="A106" t="str">
        <v>2025-11-21</v>
      </c>
      <c r="B106" t="str">
        <v>36994-SENDRA-FIGUERAS, SCP-4,5,6-L:013-N:6-A:A14-POLLO AMARILLO HEMBRAS</v>
      </c>
      <c r="C106" t="str">
        <v>POLLO AMARILLO HEMBRAS</v>
      </c>
      <c r="D106">
        <v>73284</v>
      </c>
      <c r="E106" t="str">
        <v>Broiler Amarillo</v>
      </c>
      <c r="F106">
        <v>38</v>
      </c>
      <c r="G106">
        <v>73600</v>
      </c>
      <c r="H106" t="str">
        <v>Abierto</v>
      </c>
      <c r="I106">
        <v>2.0150000000000001</v>
      </c>
      <c r="J106">
        <v>2.0150000000000001</v>
      </c>
      <c r="K106">
        <v>2.0150000000000001</v>
      </c>
      <c r="L106">
        <v>0</v>
      </c>
      <c r="M106">
        <v>316</v>
      </c>
      <c r="N106">
        <v>316</v>
      </c>
      <c r="O106">
        <v>144882</v>
      </c>
      <c r="P106">
        <v>317282.92200000002</v>
      </c>
      <c r="Q106">
        <v>7.8569399999999998</v>
      </c>
      <c r="R106">
        <v>328.79059274611399</v>
      </c>
      <c r="S106">
        <v>328.79059274611399</v>
      </c>
      <c r="T106">
        <v>965</v>
      </c>
      <c r="U106" t="str">
        <v>36994-SENDRA-FIGUERAS, SCP-4,5,6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USAGE</vt:lpstr>
      <vt:lpstr>USAGE_2D</vt:lpstr>
      <vt:lpstr>USAGE_2D_2</vt:lpstr>
      <vt:lpstr>USAGE_2D_3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2025-11-21T09:15:13Z</dcterms:modified>
</cp:coreProperties>
</file>