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ostgresql-xls-integration\"/>
    </mc:Choice>
  </mc:AlternateContent>
  <xr:revisionPtr revIDLastSave="0" documentId="13_ncr:1_{FCD093E0-4E8E-40EA-8C84-ADD2508118AE}" xr6:coauthVersionLast="47" xr6:coauthVersionMax="47" xr10:uidLastSave="{00000000-0000-0000-0000-000000000000}"/>
  <bookViews>
    <workbookView xWindow="-120" yWindow="-120" windowWidth="29040" windowHeight="17520" activeTab="2" xr2:uid="{05E6C5A0-7147-4ACB-A5C3-F7A1309D5382}"/>
  </bookViews>
  <sheets>
    <sheet name="README" sheetId="2" r:id="rId1"/>
    <sheet name="USAGE" sheetId="1" r:id="rId2"/>
    <sheet name="USAGE_JSON" sheetId="3" r:id="rId3"/>
    <sheet name="USAGE_JSON_2" sheetId="5" r:id="rId4"/>
    <sheet name="USAGE_JSON_3" sheetId="6" r:id="rId5"/>
  </sheets>
  <functionGroups builtInGroupCount="19"/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5" l="1" a="1"/>
  <c r="A5" i="5"/>
  <c r="A5" i="3" a="1"/>
  <c r="A5" i="3"/>
  <c r="A5" i="6" a="1"/>
  <c r="A5" i="6"/>
  <c r="R2" i="1" a="1"/>
  <c r="R2" i="1"/>
  <c r="R4" i="1" a="1"/>
  <c r="R4" i="1"/>
  <c r="R3" i="1" a="1"/>
  <c r="R3" i="1"/>
  <c r="D3" i="1" a="1"/>
  <c r="D3" i="1"/>
  <c r="D4" i="1" a="1"/>
  <c r="D4" i="1"/>
  <c r="D5" i="1" a="1"/>
  <c r="D5" i="1"/>
  <c r="D2" i="1" a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<sst xmlns="http://schemas.openxmlformats.org/spreadsheetml/2006/main" count="785" uniqueCount="112">
  <si>
    <t>PDX</t>
  </si>
  <si>
    <t>BRAM</t>
  </si>
  <si>
    <t>p_empavi</t>
  </si>
  <si>
    <t>p_erpcodave</t>
  </si>
  <si>
    <t>p_fch</t>
  </si>
  <si>
    <t>Function</t>
  </si>
  <si>
    <t>BRMCD</t>
  </si>
  <si>
    <t>'2025-10-01','2025-10-10',0,999,0,9.999);</t>
  </si>
  <si>
    <t>ok</t>
  </si>
  <si>
    <t>select api_xls.f_pla_get_data_stock('PDX','SALIDAS_QTY','BRAM', CURRENT_DATE::DATE,</t>
  </si>
  <si>
    <t>select api_xls.f_pla_get_data_stock('PDX','ENTRADAS_QTY','BRAM', CURRENT_DATE::DATE,</t>
  </si>
  <si>
    <t>CURRENT_DATE::DATE,CURRENT_DATE::DATE,0,999,0,9.999);</t>
  </si>
  <si>
    <t>select api_xls.f_pla_get_data_stock('PDX','STOCK_QTY','BRAM', CURRENT_DATE::DATE,</t>
  </si>
  <si>
    <t>TEST LLAMADA</t>
  </si>
  <si>
    <t>Ejemplos</t>
  </si>
  <si>
    <t>SALIDAS_PM -&gt; Peso Medio Salidas</t>
  </si>
  <si>
    <t>SALIDAS_KG -&gt; Kg Salidas</t>
  </si>
  <si>
    <t>SALIDAS_QTY -&gt; Cantidad Salidas</t>
  </si>
  <si>
    <t>Bloque Salidas</t>
  </si>
  <si>
    <t xml:space="preserve">ENTRADAS_QTY -&gt; Cantidad Entradas  </t>
  </si>
  <si>
    <t>Bloque entradas</t>
  </si>
  <si>
    <t>STOCK_PM -&gt; Peso Medio Stock</t>
  </si>
  <si>
    <t>STOCK_KG -&gt; Kg Stock</t>
  </si>
  <si>
    <t xml:space="preserve">STOCK_QTY -&gt; Cantidad Stock  </t>
  </si>
  <si>
    <t>Bloque Stock</t>
  </si>
  <si>
    <t>Tipos de Peticiones</t>
  </si>
  <si>
    <t>GetSalidasAvi -&gt; Datos Salida Granja</t>
  </si>
  <si>
    <t>GetEntradaAvi -&gt; Datos Entrada Granja</t>
  </si>
  <si>
    <t>GetStockAvi  -&gt; Datos Stock</t>
  </si>
  <si>
    <t>FUNCIONES EXCEL</t>
  </si>
  <si>
    <t>3 decimals</t>
  </si>
  <si>
    <t>X</t>
  </si>
  <si>
    <t>--     @p_peso_final DECIMAL     : Peso unitario máximo para el filtro.</t>
  </si>
  <si>
    <t>--     @p_peso_inicial DECIMAL   : Peso unitario mínimo para el filtro.</t>
  </si>
  <si>
    <t>--     @p_DiaVida_final INTEGER  : Días de vida máximo para el filtro.</t>
  </si>
  <si>
    <t>--     @p_DiaVida_inicial INTEGER: Días de vida mínimo para el filtro.</t>
  </si>
  <si>
    <t>today</t>
  </si>
  <si>
    <t>--     @p_fch_final DATE         : Fecha de fin del rango (usada para Entradas/Salidas).</t>
  </si>
  <si>
    <t>--     @p_fch_inicial DATE       : Fecha de inicio del rango (usada para Entradas/Salidas).</t>
  </si>
  <si>
    <t>--     @p_fecha_dato DATE        : Fecha de stock específica (usada solo para métricas de Stock).</t>
  </si>
  <si>
    <t>--     @p_producto_venta TEXT    : Código ERP del producto de venta (AVE).</t>
  </si>
  <si>
    <t>--     @p_peticion TEXT          : Tipo de cálculo requerido (ej: 'STOCK_QTY', 'SALIDAS_PM').</t>
  </si>
  <si>
    <t>--     @p_unidad_operacional TEXT : Código ERP de la empresa para buscar la UOP.</t>
  </si>
  <si>
    <t>Default</t>
  </si>
  <si>
    <t>GetSalidasAvi</t>
  </si>
  <si>
    <t>GetEntradaAvi</t>
  </si>
  <si>
    <t>GetStockAvi</t>
  </si>
  <si>
    <t>Parámetros de la función PostgreSQL</t>
  </si>
  <si>
    <t>Parametros 3 funciones en Excel</t>
  </si>
  <si>
    <t>SORTIDAS</t>
  </si>
  <si>
    <t>ENTRADAS</t>
  </si>
  <si>
    <t>STOCK</t>
  </si>
  <si>
    <t>api_xls.f_pla_get_data_stock</t>
  </si>
  <si>
    <t>FUNCION POSTGRES</t>
  </si>
  <si>
    <t>GetStockAvi("PDX";"STOCK_QTY";"BRAM";"10/10/2025;0;999;0;9999)</t>
  </si>
  <si>
    <t>GetEntradaAvi("PDX";ENTRADAS_QTY";"BRAM";"01/10/2025";"09/10/2025")</t>
  </si>
  <si>
    <t>GetSalidasAvi("PDX";"SALIDAS_QTY";"BRAM";"01/10/2025;"09/10/2025";0;999;0;9999)</t>
  </si>
  <si>
    <t>STOCK_QTY</t>
  </si>
  <si>
    <t>ENTRADAS_QTY</t>
  </si>
  <si>
    <t>SALIDAS_QTY</t>
  </si>
  <si>
    <t>Result</t>
  </si>
  <si>
    <t>GetStockData</t>
  </si>
  <si>
    <t>.</t>
  </si>
  <si>
    <t>Empresa</t>
  </si>
  <si>
    <t>Dato</t>
  </si>
  <si>
    <t>Producto Venta</t>
  </si>
  <si>
    <t>Fecha Stock</t>
  </si>
  <si>
    <t>Desde Fecha</t>
  </si>
  <si>
    <t>Hasta Fecha</t>
  </si>
  <si>
    <t>Desde días de Vida</t>
  </si>
  <si>
    <t>Hasta Días de Vida</t>
  </si>
  <si>
    <t>Peso Inicial</t>
  </si>
  <si>
    <t>Peso Final</t>
  </si>
  <si>
    <t>TOR</t>
  </si>
  <si>
    <t>GRJ_STOCK_QTY</t>
  </si>
  <si>
    <t>GetSetStockAvi</t>
  </si>
  <si>
    <t>FUNCIONES EXCEL  -&gt;JSON</t>
  </si>
  <si>
    <t>GetSetStockAvi  -&gt; Datos Stock</t>
  </si>
  <si>
    <t>GetSetEntradaAvi -&gt; Datos Entrada Granja</t>
  </si>
  <si>
    <t>GetSetSalidasAvi -&gt; Datos Salida Granja</t>
  </si>
  <si>
    <t>Ejemplos:</t>
  </si>
  <si>
    <t>select api_xls.f_pla_get_set_data_stock('TOR','GRJ_STOCK_QTY','BRAM', CURRENT_DATE::DATE,</t>
  </si>
  <si>
    <t>Presentación de los datos devueltos:</t>
  </si>
  <si>
    <t>Iniciar la presentación tres filas por debajo de la casilla del grup "data"</t>
  </si>
  <si>
    <t>Primera linea -&gt; Pintar el nombre de las claves del json</t>
  </si>
  <si>
    <t>Líneas Restantes -&gt; Pintar los valores de la clave</t>
  </si>
  <si>
    <t>Borrar 5 lineas por debajo de la última fila presentada,</t>
  </si>
  <si>
    <t>Ejemplo json:</t>
  </si>
  <si>
    <t xml:space="preserve">{"status" : 0, "message" : "OK", "parameters" : {"unidad_operacional" : "TOR", "peticion" : "GRJ_STOCK_QTY", "fecha_dato" : "2025-10-16", "coduop_interno" : 20, "codave_interno" : 5}, "data" : [{"fecha_stock":"2025-10-16","granja_lote_nave_art":"20399T-GRANJA TONIC-L:39-N:1-A:3001-POLLO AMARILLO MACHO","articulo":"POLLO AMARILLO MACHO","gst_codave":5,"producto_venta":"Broiler Amarillo","dias_vida":51,"fecha_entrada":"2025-08-26","cantidad_entrada":0,"estado":"Pre-Finalizado","peso_real":4.12103,"peso_real_rev":4.19291,"peso_matadero":null,"peso_granja":null,"peso_teorico":3.83400,"peso_avicontrol":null,"cantidad_entrada":14600.000,"stock_inicial":-5806.000,"ventas_acumuladas":-19940.000,"bajas_acumuladas":466.000,"bajas_teoricas":466.000,"stock_nave":-4632.000,"kilos_nave":-20023.690,"capacidad_nave":-1,"densidad_nave":-12.4525435323383085,"kgm2_nave":-12.4525435323383085,"capacidad_nave":0.00000,"m2_nave":1608.00000,"granja":"20399T-GRANJA TONIC"}, </t>
  </si>
  <si>
    <t xml:space="preserve"> {"fecha_stock":"2025-10-16","granja_lote_nave_art":"20388T-GRANJA CAMAR-L:38-N:2-A:3001-POLLO AMARILLO MACHO","articulo":"POLLO AMARILLO MACHO","gst_codave":5,"producto_venta":"Broiler Amarillo","dias_vida":52,"fecha_entrada":"2025-08-25","cantidad_entrada":0,"estado":"Pre-Finalizado","peso_real":4.07691,"peso_real_rev":4.11921,"peso_matadero":null,"peso_granja":null,"peso_teorico":3.92600,"peso_avicontrol":null,"cantidad_entrada":16000.000,"stock_inicial":-13156.000,"ventas_acumuladas":-28632.000,"bajas_acumuladas":524.000,"bajas_teoricas":524.000,"stock_nave":-9939.000,"kilos_nave":-42703.593,"capacidad_nave":-0.30118181818181818182,"densidad_nave":-22.0690403100775194,"kgm2_nave":-22.0690403100775194,"capacidad_nave":-0.30118,"m2_nave":1935.00000,"granja":"20388T-GRANJA CAMAR"}, </t>
  </si>
  <si>
    <t xml:space="preserve"> {"fecha_stock":"2025-10-16","granja_lote_nave_art":"20260T-DUARRI-MANONELLES SCP naus 1,2,3,4-L:38-N:1-A:3001-POLLO AMARILLO MACHO","articulo":"POLLO AMARILLO MACHO","gst_codave":5,"producto_venta":"Broiler Amarillo","dias_vida":48,"fecha_entrada":"2025-08-29","cantidad_entrada":0,"estado":"Pre-Finalizado","peso_real":4.04626,"peso_real_rev":4.09019,"peso_matadero":null,"peso_granja":null,"peso_teorico":3.55200,"peso_avicontrol":null,"cantidad_entrada":9000.000,"stock_inicial":120.000,"ventas_acumuladas":-8593.000,"bajas_acumuladas":287.000,"bajas_teoricas":287.000,"stock_nave":363.000,"kilos_nave":1246.646,"capacidad_nave":0.02268750000000000000,"densidad_nave":1.0493653198653199,"kgm2_nave":1.0493653198653199,"capacidad_nave":0.02269,"m2_nave":1188.00000,"granja":"20260T-DUARRI-MANONELLES SCP naus 1,2,3,4"}, </t>
  </si>
  <si>
    <t xml:space="preserve"> {"fecha_stock":"2025-10-16","granja_lote_nave_art":"20358T-CA L.IGNASI-L:38-N:2-A:3001-POLLO AMARILLO MACHO","articulo":"POLLO AMARILLO MACHO","gst_codave":5,"producto_venta":"Broiler Amarillo","dias_vida":51,"fecha_entrada":"2025-08-26","cantidad_entrada":0,"estado":"Pre-Finalizado","peso_real":3.92142,"peso_real_rev":3.94701,"peso_matadero":null,"peso_granja":null,"peso_teorico":3.83400,"peso_avicontrol":null,"cantidad_entrada":17200.000,"stock_inicial":-4621.000,"ventas_acumuladas":-21269.000,"bajas_acumuladas":552.000,"bajas_teoricas":552.000,"stock_nave":-6975.000,"kilos_nave":-25763.425,"capacidad_nave":-0.18355263157894736842,"densidad_nave":-13.1714851738241309,"kgm2_nave":-13.1714851738241309,"capacidad_nave":-0.18355,"m2_nave":1956.00000,"granja":"20358T-CA L.IGNASI"}, </t>
  </si>
  <si>
    <t xml:space="preserve"> {"fecha_stock":"2025-10-16","granja_lote_nave_art":"20416T-PUJANTELL-AVICOLA-L:31-N:1-A:3001-POLLO AMARILLO MACHO","articulo":"POLLO AMARILLO MACHO","gst_codave":5,"producto_venta":"Broiler Amarillo","dias_vida":49,"fecha_entrada":"2025-08-28","cantidad_entrada":0,"estado":"Pre-Finalizado","peso_real":3.89229,"peso_real_rev":3.90586,"peso_matadero":null,"peso_granja":null,"peso_teorico":3.64700,"peso_avicontrol":null,"cantidad_entrada":22000.000,"stock_inicial":385.000,"ventas_acumuladas":-20728.000,"bajas_acumuladas":719.000,"bajas_teoricas":719.000,"stock_nave":275.000,"kilos_nave":1164.761,"capacidad_nave":0.00639534883720930233,"densidad_nave":0.49146033755274261603,"kgm2_nave":0.49146033755274261603,"capacidad_nave":0.00640,"m2_nave":2370.00000,"granja":"20416T-PUJANTELL-AVICOLA"}, </t>
  </si>
  <si>
    <t xml:space="preserve"> {"fecha_stock":"2025-10-16","granja_lote_nave_art":"20260T-DUARRI-MANONELLES SCP naus 1,2,3,4-L:38-N:4-A:3001-POLLO AMARILLO MACHO","articulo":"POLLO AMARILLO MACHO","gst_codave":5,"producto_venta":"Broiler Amarillo","dias_vida":48,"fecha_entrada":"2025-08-29","cantidad_entrada":0,"estado":"Pre-Finalizado","peso_real":3.88245,"peso_real_rev":3.90133,"peso_matadero":null,"peso_granja":null,"peso_teorico":3.55200,"peso_avicontrol":null,"cantidad_entrada":4700.000,"stock_inicial":0.000,"ventas_acumuladas":-4471.000,"bajas_acumuladas":109.000,"bajas_teoricas":109.000,"stock_nave":0.000,"kilos_nave":0.000,"capacidad_nave":0.00000000000000000000,"densidad_nave":0.00000000000000000000,"kgm2_nave":0.00000000000000000000,"capacidad_nave":0.00000,"m2_nave":407.00000,"granja":"20260T-DUARRI-MANONELLES SCP naus 1,2,3,4"}, </t>
  </si>
  <si>
    <t xml:space="preserve"> {"fecha_stock":"2025-10-16","granja_lote_nave_art":"20260T-DUARRI-MANONELLES SCP naus 1,2,3,4-L:38-N:2-A:3001-POLLO AMARILLO MACHO","articulo":"POLLO AMARILLO MACHO","gst_codave":5,"producto_venta":"Broiler Amarillo","dias_vida":48,"fecha_entrada":"2025-08-29","cantidad_entrada":0,"estado":"Pre-Finalizado","peso_real":3.85944,"peso_real_rev":3.86798,"peso_matadero":null,"peso_granja":null,"peso_teorico":3.55200,"peso_avicontrol":null,"cantidad_entrada":16500.000,"stock_inicial":1530.000,"ventas_acumuladas":-14427.000,"bajas_acumuladas":535.000,"bajas_teoricas":535.000,"stock_nave":727.000,"kilos_nave":3090.243,"capacidad_nave":0.02203030303030303030,"densidad_nave":1.5170559646539028,"kgm2_nave":1.5170559646539028,"capacidad_nave":0.02203,"m2_nave":2037.00000,"granja":"20260T-DUARRI-MANONELLES SCP naus 1,2,3,4"}, </t>
  </si>
  <si>
    <t xml:space="preserve"> {"fecha_stock":"2025-10-16","granja_lote_nave_art":"20358T-CA L.IGNASI-L:38-N:1-A:3001-POLLO AMARILLO MACHO","articulo":"POLLO AMARILLO MACHO","gst_codave":5,"producto_venta":"Broiler Amarillo","dias_vida":51,"fecha_entrada":"2025-08-26","cantidad_entrada":0,"estado":"Abierto","peso_real":3.66413,"peso_real_rev":3.48776,"peso_matadero":null,"peso_granja":null,"peso_teorico":3.83400,"peso_avicontrol":null,"cantidad_entrada":16800.000,"stock_inicial":-1157.000,"ventas_acumuladas":-17762.000,"bajas_acumuladas":195.000,"bajas_teoricas":195.000,"stock_nave":4344.000,"kilos_nave":14355.687,"capacidad_nave":0.12066666666666666667,"densidad_nave":7.6197914012738854,"kgm2_nave":7.6197914012738854,"capacidad_nave":0.12067,"m2_nave":1884.00000,"granja":"20358T-CA L.IGNASI"}, </t>
  </si>
  <si>
    <t xml:space="preserve"> {"fecha_stock":"2025-10-16","granja_lote_nave_art":"20388T-GRANJA CAMAR-L:38-N:1-A:3001-POLLO AMARILLO MACHO","articulo":"POLLO AMARILLO MACHO","gst_codave":5,"producto_venta":"Broiler Amarillo","dias_vida":52,"fecha_entrada":"2025-08-25","cantidad_entrada":0,"estado":"Pre-Finalizado","peso_real":3.63802,"peso_real_rev":3.58951,"peso_matadero":null,"peso_granja":null,"peso_teorico":3.92600,"peso_avicontrol":null,"cantidad_entrada":15500.000,"stock_inicial":-11813.000,"ventas_acumuladas":-26825.000,"bajas_acumuladas":488.000,"bajas_teoricas":488.000,"stock_nave":-23239.000,"kilos_nave":-82672.711,"capacidad_nave":-0.72621875000000000000,"densidad_nave":-44.9308211956521739,"kgm2_nave":-44.9308211956521739,"capacidad_nave":-0.72622,"m2_nave":1840.00000,"granja":"20388T-GRANJA CAMAR"}, </t>
  </si>
  <si>
    <t xml:space="preserve"> {"fecha_stock":"2025-10-16","granja_lote_nave_art":"20268T-CIRERA-L:37-N:3-A:3001-POLLO AMARILLO MACHO","articulo":"POLLO AMARILLO MACHO","gst_codave":5,"producto_venta":"Broiler Amarillo","dias_vida":49,"fecha_entrada":"2025-08-28","cantidad_entrada":0,"estado":"Pre-Finalizado","peso_real":3.61606,"peso_real_rev":3.61343,"peso_matadero":null,"peso_granja":null,"peso_teorico":3.64700,"peso_avicontrol":null,"cantidad_entrada":15000.000,"stock_inicial":-258.000,"ventas_acumuladas":-14450.000,"bajas_acumuladas":808.000,"bajas_teoricas":477.000,"stock_nave":-825.000,"kilos_nave":-2650.692,"capacidad_nave":-0.02844827586206896552,"densidad_nave":-1.6241985294117647,"kgm2_nave":-1.6241985294117647,"capacidad_nave":-0.02845,"m2_nave":1632.00000,"granja":"20268T-CIRERA"}, </t>
  </si>
  <si>
    <t xml:space="preserve"> {"fecha_stock":"2025-10-16","granja_lote_nave_art":"20260T-DUARRI-MANONELLES SCP naus 1,2,3,4-L:38-N:3-A:3001-POLLO AMARILLO MACHO","articulo":"POLLO AMARILLO MACHO","gst_codave":5,"producto_venta":"Broiler Amarillo","dias_vida":48,"fecha_entrada":"2025-08-29","cantidad_entrada":0,"estado":"Pre-Finalizado","peso_real":3.51988,"peso_real_rev":3.51804,"peso_matadero":null,"peso_granja":null,"peso_teorico":3.55200,"peso_avicontrol":null,"cantidad_entrada":9800.000,"stock_inicial":0.000,"ventas_acumuladas":-9421.000,"bajas_acumuladas":304.000,"bajas_teoricas":304.000,"stock_nave":431.000,"kilos_nave":1378.709,"capacidad_nave":0.02155000000000000000,"densidad_nave":1.1723715986394558,"kgm2_nave":1.1723715986394558,"capacidad_nave":0.02155,"m2_nave":1176.00000,"granja":"20260T-DUARRI-MANONELLES SCP naus 1,2,3,4"}, </t>
  </si>
  <si>
    <t xml:space="preserve"> {"fecha_stock":"2025-10-16","granja_lote_nave_art":"20268T-CIRERA-L:37-N:1-A:3003-POLLO AMARILLO MIXTO","articulo":"POLLO AMARILLO MIXTO","gst_codave":5,"producto_venta":"Broiler Amarillo","dias_vida":49,"fecha_entrada":"2025-08-28","cantidad_entrada":0,"estado":"Pre-Finalizado","peso_real":3.51455,"peso_real_rev":3.53188,"peso_matadero":null,"peso_granja":null,"peso_teorico":3.36100,"peso_avicontrol":null,"cantidad_entrada":27000.000,"stock_inicial":294.000,"ventas_acumuladas":-25848.000,"bajas_acumuladas":858.000,"bajas_teoricas":858.000,"stock_nave":294.000,"kilos_nave":1033.278,"capacidad_nave":0.01013793103448275862,"densidad_nave":0.63313602941176470588,"kgm2_nave":0.63313602941176470588,"capacidad_nave":0.01014,"m2_nave":1632.00000,"granja":"20268T-CIRERA"}, </t>
  </si>
  <si>
    <t xml:space="preserve"> {"fecha_stock":"2025-10-16","granja_lote_nave_art":"20260T-DUARRI-MANONELLES SCP naus 1,2,3,4-L:38-N:2-A:3002-POLLO AMARILLO HEMBRAS","articulo":"POLLO AMARILLO HEMBRAS","gst_codave":5,"producto_venta":"Broiler Amarillo","dias_vida":48,"fecha_entrada":"2025-08-29","cantidad_entrada":0,"estado":"Pre-Finalizado","peso_real":3.50523,"peso_real_rev":3.54979,"peso_matadero":null,"peso_granja":null,"peso_teorico":2.95200,"peso_avicontrol":null,"cantidad_entrada":16200.000,"stock_inicial":-803.000,"ventas_acumuladas":-16467.000,"bajas_acumuladas":536.000,"bajas_teoricas":536.000,"stock_nave":727.000,"kilos_nave":3090.243,"capacidad_nave":0.02203030303030303030,"densidad_nave":1.5170559646539028,"kgm2_nave":1.5170559646539028,"capacidad_nave":0.02203,"m2_nave":2037.00000,"granja":"20260T-DUARRI-MANONELLES SCP naus 1,2,3,4"}, </t>
  </si>
  <si>
    <t xml:space="preserve"> {"fecha_stock":"2025-10-16","granja_lote_nave_art":"20427T-MARIA PRAT NOGUERA-L:23-N:3-A:3002-POLLO AMARILLO HEMBRAS","articulo":"POLLO AMARILLO HEMBRAS","gst_codave":5,"producto_venta":"Broiler Amarillo","dias_vida":55,"fecha_entrada":"2025-08-22","cantidad_entrada":0,"estado":"Pre-Finalizado","peso_real":3.48322,"peso_real_rev":3.45074,"peso_matadero":null,"peso_granja":null,"peso_teorico":3.43500,"peso_avicontrol":null,"cantidad_entrada":13500.000,"stock_inicial":190.000,"ventas_acumuladas":-13109.000,"bajas_acumuladas":448.000,"bajas_teoricas":448.000,"stock_nave":190.000,"kilos_nave":661.812,"capacidad_nave":0.00703703703703703704,"densidad_nave":0.41966518706404565631,"kgm2_nave":0.41966518706404565631,"capacidad_nave":-0.01126,"m2_nave":1577.00000,"granja":"20427T-MARIA PRAT NOGUERA"}, </t>
  </si>
  <si>
    <t xml:space="preserve"> {"fecha_stock":"2025-10-16","granja_lote_nave_art":"20388T-GRANJA CAMAR-L:38-N:1-A:3002-POLLO AMARILLO HEMBRAS","articulo":"POLLO AMARILLO HEMBRAS","gst_codave":5,"producto_venta":"Broiler Amarillo","dias_vida":52,"fecha_entrada":"2025-08-25","cantidad_entrada":0,"estado":"Pre-Finalizado","peso_real":3.47425,"peso_real_rev":3.51088,"peso_matadero":null,"peso_granja":null,"peso_teorico":3.23400,"peso_avicontrol":null,"cantidad_entrada":15500.000,"stock_inicial":-11426.000,"ventas_acumuladas":-26433.000,"bajas_acumuladas":493.000,"bajas_teoricas":493.000,"stock_nave":-23239.000,"kilos_nave":-82672.711,"capacidad_nave":-0.72621875000000000000,"densidad_nave":-44.9308211956521739,"kgm2_nave":-44.9308211956521739,"capacidad_nave":-0.72622,"m2_nave":1840.00000,"granja":"20388T-GRANJA CAMAR"}, </t>
  </si>
  <si>
    <t xml:space="preserve"> {"fecha_stock":"2025-10-16","granja_lote_nave_art":"20388T-GRANJA CAMAR-L:38-N:2-A:3002-POLLO AMARILLO HEMBRAS","articulo":"POLLO AMARILLO HEMBRAS","gst_codave":5,"producto_venta":"Broiler Amarillo","dias_vida":52,"fecha_entrada":"2025-08-25","cantidad_entrada":0,"estado":"Pre-Finalizado","peso_real":3.39827,"peso_real_rev":3.42331,"peso_matadero":null,"peso_granja":null,"peso_teorico":3.23400,"peso_avicontrol":null,"cantidad_entrada":16000.000,"stock_inicial":3217.000,"ventas_acumuladas":-12253.000,"bajas_acumuladas":530.000,"bajas_teoricas":530.000,"stock_nave":-9939.000,"kilos_nave":-42703.593,"capacidad_nave":-0.30118181818181818182,"densidad_nave":-22.0690403100775194,"kgm2_nave":-22.0690403100775194,"capacidad_nave":-0.30118,"m2_nave":1935.00000,"granja":"20388T-GRANJA CAMAR"}, </t>
  </si>
  <si>
    <t xml:space="preserve"> {"fecha_stock":"2025-10-16","granja_lote_nave_art":"20358T-CA L.IGNASI-L:38-N:4-A:3002-POLLO AMARILLO HEMBRAS","articulo":"POLLO AMARILLO HEMBRAS","gst_codave":5,"producto_venta":"Broiler Amarillo","dias_vida":55,"fecha_entrada":"2025-08-22","cantidad_entrada":0,"estado":"Pre-Finalizado","peso_real":3.39611,"peso_real_rev":3.28483,"peso_matadero":null,"peso_granja":null,"peso_teorico":3.43500,"peso_avicontrol":null,"cantidad_entrada":18500.000,"stock_inicial":-242.000,"ventas_acumuladas":-18154.000,"bajas_acumuladas":588.000,"bajas_teoricas":588.000,"stock_nave":-242.000,"kilos_nave":-821.859,"capacidad_nave":-0.00636842105263157895,"densidad_nave":-0.41092950000000000000,"kgm2_nave":-0.41092950000000000000,"capacidad_nave":-0.00637,"m2_nave":2000.00000,"granja":"20358T-CA L.IGNASI"}, </t>
  </si>
  <si>
    <t xml:space="preserve"> {"fecha_stock":"2025-10-16","granja_lote_nave_art":"20358T-CA L.IGNASI-L:38-N:1-A:3002-POLLO AMARILLO HEMBRAS","articulo":"POLLO AMARILLO HEMBRAS","gst_codave":5,"producto_venta":"Broiler Amarillo","dias_vida":51,"fecha_entrada":"2025-08-26","cantidad_entrada":0,"estado":"Abierto","peso_real":3.38031,"peso_real_rev":3.40164,"peso_matadero":null,"peso_granja":null,"peso_teorico":3.16500,"peso_avicontrol":null,"cantidad_entrada":16800.000,"stock_inicial":5501.000,"ventas_acumuladas":-11016.000,"bajas_acumuladas":206.000,"bajas_teoricas":206.000,"stock_nave":4344.000,"kilos_nave":14355.687,"capacidad_nave":0.12066666666666666667,"densidad_nave":7.6197914012738854,"kgm2_nave":7.6197914012738854,"capacidad_nave":0.12067,"m2_nave":1884.00000,"granja":"20358T-CA L.IGNASI"}, </t>
  </si>
  <si>
    <t xml:space="preserve"> {"fecha_stock":"2025-10-16","granja_lote_nave_art":"20432T-CASANOVA DEL PUIG (Cal Tiet)-L:21-N:1-A:3001-POLLO AMARILLO MACHO","articulo":"POLLO AMARILLO MACHO","gst_codave":5,"producto_venta":"Broiler Amarillo","dias_vida":44,"fecha_entrada":"2025-09-02","cantidad_entrada":0,"estado":"Abierto","peso_real":3.34800,"peso_real_rev":3.35388,"peso_matadero":null,"peso_granja":null,"peso_teorico":3.16400,"peso_avicontrol":null,"cantidad_entrada":15500.000,"stock_inicial":2704.000,"ventas_acumuladas":-12308.000,"bajas_acumuladas":488.000,"bajas_teoricas":488.000,"stock_nave":18663.000,"kilos_nave":53658.397,"capacidad_nave":0.58873817034700315457,"densidad_nave":30.4877255681818182,"kgm2_nave":30.4877255681818182,"capacidad_nave":0.58874,"m2_nave":1760.00000,"granja":"20432T-CASANOVA DEL PUIG (Cal Tiet)"}, </t>
  </si>
  <si>
    <t xml:space="preserve"> {"fecha_stock":"2025-10-16","granja_lote_nave_art":"20399T-GRANJA TONIC-L:39-N:1-A:3002-POLLO AMARILLO HEMBRAS","articulo":"POLLO AMARILLO HEMBRAS","gst_codave":5,"producto_venta":"Broiler Amarillo","dias_vida":51,"fecha_entrada":"2025-08-26","cantidad_entrada":0,"estado":"Pre-Finalizado","peso_real":3.32454,"peso_real_rev":3.37474,"peso_matadero":null,"peso_granja":null,"peso_teorico":3.16500,"peso_avicontrol":null,"cantidad_entrada":14700.000,"stock_inicial":1174.000,"ventas_acumuladas":-13390.000,"bajas_acumuladas":476.000,"bajas_teoricas":476.000,"stock_nave":-4632.000,"kilos_nave":-20023.690,"capacidad_nave":-1,"densidad_nave":-12.4525435323383085,"kgm2_nave":-12.4525435323383085,"capacidad_nave":0.00000,"m2_nave":1608.00000,"granja":"20399T-GRANJA TONIC"}, </t>
  </si>
  <si>
    <t xml:space="preserve"> {"fecha_stock":"2025-10-16","granja_lote_nave_art":"20228T-DE FEBRER ROSAS JOSEP M.-L:39-N:2-A:3001-POLLO AMARILLO MACHO","articulo":"POLLO AMARILLO MACHO","gst_codave":5,"producto_venta":"Broiler Amarillo","dias_vida":45,"fecha_entrada":"2025-09-01","cantidad_entrada":0,"estado":"Pre-Finalizado","peso_real":3.27849,"peso_real_rev":3.28381,"peso_matadero":null,"peso_granja":null,"peso_teorico":3.26200,"peso_avicontrol":null,"cantidad_entrada":16500.000,"stock_inicial":-252.000,"ventas_acumuladas":-16182.000,"bajas_acumuladas":570.000,"bajas_teoricas":535.000,"stock_nave":-433.000,"kilos_nave":-1021.116,"capacidad_nave":-0.01237142857142857143,"densidad_nave":-0.56728666666666666667,"kgm2_nave":-0.56728666666666666667,"capacidad_nave":-0.01237,"m2_nave":1800.00000,"granja":"20228T-DE FEBRER ROSAS JOSEP M."}, </t>
  </si>
  <si>
    <t xml:space="preserve"> {"fecha_stock":"2025-10-16","granja_lote_nave_art":"20396T-CAL FITÓ-L:40-N:2-A:3001-POLLO AMARILLO MACHO","articulo":"POLLO AMARILLO MACHO","gst_codave":5,"producto_venta":"Broiler Amarillo","dias_vida":42,"fecha_entrada":"2025-09-04","cantidad_entrada":0,"estado":"Pre-Finalizado","peso_real":3.27000,"peso_real_rev":3.28039,"peso_matadero":null,"peso_granja":null,"peso_teorico":2.96600,"peso_avicontrol":null,"cantidad_entrada":17200.000,"stock_inicial":16648.000,"ventas_acumuladas":0.000,"bajas_acumuladas":552.000,"bajas_teoricas":552.000,"stock_nave":-1273.000,"kilos_nave":10753.476,"capacidad_nave":-0.03822822822822822823,"densidad_nave":6.3442336283185841,"kgm2_nave":6.3442336283185841,"capacidad_nave":-0.03823,"m2_nave":1695.00000,"granja":"20396T-CAL FITÓ"}, </t>
  </si>
  <si>
    <t xml:space="preserve"> {"fecha_stock":"2025-10-16","granja_lote_nave_art":"20358T-CA L.IGNASI-L:38-N:2-A:3002-POLLO AMARILLO HEMBRAS","articulo":"POLLO AMARILLO HEMBRAS","gst_codave":5,"producto_venta":"Broiler Amarillo","dias_vida":51,"fecha_entrada":"2025-08-26","cantidad_entrada":0,"estado":"Pre-Finalizado","peso_real":3.24662,"peso_real_rev":3.26227,"peso_matadero":null,"peso_granja":null,"peso_teorico":3.16500,"peso_avicontrol":null,"cantidad_entrada":17200.000,"stock_inicial":-2354.000,"ventas_acumuladas":-18996.000,"bajas_acumuladas":558.000,"bajas_teoricas":558.000,"stock_nave":-6975.000,"kilos_nave":-25763.425,"capacidad_nave":-0.18355263157894736842,"densidad_nave":-13.1714851738241309,"kgm2_nave":-13.1714851738241309,"capacidad_nave":-0.18355,"m2_nave":1956.00000,"granja":"20358T-CA L.IGNASI"}, </t>
  </si>
  <si>
    <t xml:space="preserve"> {"fecha_stock":"2025-10-16","granja_lote_nave_art":"20358T-CA L.IGNASI-L:38-N:3-A:3002-POLLO AMARILLO HEMBRAS","articulo":"POLLO AMARILLO HEMBRAS","gst_codave":5,"producto_venta":"Broiler Amarillo","dias_vida":55,"fecha_entrada":"2025-08-22","cantidad_entrada":0,"estado":"Pre-Finalizado","peso_real":3.23728,"peso_real_rev":3.19915,"peso_matadero":null,"peso_granja":null,"peso_teorico":3.43500,"peso_avicontrol":null,"cantidad_entrada":18500.000,"stock_inicial":-101.000,"ventas_acumuladas":-18133.000,"bajas_acumuladas":468.000,"bajas_teoricas":468.000,"stock_nave":-101.000,"kilos_nave":-326.965,"capacidad_nave":-0.00265789473684210526,"densidad_nave":-0.16381012024048096192,"kgm2_nave":-0.16381012024048096192,"capacidad_nave":-0.00266,"m2_nave":1996.00000,"granja":"20358T-CA L.IGNASI"}]}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</si>
</sst>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0"/>
      <color rgb="FF739ECA"/>
      <name val="Consolas"/>
      <family val="3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/>
    <xf numFmtId="43" fontId="8" fillId="0" borderId="0" applyFont="0" applyFill="0" applyBorder="0" applyAlignment="0" applyProtection="0"/>
  </cellStyleXfs>
  <cellXfs count="28">
    <xf numFmtId="0" fontId="0" fillId="0" borderId="0" xfId="0"/>
    <xf numFmtId="14" fontId="0" fillId="0" borderId="0" xfId="0" quotePrefix="1" applyNumberFormat="1"/>
    <xf numFmtId="0" fontId="2" fillId="0" borderId="0" xfId="1"/>
    <xf numFmtId="0" fontId="3" fillId="0" borderId="0" xfId="1" applyFont="1"/>
    <xf numFmtId="0" fontId="4" fillId="2" borderId="1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left"/>
    </xf>
    <xf numFmtId="0" fontId="2" fillId="0" borderId="2" xfId="1" applyBorder="1" applyAlignment="1">
      <alignment horizontal="center"/>
    </xf>
    <xf numFmtId="0" fontId="2" fillId="0" borderId="0" xfId="1" applyAlignment="1">
      <alignment horizontal="center"/>
    </xf>
    <xf numFmtId="0" fontId="2" fillId="0" borderId="1" xfId="1" applyBorder="1" applyAlignment="1">
      <alignment horizontal="center"/>
    </xf>
    <xf numFmtId="0" fontId="2" fillId="0" borderId="1" xfId="1" applyBorder="1"/>
    <xf numFmtId="0" fontId="2" fillId="0" borderId="3" xfId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1" xfId="1" applyFont="1" applyFill="1" applyBorder="1"/>
    <xf numFmtId="0" fontId="5" fillId="0" borderId="0" xfId="1" applyFont="1"/>
    <xf numFmtId="0" fontId="6" fillId="0" borderId="0" xfId="0" applyFont="1"/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0" fontId="9" fillId="3" borderId="4" xfId="0" applyFont="1" applyFill="1" applyBorder="1" applyAlignment="1">
      <alignment horizontal="left" vertical="top" wrapText="1"/>
    </xf>
    <xf numFmtId="0" fontId="9" fillId="3" borderId="5" xfId="0" applyFont="1" applyFill="1" applyBorder="1" applyAlignment="1">
      <alignment horizontal="left" vertical="top" wrapText="1"/>
    </xf>
    <xf numFmtId="0" fontId="0" fillId="4" borderId="6" xfId="0" applyFill="1" applyBorder="1"/>
    <xf numFmtId="0" fontId="0" fillId="4" borderId="7" xfId="0" applyFill="1" applyBorder="1"/>
    <xf numFmtId="14" fontId="0" fillId="4" borderId="7" xfId="0" applyNumberFormat="1" applyFill="1" applyBorder="1"/>
    <xf numFmtId="0" fontId="4" fillId="0" borderId="0" xfId="1" applyFont="1"/>
    <xf numFmtId="0" fontId="2" fillId="2" borderId="1" xfId="1" applyFill="1" applyBorder="1" applyAlignment="1">
      <alignment horizontal="center"/>
    </xf>
  </cellXfs>
  <cellStyles count="3">
    <cellStyle name="Millares 2" xfId="2" xr:uid="{6C296D83-D875-45F9-8AE8-9220B61BAC5D}"/>
    <cellStyle name="Normal" xfId="0" builtinId="0"/>
    <cellStyle name="Normal 2" xfId="1" xr:uid="{4F265D0F-F0F8-41E6-8241-506690B81C08}"/>
  </cellStyles>
  <dxfs count="4">
    <dxf>
      <numFmt numFmtId="164" formatCode="#,##0_ ;\-#,##0\ "/>
    </dxf>
    <dxf>
      <numFmt numFmtId="19" formatCode="dd/mm/yyyy"/>
    </dxf>
    <dxf>
      <numFmt numFmtId="19" formatCode="dd/mm/yyyy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D0CDB-1B09-4054-ACB4-CCE2938B6586}" name="Tabla1" displayName="Tabla1" ref="F1:R4" totalsRowShown="0" headerRowDxfId="3">
  <autoFilter ref="F1:R4" xr:uid="{7A5D0CDB-1B09-4054-ACB4-CCE2938B6586}"/>
  <tableColumns count="13">
    <tableColumn id="1" xr3:uid="{BD7C8B58-B743-484C-AFF3-7831C4837138}" name="Empresa"/>
    <tableColumn id="2" xr3:uid="{A09A0A58-0C69-4F05-A2E9-CA6EA8C4413F}" name="Dato"/>
    <tableColumn id="3" xr3:uid="{C5B5DC5A-F4D6-4A89-98D1-F53D034FA8A2}" name="Producto Venta"/>
    <tableColumn id="4" xr3:uid="{F516E9ED-D821-4435-9F1A-1EE07EB99D23}" name="Fecha Stock"/>
    <tableColumn id="5" xr3:uid="{ADB3D741-47C8-44B7-8DD4-B8F5E313D993}" name="Desde Fecha" dataDxfId="2"/>
    <tableColumn id="6" xr3:uid="{75C8AA13-6E74-4926-910C-68A49E53F009}" name="Hasta Fecha" dataDxfId="1"/>
    <tableColumn id="7" xr3:uid="{D1B315E7-823F-41F2-8196-97A9DCF7677A}" name="Desde días de Vida"/>
    <tableColumn id="8" xr3:uid="{CD5FEF3A-196D-4D67-B9D1-B3374DDE9AD0}" name="Hasta Días de Vida"/>
    <tableColumn id="9" xr3:uid="{71B6A375-684F-42FD-A348-AEB73ACC0500}" name="Peso Inicial"/>
    <tableColumn id="10" xr3:uid="{30CF6BD8-AF17-42AB-99FA-73F144ABB3E3}" name="Peso Final"/>
    <tableColumn id="11" xr3:uid="{67F9F385-B101-498E-8CF8-5589193BE617}" name="."/>
    <tableColumn id="12" xr3:uid="{DB7FA186-F982-4A2C-8276-17473E4622D3}" name="Function"/>
    <tableColumn id="13" xr3:uid="{1BF1C2DA-74D7-4549-8FC4-08DFAF7C6F6F}" name="Resul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7F2B9-C469-4F71-A07C-3A10360E851D}">
  <sheetPr codeName="Hoja2"/>
  <dimension ref="B3:G127"/>
  <sheetViews>
    <sheetView workbookViewId="0">
      <selection activeCell="B19" sqref="B19"/>
    </sheetView>
  </sheetViews>
  <sheetFormatPr baseColWidth="10" defaultRowHeight="15.75" x14ac:dyDescent="0.25"/>
  <cols>
    <col min="1" max="1" width="11.42578125" style="2"/>
    <col min="2" max="2" width="88" style="2" bestFit="1" customWidth="1"/>
    <col min="3" max="3" width="17.5703125" style="2" customWidth="1"/>
    <col min="4" max="4" width="16.28515625" style="2" customWidth="1"/>
    <col min="5" max="5" width="19" style="2" customWidth="1"/>
    <col min="6" max="6" width="12.28515625" style="2" customWidth="1"/>
    <col min="7" max="16384" width="11.42578125" style="2"/>
  </cols>
  <sheetData>
    <row r="3" spans="2:6" ht="24" x14ac:dyDescent="0.4">
      <c r="B3" s="3" t="s">
        <v>53</v>
      </c>
    </row>
    <row r="5" spans="2:6" ht="26.25" x14ac:dyDescent="0.4">
      <c r="B5" s="13" t="s">
        <v>52</v>
      </c>
    </row>
    <row r="8" spans="2:6" x14ac:dyDescent="0.25">
      <c r="C8" s="2" t="s">
        <v>51</v>
      </c>
      <c r="D8" s="2" t="s">
        <v>50</v>
      </c>
      <c r="E8" s="2" t="s">
        <v>49</v>
      </c>
    </row>
    <row r="10" spans="2:6" x14ac:dyDescent="0.25">
      <c r="C10" s="27" t="s">
        <v>48</v>
      </c>
      <c r="D10" s="27"/>
      <c r="E10" s="27"/>
    </row>
    <row r="11" spans="2:6" x14ac:dyDescent="0.25">
      <c r="B11" s="12" t="s">
        <v>47</v>
      </c>
      <c r="C11" s="4" t="s">
        <v>46</v>
      </c>
      <c r="D11" s="4" t="s">
        <v>45</v>
      </c>
      <c r="E11" s="4" t="s">
        <v>44</v>
      </c>
      <c r="F11" s="11" t="s">
        <v>43</v>
      </c>
    </row>
    <row r="12" spans="2:6" x14ac:dyDescent="0.25">
      <c r="B12" s="9" t="s">
        <v>42</v>
      </c>
      <c r="C12" s="8" t="s">
        <v>31</v>
      </c>
      <c r="D12" s="8" t="s">
        <v>31</v>
      </c>
      <c r="E12" s="8" t="s">
        <v>31</v>
      </c>
      <c r="F12" s="7"/>
    </row>
    <row r="13" spans="2:6" x14ac:dyDescent="0.25">
      <c r="B13" s="9" t="s">
        <v>41</v>
      </c>
      <c r="C13" s="8" t="s">
        <v>31</v>
      </c>
      <c r="D13" s="8" t="s">
        <v>31</v>
      </c>
      <c r="E13" s="8" t="s">
        <v>31</v>
      </c>
      <c r="F13" s="7"/>
    </row>
    <row r="14" spans="2:6" x14ac:dyDescent="0.25">
      <c r="B14" s="9" t="s">
        <v>40</v>
      </c>
      <c r="C14" s="8" t="s">
        <v>31</v>
      </c>
      <c r="D14" s="8" t="s">
        <v>31</v>
      </c>
      <c r="E14" s="8" t="s">
        <v>31</v>
      </c>
      <c r="F14" s="7"/>
    </row>
    <row r="15" spans="2:6" x14ac:dyDescent="0.25">
      <c r="B15" s="9" t="s">
        <v>39</v>
      </c>
      <c r="C15" s="8" t="s">
        <v>31</v>
      </c>
      <c r="D15" s="8"/>
      <c r="E15" s="8"/>
      <c r="F15" s="7" t="s">
        <v>36</v>
      </c>
    </row>
    <row r="16" spans="2:6" x14ac:dyDescent="0.25">
      <c r="B16" s="9" t="s">
        <v>38</v>
      </c>
      <c r="C16" s="8"/>
      <c r="D16" s="8" t="s">
        <v>31</v>
      </c>
      <c r="E16" s="8" t="s">
        <v>31</v>
      </c>
      <c r="F16" s="10" t="s">
        <v>36</v>
      </c>
    </row>
    <row r="17" spans="2:7" x14ac:dyDescent="0.25">
      <c r="B17" s="9" t="s">
        <v>37</v>
      </c>
      <c r="C17" s="8"/>
      <c r="D17" s="8" t="s">
        <v>31</v>
      </c>
      <c r="E17" s="8" t="s">
        <v>31</v>
      </c>
      <c r="F17" s="10" t="s">
        <v>36</v>
      </c>
    </row>
    <row r="18" spans="2:7" x14ac:dyDescent="0.25">
      <c r="B18" s="9" t="s">
        <v>35</v>
      </c>
      <c r="C18" s="8" t="s">
        <v>31</v>
      </c>
      <c r="D18" s="8"/>
      <c r="E18" s="8" t="s">
        <v>31</v>
      </c>
      <c r="F18" s="7">
        <v>0</v>
      </c>
    </row>
    <row r="19" spans="2:7" x14ac:dyDescent="0.25">
      <c r="B19" s="9" t="s">
        <v>34</v>
      </c>
      <c r="C19" s="8" t="s">
        <v>31</v>
      </c>
      <c r="D19" s="8"/>
      <c r="E19" s="8" t="s">
        <v>31</v>
      </c>
      <c r="F19" s="7">
        <v>9999</v>
      </c>
    </row>
    <row r="20" spans="2:7" x14ac:dyDescent="0.25">
      <c r="B20" s="9" t="s">
        <v>33</v>
      </c>
      <c r="C20" s="8" t="s">
        <v>31</v>
      </c>
      <c r="D20" s="8"/>
      <c r="E20" s="8" t="s">
        <v>31</v>
      </c>
      <c r="F20" s="7">
        <v>0</v>
      </c>
    </row>
    <row r="21" spans="2:7" x14ac:dyDescent="0.25">
      <c r="B21" s="9" t="s">
        <v>32</v>
      </c>
      <c r="C21" s="8" t="s">
        <v>31</v>
      </c>
      <c r="D21" s="8"/>
      <c r="E21" s="8" t="s">
        <v>31</v>
      </c>
      <c r="F21" s="7">
        <v>99.998999999999995</v>
      </c>
      <c r="G21" s="6" t="s">
        <v>30</v>
      </c>
    </row>
    <row r="24" spans="2:7" ht="24" x14ac:dyDescent="0.4">
      <c r="B24" s="3" t="s">
        <v>29</v>
      </c>
    </row>
    <row r="26" spans="2:7" x14ac:dyDescent="0.25">
      <c r="B26" s="5" t="s">
        <v>28</v>
      </c>
    </row>
    <row r="27" spans="2:7" x14ac:dyDescent="0.25">
      <c r="B27" s="5" t="s">
        <v>27</v>
      </c>
    </row>
    <row r="28" spans="2:7" x14ac:dyDescent="0.25">
      <c r="B28" s="5" t="s">
        <v>26</v>
      </c>
    </row>
    <row r="32" spans="2:7" ht="24" x14ac:dyDescent="0.4">
      <c r="B32" s="3" t="s">
        <v>25</v>
      </c>
    </row>
    <row r="35" spans="2:2" x14ac:dyDescent="0.25">
      <c r="B35" s="2" t="s">
        <v>24</v>
      </c>
    </row>
    <row r="36" spans="2:2" x14ac:dyDescent="0.25">
      <c r="B36" s="2" t="s">
        <v>23</v>
      </c>
    </row>
    <row r="37" spans="2:2" x14ac:dyDescent="0.25">
      <c r="B37" s="2" t="s">
        <v>22</v>
      </c>
    </row>
    <row r="38" spans="2:2" x14ac:dyDescent="0.25">
      <c r="B38" s="2" t="s">
        <v>21</v>
      </c>
    </row>
    <row r="40" spans="2:2" x14ac:dyDescent="0.25">
      <c r="B40" s="2" t="s">
        <v>20</v>
      </c>
    </row>
    <row r="41" spans="2:2" x14ac:dyDescent="0.25">
      <c r="B41" s="2" t="s">
        <v>19</v>
      </c>
    </row>
    <row r="43" spans="2:2" x14ac:dyDescent="0.25">
      <c r="B43" s="2" t="s">
        <v>18</v>
      </c>
    </row>
    <row r="44" spans="2:2" x14ac:dyDescent="0.25">
      <c r="B44" s="2" t="s">
        <v>17</v>
      </c>
    </row>
    <row r="45" spans="2:2" x14ac:dyDescent="0.25">
      <c r="B45" s="2" t="s">
        <v>16</v>
      </c>
    </row>
    <row r="46" spans="2:2" x14ac:dyDescent="0.25">
      <c r="B46" s="2" t="s">
        <v>15</v>
      </c>
    </row>
    <row r="50" spans="2:3" ht="24" x14ac:dyDescent="0.4">
      <c r="B50" s="3" t="s">
        <v>14</v>
      </c>
    </row>
    <row r="53" spans="2:3" x14ac:dyDescent="0.25">
      <c r="B53" s="4" t="s">
        <v>54</v>
      </c>
    </row>
    <row r="55" spans="2:3" x14ac:dyDescent="0.25">
      <c r="B55" s="4" t="s">
        <v>55</v>
      </c>
    </row>
    <row r="58" spans="2:3" x14ac:dyDescent="0.25">
      <c r="B58" s="4" t="s">
        <v>56</v>
      </c>
    </row>
    <row r="62" spans="2:3" ht="24" x14ac:dyDescent="0.4">
      <c r="B62" s="3" t="s">
        <v>13</v>
      </c>
    </row>
    <row r="64" spans="2:3" x14ac:dyDescent="0.25">
      <c r="B64" s="2" t="s">
        <v>12</v>
      </c>
      <c r="C64" s="2" t="s">
        <v>8</v>
      </c>
    </row>
    <row r="65" spans="2:3" x14ac:dyDescent="0.25">
      <c r="B65" s="2" t="s">
        <v>11</v>
      </c>
    </row>
    <row r="67" spans="2:3" x14ac:dyDescent="0.25">
      <c r="B67" s="2" t="s">
        <v>10</v>
      </c>
      <c r="C67" s="2" t="s">
        <v>8</v>
      </c>
    </row>
    <row r="68" spans="2:3" x14ac:dyDescent="0.25">
      <c r="B68" s="2" t="s">
        <v>7</v>
      </c>
    </row>
    <row r="70" spans="2:3" x14ac:dyDescent="0.25">
      <c r="B70" s="2" t="s">
        <v>9</v>
      </c>
      <c r="C70" s="2" t="s">
        <v>8</v>
      </c>
    </row>
    <row r="71" spans="2:3" x14ac:dyDescent="0.25">
      <c r="B71" s="2" t="s">
        <v>7</v>
      </c>
    </row>
    <row r="75" spans="2:3" ht="24" x14ac:dyDescent="0.4">
      <c r="B75" s="3" t="s">
        <v>76</v>
      </c>
    </row>
    <row r="77" spans="2:3" x14ac:dyDescent="0.25">
      <c r="B77" s="5" t="s">
        <v>77</v>
      </c>
    </row>
    <row r="78" spans="2:3" x14ac:dyDescent="0.25">
      <c r="B78" s="5" t="s">
        <v>78</v>
      </c>
    </row>
    <row r="79" spans="2:3" x14ac:dyDescent="0.25">
      <c r="B79" s="5" t="s">
        <v>79</v>
      </c>
    </row>
    <row r="83" spans="2:2" x14ac:dyDescent="0.25">
      <c r="B83" s="26" t="s">
        <v>80</v>
      </c>
    </row>
    <row r="86" spans="2:2" x14ac:dyDescent="0.25">
      <c r="B86" s="2" t="s">
        <v>81</v>
      </c>
    </row>
    <row r="87" spans="2:2" x14ac:dyDescent="0.25">
      <c r="B87" s="2" t="s">
        <v>7</v>
      </c>
    </row>
    <row r="90" spans="2:2" x14ac:dyDescent="0.25">
      <c r="B90" s="26" t="s">
        <v>82</v>
      </c>
    </row>
    <row r="92" spans="2:2" x14ac:dyDescent="0.25">
      <c r="B92" s="2" t="s">
        <v>83</v>
      </c>
    </row>
    <row r="94" spans="2:2" x14ac:dyDescent="0.25">
      <c r="B94" s="2" t="s">
        <v>84</v>
      </c>
    </row>
    <row r="95" spans="2:2" x14ac:dyDescent="0.25">
      <c r="B95" s="2" t="s">
        <v>85</v>
      </c>
    </row>
    <row r="97" spans="2:2" x14ac:dyDescent="0.25">
      <c r="B97" s="2" t="s">
        <v>86</v>
      </c>
    </row>
    <row r="100" spans="2:2" x14ac:dyDescent="0.25">
      <c r="B100" s="26" t="s">
        <v>87</v>
      </c>
    </row>
    <row r="104" spans="2:2" x14ac:dyDescent="0.25">
      <c r="B104" s="2" t="s">
        <v>88</v>
      </c>
    </row>
    <row r="105" spans="2:2" x14ac:dyDescent="0.25">
      <c r="B105" s="2" t="s">
        <v>89</v>
      </c>
    </row>
    <row r="106" spans="2:2" x14ac:dyDescent="0.25">
      <c r="B106" s="2" t="s">
        <v>90</v>
      </c>
    </row>
    <row r="107" spans="2:2" x14ac:dyDescent="0.25">
      <c r="B107" s="2" t="s">
        <v>91</v>
      </c>
    </row>
    <row r="108" spans="2:2" x14ac:dyDescent="0.25">
      <c r="B108" s="2" t="s">
        <v>92</v>
      </c>
    </row>
    <row r="109" spans="2:2" x14ac:dyDescent="0.25">
      <c r="B109" s="2" t="s">
        <v>93</v>
      </c>
    </row>
    <row r="110" spans="2:2" x14ac:dyDescent="0.25">
      <c r="B110" s="2" t="s">
        <v>94</v>
      </c>
    </row>
    <row r="111" spans="2:2" x14ac:dyDescent="0.25">
      <c r="B111" s="2" t="s">
        <v>95</v>
      </c>
    </row>
    <row r="112" spans="2:2" x14ac:dyDescent="0.25">
      <c r="B112" s="2" t="s">
        <v>96</v>
      </c>
    </row>
    <row r="113" spans="2:2" x14ac:dyDescent="0.25">
      <c r="B113" s="2" t="s">
        <v>97</v>
      </c>
    </row>
    <row r="114" spans="2:2" x14ac:dyDescent="0.25">
      <c r="B114" s="2" t="s">
        <v>98</v>
      </c>
    </row>
    <row r="115" spans="2:2" x14ac:dyDescent="0.25">
      <c r="B115" s="2" t="s">
        <v>99</v>
      </c>
    </row>
    <row r="116" spans="2:2" x14ac:dyDescent="0.25">
      <c r="B116" s="2" t="s">
        <v>100</v>
      </c>
    </row>
    <row r="117" spans="2:2" x14ac:dyDescent="0.25">
      <c r="B117" s="2" t="s">
        <v>101</v>
      </c>
    </row>
    <row r="118" spans="2:2" x14ac:dyDescent="0.25">
      <c r="B118" s="2" t="s">
        <v>102</v>
      </c>
    </row>
    <row r="119" spans="2:2" x14ac:dyDescent="0.25">
      <c r="B119" s="2" t="s">
        <v>103</v>
      </c>
    </row>
    <row r="120" spans="2:2" x14ac:dyDescent="0.25">
      <c r="B120" s="2" t="s">
        <v>104</v>
      </c>
    </row>
    <row r="121" spans="2:2" x14ac:dyDescent="0.25">
      <c r="B121" s="2" t="s">
        <v>105</v>
      </c>
    </row>
    <row r="122" spans="2:2" x14ac:dyDescent="0.25">
      <c r="B122" s="2" t="s">
        <v>106</v>
      </c>
    </row>
    <row r="123" spans="2:2" x14ac:dyDescent="0.25">
      <c r="B123" s="2" t="s">
        <v>107</v>
      </c>
    </row>
    <row r="124" spans="2:2" x14ac:dyDescent="0.25">
      <c r="B124" s="2" t="s">
        <v>108</v>
      </c>
    </row>
    <row r="125" spans="2:2" x14ac:dyDescent="0.25">
      <c r="B125" s="2" t="s">
        <v>109</v>
      </c>
    </row>
    <row r="126" spans="2:2" x14ac:dyDescent="0.25">
      <c r="B126" s="2" t="s">
        <v>110</v>
      </c>
    </row>
    <row r="127" spans="2:2" x14ac:dyDescent="0.25">
      <c r="B127" s="2" t="s">
        <v>111</v>
      </c>
    </row>
  </sheetData>
  <mergeCells count="1">
    <mergeCell ref="C10:E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sheetPr codeName="Hoja1"/>
  <dimension ref="A1:V10000"/>
  <sheetViews>
    <sheetView workbookViewId="0">
      <selection activeCell="O18" sqref="O18"/>
    </sheetView>
  </sheetViews>
  <sheetFormatPr baseColWidth="10" defaultRowHeight="15" x14ac:dyDescent="0.25"/>
  <cols>
    <col min="2" max="2" width="13" customWidth="1"/>
    <col min="3" max="3" width="13.5703125" customWidth="1"/>
    <col min="4" max="4" width="13.28515625" customWidth="1"/>
    <col min="5" max="5" width="7.7109375" customWidth="1"/>
    <col min="6" max="6" width="10.140625" bestFit="1" customWidth="1"/>
    <col min="7" max="7" width="14.42578125" bestFit="1" customWidth="1"/>
    <col min="8" max="8" width="10.28515625" bestFit="1" customWidth="1"/>
    <col min="9" max="9" width="10.28515625" customWidth="1"/>
    <col min="12" max="12" width="9.7109375" bestFit="1" customWidth="1"/>
    <col min="13" max="13" width="9.85546875" bestFit="1" customWidth="1"/>
    <col min="14" max="14" width="8.7109375" bestFit="1" customWidth="1"/>
    <col min="15" max="15" width="7.7109375" bestFit="1" customWidth="1"/>
    <col min="16" max="16" width="7.28515625" customWidth="1"/>
    <col min="17" max="17" width="15.5703125" customWidth="1"/>
    <col min="18" max="18" width="13.85546875" style="17" customWidth="1"/>
    <col min="19" max="19" width="5.85546875" customWidth="1"/>
  </cols>
  <sheetData>
    <row r="1" spans="1:22" s="19" customFormat="1" ht="45" customHeight="1" x14ac:dyDescent="0.25">
      <c r="A1" s="18" t="s">
        <v>2</v>
      </c>
      <c r="B1" s="18" t="s">
        <v>3</v>
      </c>
      <c r="C1" s="18" t="s">
        <v>4</v>
      </c>
      <c r="D1" s="18" t="s">
        <v>61</v>
      </c>
      <c r="F1" s="19" t="s">
        <v>63</v>
      </c>
      <c r="G1" s="19" t="s">
        <v>64</v>
      </c>
      <c r="H1" s="19" t="s">
        <v>65</v>
      </c>
      <c r="I1" s="19" t="s">
        <v>66</v>
      </c>
      <c r="J1" s="19" t="s">
        <v>67</v>
      </c>
      <c r="K1" s="19" t="s">
        <v>68</v>
      </c>
      <c r="L1" s="19" t="s">
        <v>69</v>
      </c>
      <c r="M1" s="19" t="s">
        <v>70</v>
      </c>
      <c r="N1" s="19" t="s">
        <v>71</v>
      </c>
      <c r="O1" s="19" t="s">
        <v>72</v>
      </c>
      <c r="P1" s="19" t="s">
        <v>62</v>
      </c>
      <c r="Q1" s="19" t="s">
        <v>5</v>
      </c>
      <c r="R1" s="20" t="s">
        <v>60</v>
      </c>
    </row>
    <row r="2" spans="1:22" x14ac:dyDescent="0.25">
      <c r="A2" t="s">
        <v>0</v>
      </c>
      <c r="B2" t="s">
        <v>6</v>
      </c>
      <c r="C2" s="1">
        <v>45839</v>
      </c>
      <c r="D2" cm="1">
        <f t="array" ref="D2">GetStockData(A2,B2,C2)</f>
        <v>2492152</v>
      </c>
      <c r="F2" t="s">
        <v>0</v>
      </c>
      <c r="G2" t="s">
        <v>57</v>
      </c>
      <c r="H2" t="s">
        <v>1</v>
      </c>
      <c r="I2" s="16">
        <v>45941</v>
      </c>
      <c r="J2" s="16"/>
      <c r="K2" s="16"/>
      <c r="L2">
        <v>0</v>
      </c>
      <c r="M2">
        <v>999</v>
      </c>
      <c r="N2">
        <v>0</v>
      </c>
      <c r="O2">
        <v>9.9990000000000006</v>
      </c>
      <c r="Q2" t="s">
        <v>46</v>
      </c>
      <c r="R2" s="17" cm="1">
        <f t="array" ref="R2">GetStockAvi(F2,G2,H2,I2,L2,M2,N2,O2)</f>
        <v>1392055</v>
      </c>
      <c r="S2" s="15"/>
      <c r="T2" s="14"/>
      <c r="V2" s="14"/>
    </row>
    <row r="3" spans="1:22" x14ac:dyDescent="0.25">
      <c r="A3" t="s">
        <v>0</v>
      </c>
      <c r="B3" t="s">
        <v>1</v>
      </c>
      <c r="C3" s="1">
        <v>45840</v>
      </c>
      <c r="D3" cm="1">
        <f t="array" ref="D3">GetStockData(A3,B3,C3)</f>
        <v>1567467</v>
      </c>
      <c r="F3" t="s">
        <v>73</v>
      </c>
      <c r="G3" t="s">
        <v>58</v>
      </c>
      <c r="H3" t="s">
        <v>1</v>
      </c>
      <c r="J3" s="16">
        <v>45931</v>
      </c>
      <c r="K3" s="16">
        <v>45941</v>
      </c>
      <c r="Q3" t="s">
        <v>45</v>
      </c>
      <c r="R3" s="17" cm="1">
        <f t="array" ref="R3">GetEntradaAvi(F3,G3,H3,J3,K3)</f>
        <v>519500</v>
      </c>
      <c r="S3" s="15"/>
      <c r="T3" s="14"/>
      <c r="V3" s="14"/>
    </row>
    <row r="4" spans="1:22" x14ac:dyDescent="0.25">
      <c r="A4" t="s">
        <v>0</v>
      </c>
      <c r="B4" t="s">
        <v>1</v>
      </c>
      <c r="C4" s="1">
        <v>45841</v>
      </c>
      <c r="D4" cm="1">
        <f t="array" ref="D4">GetStockData(A4,B4,C4)</f>
        <v>1637953</v>
      </c>
      <c r="F4" t="s">
        <v>0</v>
      </c>
      <c r="G4" t="s">
        <v>59</v>
      </c>
      <c r="H4" t="s">
        <v>1</v>
      </c>
      <c r="J4" s="16">
        <v>45931</v>
      </c>
      <c r="K4" s="16">
        <v>45940</v>
      </c>
      <c r="L4">
        <v>0</v>
      </c>
      <c r="M4">
        <v>999</v>
      </c>
      <c r="N4">
        <v>0</v>
      </c>
      <c r="O4">
        <v>9.9990000000000006</v>
      </c>
      <c r="Q4" t="s">
        <v>44</v>
      </c>
      <c r="R4" s="17" cm="1">
        <f t="array" ref="R4">GetSalidasAvi(F4,G4,H4,J4,K4,L4,M4,N4,O4)</f>
        <v>-376035</v>
      </c>
      <c r="S4" s="15"/>
      <c r="T4" s="14"/>
      <c r="V4" s="14"/>
    </row>
    <row r="5" spans="1:22" x14ac:dyDescent="0.25">
      <c r="A5" t="s">
        <v>0</v>
      </c>
      <c r="B5" t="s">
        <v>1</v>
      </c>
      <c r="C5" s="1">
        <v>45842</v>
      </c>
      <c r="D5" cm="1">
        <f t="array" ref="D5">GetStockData(A5,B5,C5)</f>
        <v>1665499</v>
      </c>
    </row>
    <row r="6" spans="1:22" x14ac:dyDescent="0.25">
      <c r="A6" t="s">
        <v>0</v>
      </c>
      <c r="B6" t="s">
        <v>1</v>
      </c>
      <c r="C6" s="1">
        <v>45843</v>
      </c>
    </row>
    <row r="7" spans="1:22" x14ac:dyDescent="0.25">
      <c r="A7" t="s">
        <v>0</v>
      </c>
      <c r="B7" t="s">
        <v>1</v>
      </c>
      <c r="C7" s="1">
        <v>45844</v>
      </c>
    </row>
    <row r="8" spans="1:22" x14ac:dyDescent="0.25">
      <c r="A8" t="s">
        <v>0</v>
      </c>
      <c r="B8" t="s">
        <v>1</v>
      </c>
      <c r="C8" s="1">
        <v>45845</v>
      </c>
    </row>
    <row r="9" spans="1:22" x14ac:dyDescent="0.25">
      <c r="A9" t="s">
        <v>0</v>
      </c>
      <c r="B9" t="s">
        <v>1</v>
      </c>
      <c r="C9" s="1">
        <v>45846</v>
      </c>
    </row>
    <row r="10" spans="1:22" x14ac:dyDescent="0.25">
      <c r="A10" t="s">
        <v>0</v>
      </c>
      <c r="B10" t="s">
        <v>1</v>
      </c>
      <c r="C10" s="1">
        <v>45847</v>
      </c>
    </row>
    <row r="11" spans="1:22" x14ac:dyDescent="0.25">
      <c r="A11" t="s">
        <v>0</v>
      </c>
      <c r="B11" t="s">
        <v>1</v>
      </c>
      <c r="C11" s="1">
        <v>45848</v>
      </c>
    </row>
    <row r="12" spans="1:22" x14ac:dyDescent="0.25">
      <c r="A12" t="s">
        <v>0</v>
      </c>
      <c r="B12" t="s">
        <v>1</v>
      </c>
      <c r="C12" s="1">
        <v>45849</v>
      </c>
    </row>
    <row r="13" spans="1:22" x14ac:dyDescent="0.25">
      <c r="A13" t="s">
        <v>0</v>
      </c>
      <c r="B13" t="s">
        <v>1</v>
      </c>
      <c r="C13" s="1">
        <v>45850</v>
      </c>
    </row>
    <row r="14" spans="1:22" x14ac:dyDescent="0.25">
      <c r="A14" t="s">
        <v>0</v>
      </c>
      <c r="B14" t="s">
        <v>1</v>
      </c>
      <c r="C14" s="1">
        <v>45851</v>
      </c>
    </row>
    <row r="15" spans="1:22" x14ac:dyDescent="0.25">
      <c r="A15" t="s">
        <v>0</v>
      </c>
      <c r="B15" t="s">
        <v>1</v>
      </c>
      <c r="C15" s="1">
        <v>45852</v>
      </c>
    </row>
    <row r="16" spans="1:22" x14ac:dyDescent="0.25">
      <c r="A16" t="s">
        <v>0</v>
      </c>
      <c r="B16" t="s">
        <v>1</v>
      </c>
      <c r="C16" s="1">
        <v>45853</v>
      </c>
    </row>
    <row r="17" spans="1:3" x14ac:dyDescent="0.25">
      <c r="A17" t="s">
        <v>0</v>
      </c>
      <c r="B17" t="s">
        <v>1</v>
      </c>
      <c r="C17" s="1">
        <v>45854</v>
      </c>
    </row>
    <row r="18" spans="1:3" x14ac:dyDescent="0.25">
      <c r="A18" t="s">
        <v>0</v>
      </c>
      <c r="B18" t="s">
        <v>1</v>
      </c>
      <c r="C18" s="1">
        <v>45855</v>
      </c>
    </row>
    <row r="19" spans="1:3" x14ac:dyDescent="0.25">
      <c r="A19" t="s">
        <v>0</v>
      </c>
      <c r="B19" t="s">
        <v>1</v>
      </c>
      <c r="C19" s="1">
        <v>45856</v>
      </c>
    </row>
    <row r="20" spans="1:3" x14ac:dyDescent="0.25">
      <c r="A20" t="s">
        <v>0</v>
      </c>
      <c r="B20" t="s">
        <v>1</v>
      </c>
      <c r="C20" s="1">
        <v>45857</v>
      </c>
    </row>
    <row r="21" spans="1:3" x14ac:dyDescent="0.25">
      <c r="A21" t="s">
        <v>0</v>
      </c>
      <c r="B21" t="s">
        <v>1</v>
      </c>
      <c r="C21" s="1">
        <v>45858</v>
      </c>
    </row>
    <row r="22" spans="1:3" x14ac:dyDescent="0.25">
      <c r="A22" t="s">
        <v>0</v>
      </c>
      <c r="B22" t="s">
        <v>1</v>
      </c>
      <c r="C22" s="1">
        <v>45859</v>
      </c>
    </row>
    <row r="23" spans="1:3" x14ac:dyDescent="0.25">
      <c r="A23" t="s">
        <v>0</v>
      </c>
      <c r="B23" t="s">
        <v>1</v>
      </c>
      <c r="C23" s="1">
        <v>45860</v>
      </c>
    </row>
    <row r="24" spans="1:3" x14ac:dyDescent="0.25">
      <c r="A24" t="s">
        <v>0</v>
      </c>
      <c r="B24" t="s">
        <v>1</v>
      </c>
      <c r="C24" s="1">
        <v>45861</v>
      </c>
    </row>
    <row r="25" spans="1:3" x14ac:dyDescent="0.25">
      <c r="A25" t="s">
        <v>0</v>
      </c>
      <c r="B25" t="s">
        <v>1</v>
      </c>
      <c r="C25" s="1">
        <v>45862</v>
      </c>
    </row>
    <row r="26" spans="1:3" x14ac:dyDescent="0.25">
      <c r="A26" t="s">
        <v>0</v>
      </c>
      <c r="B26" t="s">
        <v>1</v>
      </c>
      <c r="C26" s="1">
        <v>45863</v>
      </c>
    </row>
    <row r="27" spans="1:3" x14ac:dyDescent="0.25">
      <c r="A27" t="s">
        <v>0</v>
      </c>
      <c r="B27" t="s">
        <v>1</v>
      </c>
      <c r="C27" s="1">
        <v>45864</v>
      </c>
    </row>
    <row r="28" spans="1:3" x14ac:dyDescent="0.25">
      <c r="A28" t="s">
        <v>0</v>
      </c>
      <c r="B28" t="s">
        <v>1</v>
      </c>
      <c r="C28" s="1">
        <v>45865</v>
      </c>
    </row>
    <row r="29" spans="1:3" x14ac:dyDescent="0.25">
      <c r="A29" t="s">
        <v>0</v>
      </c>
      <c r="B29" t="s">
        <v>1</v>
      </c>
      <c r="C29" s="1">
        <v>45866</v>
      </c>
    </row>
    <row r="30" spans="1:3" x14ac:dyDescent="0.25">
      <c r="A30" t="s">
        <v>0</v>
      </c>
      <c r="B30" t="s">
        <v>1</v>
      </c>
      <c r="C30" s="1">
        <v>45867</v>
      </c>
    </row>
    <row r="31" spans="1:3" x14ac:dyDescent="0.25">
      <c r="A31" t="s">
        <v>0</v>
      </c>
      <c r="B31" t="s">
        <v>1</v>
      </c>
      <c r="C31" s="1">
        <v>45868</v>
      </c>
    </row>
    <row r="32" spans="1:3" x14ac:dyDescent="0.25">
      <c r="A32" t="s">
        <v>0</v>
      </c>
      <c r="B32" t="s">
        <v>1</v>
      </c>
      <c r="C32" s="1">
        <v>45869</v>
      </c>
    </row>
    <row r="33" spans="1:3" x14ac:dyDescent="0.25">
      <c r="A33" t="s">
        <v>0</v>
      </c>
      <c r="B33" t="s">
        <v>1</v>
      </c>
      <c r="C33" s="1">
        <v>45870</v>
      </c>
    </row>
    <row r="34" spans="1:3" x14ac:dyDescent="0.25">
      <c r="A34" t="s">
        <v>0</v>
      </c>
      <c r="B34" t="s">
        <v>1</v>
      </c>
      <c r="C34" s="1">
        <v>45871</v>
      </c>
    </row>
    <row r="35" spans="1:3" x14ac:dyDescent="0.25">
      <c r="A35" t="s">
        <v>0</v>
      </c>
      <c r="B35" t="s">
        <v>1</v>
      </c>
      <c r="C35" s="1">
        <v>45872</v>
      </c>
    </row>
    <row r="36" spans="1:3" x14ac:dyDescent="0.25">
      <c r="A36" t="s">
        <v>0</v>
      </c>
      <c r="B36" t="s">
        <v>1</v>
      </c>
      <c r="C36" s="1">
        <v>45873</v>
      </c>
    </row>
    <row r="37" spans="1:3" x14ac:dyDescent="0.25">
      <c r="A37" t="s">
        <v>0</v>
      </c>
      <c r="B37" t="s">
        <v>1</v>
      </c>
      <c r="C37" s="1">
        <v>45874</v>
      </c>
    </row>
    <row r="38" spans="1:3" x14ac:dyDescent="0.25">
      <c r="A38" t="s">
        <v>0</v>
      </c>
      <c r="B38" t="s">
        <v>1</v>
      </c>
      <c r="C38" s="1">
        <v>45875</v>
      </c>
    </row>
    <row r="39" spans="1:3" x14ac:dyDescent="0.25">
      <c r="A39" t="s">
        <v>0</v>
      </c>
      <c r="B39" t="s">
        <v>1</v>
      </c>
      <c r="C39" s="1">
        <v>45876</v>
      </c>
    </row>
    <row r="40" spans="1:3" x14ac:dyDescent="0.25">
      <c r="A40" t="s">
        <v>0</v>
      </c>
      <c r="B40" t="s">
        <v>1</v>
      </c>
      <c r="C40" s="1">
        <v>45877</v>
      </c>
    </row>
    <row r="41" spans="1:3" x14ac:dyDescent="0.25">
      <c r="A41" t="s">
        <v>0</v>
      </c>
      <c r="B41" t="s">
        <v>1</v>
      </c>
      <c r="C41" s="1">
        <v>45878</v>
      </c>
    </row>
    <row r="42" spans="1:3" x14ac:dyDescent="0.25">
      <c r="A42" t="s">
        <v>0</v>
      </c>
      <c r="B42" t="s">
        <v>1</v>
      </c>
      <c r="C42" s="1">
        <v>45879</v>
      </c>
    </row>
    <row r="43" spans="1:3" x14ac:dyDescent="0.25">
      <c r="A43" t="s">
        <v>0</v>
      </c>
      <c r="B43" t="s">
        <v>1</v>
      </c>
      <c r="C43" s="1">
        <v>45880</v>
      </c>
    </row>
    <row r="44" spans="1:3" x14ac:dyDescent="0.25">
      <c r="A44" t="s">
        <v>0</v>
      </c>
      <c r="B44" t="s">
        <v>1</v>
      </c>
      <c r="C44" s="1">
        <v>45881</v>
      </c>
    </row>
    <row r="45" spans="1:3" x14ac:dyDescent="0.25">
      <c r="A45" t="s">
        <v>0</v>
      </c>
      <c r="B45" t="s">
        <v>1</v>
      </c>
      <c r="C45" s="1">
        <v>45882</v>
      </c>
    </row>
    <row r="46" spans="1:3" x14ac:dyDescent="0.25">
      <c r="A46" t="s">
        <v>0</v>
      </c>
      <c r="B46" t="s">
        <v>1</v>
      </c>
      <c r="C46" s="1">
        <v>45883</v>
      </c>
    </row>
    <row r="47" spans="1:3" x14ac:dyDescent="0.25">
      <c r="A47" t="s">
        <v>0</v>
      </c>
      <c r="B47" t="s">
        <v>1</v>
      </c>
      <c r="C47" s="1">
        <v>45884</v>
      </c>
    </row>
    <row r="48" spans="1:3" x14ac:dyDescent="0.25">
      <c r="A48" t="s">
        <v>0</v>
      </c>
      <c r="B48" t="s">
        <v>1</v>
      </c>
      <c r="C48" s="1">
        <v>45885</v>
      </c>
    </row>
    <row r="49" spans="1:3" x14ac:dyDescent="0.25">
      <c r="A49" t="s">
        <v>0</v>
      </c>
      <c r="B49" t="s">
        <v>1</v>
      </c>
      <c r="C49" s="1">
        <v>45886</v>
      </c>
    </row>
    <row r="50" spans="1:3" x14ac:dyDescent="0.25">
      <c r="A50" t="s">
        <v>0</v>
      </c>
      <c r="B50" t="s">
        <v>1</v>
      </c>
      <c r="C50" s="1">
        <v>45887</v>
      </c>
    </row>
    <row r="51" spans="1:3" x14ac:dyDescent="0.25">
      <c r="A51" t="s">
        <v>0</v>
      </c>
      <c r="B51" t="s">
        <v>1</v>
      </c>
      <c r="C51" s="1">
        <v>45888</v>
      </c>
    </row>
    <row r="52" spans="1:3" x14ac:dyDescent="0.25">
      <c r="A52" t="s">
        <v>0</v>
      </c>
      <c r="B52" t="s">
        <v>1</v>
      </c>
      <c r="C52" s="1">
        <v>45889</v>
      </c>
    </row>
    <row r="53" spans="1:3" x14ac:dyDescent="0.25">
      <c r="A53" t="s">
        <v>0</v>
      </c>
      <c r="B53" t="s">
        <v>1</v>
      </c>
      <c r="C53" s="1">
        <v>45890</v>
      </c>
    </row>
    <row r="54" spans="1:3" x14ac:dyDescent="0.25">
      <c r="A54" t="s">
        <v>0</v>
      </c>
      <c r="B54" t="s">
        <v>1</v>
      </c>
      <c r="C54" s="1">
        <v>45891</v>
      </c>
    </row>
    <row r="55" spans="1:3" x14ac:dyDescent="0.25">
      <c r="A55" t="s">
        <v>0</v>
      </c>
      <c r="B55" t="s">
        <v>1</v>
      </c>
      <c r="C55" s="1">
        <v>45892</v>
      </c>
    </row>
    <row r="56" spans="1:3" x14ac:dyDescent="0.25">
      <c r="A56" t="s">
        <v>0</v>
      </c>
      <c r="B56" t="s">
        <v>1</v>
      </c>
      <c r="C56" s="1">
        <v>45893</v>
      </c>
    </row>
    <row r="57" spans="1:3" x14ac:dyDescent="0.25">
      <c r="A57" t="s">
        <v>0</v>
      </c>
      <c r="B57" t="s">
        <v>1</v>
      </c>
      <c r="C57" s="1">
        <v>45894</v>
      </c>
    </row>
    <row r="58" spans="1:3" x14ac:dyDescent="0.25">
      <c r="A58" t="s">
        <v>0</v>
      </c>
      <c r="B58" t="s">
        <v>1</v>
      </c>
      <c r="C58" s="1">
        <v>45895</v>
      </c>
    </row>
    <row r="59" spans="1:3" x14ac:dyDescent="0.25">
      <c r="A59" t="s">
        <v>0</v>
      </c>
      <c r="B59" t="s">
        <v>1</v>
      </c>
      <c r="C59" s="1">
        <v>45896</v>
      </c>
    </row>
    <row r="60" spans="1:3" x14ac:dyDescent="0.25">
      <c r="A60" t="s">
        <v>0</v>
      </c>
      <c r="B60" t="s">
        <v>1</v>
      </c>
      <c r="C60" s="1">
        <v>45897</v>
      </c>
    </row>
    <row r="61" spans="1:3" x14ac:dyDescent="0.25">
      <c r="A61" t="s">
        <v>0</v>
      </c>
      <c r="B61" t="s">
        <v>1</v>
      </c>
      <c r="C61" s="1">
        <v>45898</v>
      </c>
    </row>
    <row r="62" spans="1:3" x14ac:dyDescent="0.25">
      <c r="A62" t="s">
        <v>0</v>
      </c>
      <c r="B62" t="s">
        <v>1</v>
      </c>
      <c r="C62" s="1">
        <v>45899</v>
      </c>
    </row>
    <row r="63" spans="1:3" x14ac:dyDescent="0.25">
      <c r="A63" t="s">
        <v>0</v>
      </c>
      <c r="B63" t="s">
        <v>1</v>
      </c>
      <c r="C63" s="1">
        <v>45900</v>
      </c>
    </row>
    <row r="64" spans="1:3" x14ac:dyDescent="0.25">
      <c r="A64" t="s">
        <v>0</v>
      </c>
      <c r="B64" t="s">
        <v>1</v>
      </c>
      <c r="C64" s="1">
        <v>45901</v>
      </c>
    </row>
    <row r="65" spans="1:3" x14ac:dyDescent="0.25">
      <c r="A65" t="s">
        <v>0</v>
      </c>
      <c r="B65" t="s">
        <v>1</v>
      </c>
      <c r="C65" s="1">
        <v>45902</v>
      </c>
    </row>
    <row r="66" spans="1:3" x14ac:dyDescent="0.25">
      <c r="A66" t="s">
        <v>0</v>
      </c>
      <c r="B66" t="s">
        <v>1</v>
      </c>
      <c r="C66" s="1">
        <v>45903</v>
      </c>
    </row>
    <row r="67" spans="1:3" x14ac:dyDescent="0.25">
      <c r="A67" t="s">
        <v>0</v>
      </c>
      <c r="B67" t="s">
        <v>1</v>
      </c>
      <c r="C67" s="1">
        <v>45904</v>
      </c>
    </row>
    <row r="68" spans="1:3" x14ac:dyDescent="0.25">
      <c r="A68" t="s">
        <v>0</v>
      </c>
      <c r="B68" t="s">
        <v>1</v>
      </c>
      <c r="C68" s="1">
        <v>45905</v>
      </c>
    </row>
    <row r="69" spans="1:3" x14ac:dyDescent="0.25">
      <c r="A69" t="s">
        <v>0</v>
      </c>
      <c r="B69" t="s">
        <v>1</v>
      </c>
      <c r="C69" s="1">
        <v>45906</v>
      </c>
    </row>
    <row r="70" spans="1:3" x14ac:dyDescent="0.25">
      <c r="A70" t="s">
        <v>0</v>
      </c>
      <c r="B70" t="s">
        <v>1</v>
      </c>
      <c r="C70" s="1">
        <v>45907</v>
      </c>
    </row>
    <row r="71" spans="1:3" x14ac:dyDescent="0.25">
      <c r="A71" t="s">
        <v>0</v>
      </c>
      <c r="B71" t="s">
        <v>1</v>
      </c>
      <c r="C71" s="1">
        <v>45908</v>
      </c>
    </row>
    <row r="72" spans="1:3" x14ac:dyDescent="0.25">
      <c r="A72" t="s">
        <v>0</v>
      </c>
      <c r="B72" t="s">
        <v>1</v>
      </c>
      <c r="C72" s="1">
        <v>45909</v>
      </c>
    </row>
    <row r="73" spans="1:3" x14ac:dyDescent="0.25">
      <c r="A73" t="s">
        <v>0</v>
      </c>
      <c r="B73" t="s">
        <v>1</v>
      </c>
      <c r="C73" s="1">
        <v>45910</v>
      </c>
    </row>
    <row r="74" spans="1:3" x14ac:dyDescent="0.25">
      <c r="A74" t="s">
        <v>0</v>
      </c>
      <c r="B74" t="s">
        <v>1</v>
      </c>
      <c r="C74" s="1">
        <v>45911</v>
      </c>
    </row>
    <row r="75" spans="1:3" x14ac:dyDescent="0.25">
      <c r="A75" t="s">
        <v>0</v>
      </c>
      <c r="B75" t="s">
        <v>1</v>
      </c>
      <c r="C75" s="1">
        <v>45912</v>
      </c>
    </row>
    <row r="76" spans="1:3" x14ac:dyDescent="0.25">
      <c r="A76" t="s">
        <v>0</v>
      </c>
      <c r="B76" t="s">
        <v>1</v>
      </c>
      <c r="C76" s="1">
        <v>45913</v>
      </c>
    </row>
    <row r="77" spans="1:3" x14ac:dyDescent="0.25">
      <c r="A77" t="s">
        <v>0</v>
      </c>
      <c r="B77" t="s">
        <v>1</v>
      </c>
      <c r="C77" s="1">
        <v>45914</v>
      </c>
    </row>
    <row r="78" spans="1:3" x14ac:dyDescent="0.25">
      <c r="A78" t="s">
        <v>0</v>
      </c>
      <c r="B78" t="s">
        <v>1</v>
      </c>
      <c r="C78" s="1">
        <v>45915</v>
      </c>
    </row>
    <row r="79" spans="1:3" x14ac:dyDescent="0.25">
      <c r="A79" t="s">
        <v>0</v>
      </c>
      <c r="B79" t="s">
        <v>1</v>
      </c>
      <c r="C79" s="1">
        <v>45916</v>
      </c>
    </row>
    <row r="80" spans="1:3" x14ac:dyDescent="0.25">
      <c r="A80" t="s">
        <v>0</v>
      </c>
      <c r="B80" t="s">
        <v>1</v>
      </c>
      <c r="C80" s="1">
        <v>45917</v>
      </c>
    </row>
    <row r="81" spans="1:3" x14ac:dyDescent="0.25">
      <c r="A81" t="s">
        <v>0</v>
      </c>
      <c r="B81" t="s">
        <v>1</v>
      </c>
      <c r="C81" s="1">
        <v>45918</v>
      </c>
    </row>
    <row r="82" spans="1:3" x14ac:dyDescent="0.25">
      <c r="A82" t="s">
        <v>0</v>
      </c>
      <c r="B82" t="s">
        <v>1</v>
      </c>
      <c r="C82" s="1">
        <v>45919</v>
      </c>
    </row>
    <row r="83" spans="1:3" x14ac:dyDescent="0.25">
      <c r="A83" t="s">
        <v>0</v>
      </c>
      <c r="B83" t="s">
        <v>1</v>
      </c>
      <c r="C83" s="1">
        <v>45920</v>
      </c>
    </row>
    <row r="84" spans="1:3" x14ac:dyDescent="0.25">
      <c r="A84" t="s">
        <v>0</v>
      </c>
      <c r="B84" t="s">
        <v>1</v>
      </c>
      <c r="C84" s="1">
        <v>45921</v>
      </c>
    </row>
    <row r="85" spans="1:3" x14ac:dyDescent="0.25">
      <c r="A85" t="s">
        <v>0</v>
      </c>
      <c r="B85" t="s">
        <v>1</v>
      </c>
      <c r="C85" s="1">
        <v>45922</v>
      </c>
    </row>
    <row r="86" spans="1:3" x14ac:dyDescent="0.25">
      <c r="A86" t="s">
        <v>0</v>
      </c>
      <c r="B86" t="s">
        <v>1</v>
      </c>
      <c r="C86" s="1">
        <v>45923</v>
      </c>
    </row>
    <row r="87" spans="1:3" x14ac:dyDescent="0.25">
      <c r="A87" t="s">
        <v>0</v>
      </c>
      <c r="B87" t="s">
        <v>1</v>
      </c>
      <c r="C87" s="1">
        <v>45924</v>
      </c>
    </row>
    <row r="88" spans="1:3" x14ac:dyDescent="0.25">
      <c r="A88" t="s">
        <v>0</v>
      </c>
      <c r="B88" t="s">
        <v>1</v>
      </c>
      <c r="C88" s="1">
        <v>45925</v>
      </c>
    </row>
    <row r="89" spans="1:3" x14ac:dyDescent="0.25">
      <c r="A89" t="s">
        <v>0</v>
      </c>
      <c r="B89" t="s">
        <v>1</v>
      </c>
      <c r="C89" s="1">
        <v>45926</v>
      </c>
    </row>
    <row r="90" spans="1:3" x14ac:dyDescent="0.25">
      <c r="A90" t="s">
        <v>0</v>
      </c>
      <c r="B90" t="s">
        <v>1</v>
      </c>
      <c r="C90" s="1">
        <v>45927</v>
      </c>
    </row>
    <row r="91" spans="1:3" x14ac:dyDescent="0.25">
      <c r="A91" t="s">
        <v>0</v>
      </c>
      <c r="B91" t="s">
        <v>1</v>
      </c>
      <c r="C91" s="1">
        <v>45928</v>
      </c>
    </row>
    <row r="92" spans="1:3" x14ac:dyDescent="0.25">
      <c r="A92" t="s">
        <v>0</v>
      </c>
      <c r="B92" t="s">
        <v>1</v>
      </c>
      <c r="C92" s="1">
        <v>45929</v>
      </c>
    </row>
    <row r="93" spans="1:3" x14ac:dyDescent="0.25">
      <c r="A93" t="s">
        <v>0</v>
      </c>
      <c r="B93" t="s">
        <v>1</v>
      </c>
      <c r="C93" s="1">
        <v>45930</v>
      </c>
    </row>
    <row r="94" spans="1:3" x14ac:dyDescent="0.25">
      <c r="A94" t="s">
        <v>0</v>
      </c>
      <c r="B94" t="s">
        <v>1</v>
      </c>
      <c r="C94" s="1">
        <v>45931</v>
      </c>
    </row>
    <row r="95" spans="1:3" x14ac:dyDescent="0.25">
      <c r="A95" t="s">
        <v>0</v>
      </c>
      <c r="B95" t="s">
        <v>1</v>
      </c>
      <c r="C95" s="1">
        <v>45932</v>
      </c>
    </row>
    <row r="96" spans="1:3" x14ac:dyDescent="0.25">
      <c r="A96" t="s">
        <v>0</v>
      </c>
      <c r="B96" t="s">
        <v>1</v>
      </c>
      <c r="C96" s="1">
        <v>45933</v>
      </c>
    </row>
    <row r="97" spans="1:3" x14ac:dyDescent="0.25">
      <c r="A97" t="s">
        <v>0</v>
      </c>
      <c r="B97" t="s">
        <v>1</v>
      </c>
      <c r="C97" s="1">
        <v>45934</v>
      </c>
    </row>
    <row r="98" spans="1:3" x14ac:dyDescent="0.25">
      <c r="A98" t="s">
        <v>0</v>
      </c>
      <c r="B98" t="s">
        <v>1</v>
      </c>
      <c r="C98" s="1">
        <v>45935</v>
      </c>
    </row>
    <row r="99" spans="1:3" x14ac:dyDescent="0.25">
      <c r="A99" t="s">
        <v>0</v>
      </c>
      <c r="B99" t="s">
        <v>1</v>
      </c>
      <c r="C99" s="1">
        <v>45936</v>
      </c>
    </row>
    <row r="100" spans="1:3" x14ac:dyDescent="0.25">
      <c r="A100" t="s">
        <v>0</v>
      </c>
      <c r="B100" t="s">
        <v>1</v>
      </c>
      <c r="C100" s="1">
        <v>45937</v>
      </c>
    </row>
    <row r="101" spans="1:3" x14ac:dyDescent="0.25">
      <c r="A101" t="s">
        <v>0</v>
      </c>
      <c r="B101" t="s">
        <v>1</v>
      </c>
      <c r="C101" s="1">
        <v>45938</v>
      </c>
    </row>
    <row r="102" spans="1:3" x14ac:dyDescent="0.25">
      <c r="A102" t="s">
        <v>0</v>
      </c>
      <c r="B102" t="s">
        <v>1</v>
      </c>
      <c r="C102" s="1">
        <v>45939</v>
      </c>
    </row>
    <row r="103" spans="1:3" x14ac:dyDescent="0.25">
      <c r="A103" t="s">
        <v>0</v>
      </c>
      <c r="B103" t="s">
        <v>1</v>
      </c>
      <c r="C103" s="1">
        <v>45940</v>
      </c>
    </row>
    <row r="104" spans="1:3" x14ac:dyDescent="0.25">
      <c r="A104" t="s">
        <v>0</v>
      </c>
      <c r="B104" t="s">
        <v>1</v>
      </c>
      <c r="C104" s="1">
        <v>45941</v>
      </c>
    </row>
    <row r="105" spans="1:3" x14ac:dyDescent="0.25">
      <c r="A105" t="s">
        <v>0</v>
      </c>
      <c r="B105" t="s">
        <v>1</v>
      </c>
      <c r="C105" s="1">
        <v>45942</v>
      </c>
    </row>
    <row r="106" spans="1:3" x14ac:dyDescent="0.25">
      <c r="A106" t="s">
        <v>0</v>
      </c>
      <c r="B106" t="s">
        <v>1</v>
      </c>
      <c r="C106" s="1">
        <v>45943</v>
      </c>
    </row>
    <row r="107" spans="1:3" x14ac:dyDescent="0.25">
      <c r="A107" t="s">
        <v>0</v>
      </c>
      <c r="B107" t="s">
        <v>1</v>
      </c>
      <c r="C107" s="1">
        <v>45944</v>
      </c>
    </row>
    <row r="108" spans="1:3" x14ac:dyDescent="0.25">
      <c r="A108" t="s">
        <v>0</v>
      </c>
      <c r="B108" t="s">
        <v>1</v>
      </c>
      <c r="C108" s="1">
        <v>45945</v>
      </c>
    </row>
    <row r="109" spans="1:3" x14ac:dyDescent="0.25">
      <c r="A109" t="s">
        <v>0</v>
      </c>
      <c r="B109" t="s">
        <v>1</v>
      </c>
      <c r="C109" s="1">
        <v>45946</v>
      </c>
    </row>
    <row r="110" spans="1:3" x14ac:dyDescent="0.25">
      <c r="A110" t="s">
        <v>0</v>
      </c>
      <c r="B110" t="s">
        <v>1</v>
      </c>
      <c r="C110" s="1">
        <v>45947</v>
      </c>
    </row>
    <row r="111" spans="1:3" x14ac:dyDescent="0.25">
      <c r="A111" t="s">
        <v>0</v>
      </c>
      <c r="B111" t="s">
        <v>1</v>
      </c>
      <c r="C111" s="1">
        <v>45948</v>
      </c>
    </row>
    <row r="112" spans="1:3" x14ac:dyDescent="0.25">
      <c r="A112" t="s">
        <v>0</v>
      </c>
      <c r="B112" t="s">
        <v>1</v>
      </c>
      <c r="C112" s="1">
        <v>45949</v>
      </c>
    </row>
    <row r="113" spans="1:3" x14ac:dyDescent="0.25">
      <c r="A113" t="s">
        <v>0</v>
      </c>
      <c r="B113" t="s">
        <v>1</v>
      </c>
      <c r="C113" s="1">
        <v>45950</v>
      </c>
    </row>
    <row r="114" spans="1:3" x14ac:dyDescent="0.25">
      <c r="A114" t="s">
        <v>0</v>
      </c>
      <c r="B114" t="s">
        <v>1</v>
      </c>
      <c r="C114" s="1">
        <v>45951</v>
      </c>
    </row>
    <row r="115" spans="1:3" x14ac:dyDescent="0.25">
      <c r="A115" t="s">
        <v>0</v>
      </c>
      <c r="B115" t="s">
        <v>1</v>
      </c>
      <c r="C115" s="1">
        <v>45952</v>
      </c>
    </row>
    <row r="116" spans="1:3" x14ac:dyDescent="0.25">
      <c r="A116" t="s">
        <v>0</v>
      </c>
      <c r="B116" t="s">
        <v>1</v>
      </c>
      <c r="C116" s="1">
        <v>45953</v>
      </c>
    </row>
    <row r="117" spans="1:3" x14ac:dyDescent="0.25">
      <c r="A117" t="s">
        <v>0</v>
      </c>
      <c r="B117" t="s">
        <v>1</v>
      </c>
      <c r="C117" s="1">
        <v>45954</v>
      </c>
    </row>
    <row r="118" spans="1:3" x14ac:dyDescent="0.25">
      <c r="A118" t="s">
        <v>0</v>
      </c>
      <c r="B118" t="s">
        <v>1</v>
      </c>
      <c r="C118" s="1">
        <v>45955</v>
      </c>
    </row>
    <row r="119" spans="1:3" x14ac:dyDescent="0.25">
      <c r="A119" t="s">
        <v>0</v>
      </c>
      <c r="B119" t="s">
        <v>1</v>
      </c>
      <c r="C119" s="1">
        <v>45956</v>
      </c>
    </row>
    <row r="120" spans="1:3" x14ac:dyDescent="0.25">
      <c r="A120" t="s">
        <v>0</v>
      </c>
      <c r="B120" t="s">
        <v>1</v>
      </c>
      <c r="C120" s="1">
        <v>45957</v>
      </c>
    </row>
    <row r="121" spans="1:3" x14ac:dyDescent="0.25">
      <c r="A121" t="s">
        <v>0</v>
      </c>
      <c r="B121" t="s">
        <v>1</v>
      </c>
      <c r="C121" s="1">
        <v>45958</v>
      </c>
    </row>
    <row r="122" spans="1:3" x14ac:dyDescent="0.25">
      <c r="A122" t="s">
        <v>0</v>
      </c>
      <c r="B122" t="s">
        <v>1</v>
      </c>
      <c r="C122" s="1">
        <v>45959</v>
      </c>
    </row>
    <row r="123" spans="1:3" x14ac:dyDescent="0.25">
      <c r="A123" t="s">
        <v>0</v>
      </c>
      <c r="B123" t="s">
        <v>1</v>
      </c>
      <c r="C123" s="1">
        <v>45960</v>
      </c>
    </row>
    <row r="124" spans="1:3" x14ac:dyDescent="0.25">
      <c r="A124" t="s">
        <v>0</v>
      </c>
      <c r="B124" t="s">
        <v>1</v>
      </c>
      <c r="C124" s="1">
        <v>45961</v>
      </c>
    </row>
    <row r="125" spans="1:3" x14ac:dyDescent="0.25">
      <c r="A125" t="s">
        <v>0</v>
      </c>
      <c r="B125" t="s">
        <v>1</v>
      </c>
      <c r="C125" s="1">
        <v>45962</v>
      </c>
    </row>
    <row r="126" spans="1:3" x14ac:dyDescent="0.25">
      <c r="A126" t="s">
        <v>0</v>
      </c>
      <c r="B126" t="s">
        <v>1</v>
      </c>
      <c r="C126" s="1">
        <v>45963</v>
      </c>
    </row>
    <row r="127" spans="1:3" x14ac:dyDescent="0.25">
      <c r="A127" t="s">
        <v>0</v>
      </c>
      <c r="B127" t="s">
        <v>1</v>
      </c>
      <c r="C127" s="1">
        <v>45964</v>
      </c>
    </row>
    <row r="128" spans="1:3" x14ac:dyDescent="0.25">
      <c r="A128" t="s">
        <v>0</v>
      </c>
      <c r="B128" t="s">
        <v>1</v>
      </c>
      <c r="C128" s="1">
        <v>45965</v>
      </c>
    </row>
    <row r="129" spans="1:3" x14ac:dyDescent="0.25">
      <c r="A129" t="s">
        <v>0</v>
      </c>
      <c r="B129" t="s">
        <v>1</v>
      </c>
      <c r="C129" s="1">
        <v>45966</v>
      </c>
    </row>
    <row r="130" spans="1:3" x14ac:dyDescent="0.25">
      <c r="A130" t="s">
        <v>0</v>
      </c>
      <c r="B130" t="s">
        <v>1</v>
      </c>
      <c r="C130" s="1">
        <v>45967</v>
      </c>
    </row>
    <row r="131" spans="1:3" x14ac:dyDescent="0.25">
      <c r="A131" t="s">
        <v>0</v>
      </c>
      <c r="B131" t="s">
        <v>1</v>
      </c>
      <c r="C131" s="1">
        <v>45968</v>
      </c>
    </row>
    <row r="132" spans="1:3" x14ac:dyDescent="0.25">
      <c r="A132" t="s">
        <v>0</v>
      </c>
      <c r="B132" t="s">
        <v>1</v>
      </c>
      <c r="C132" s="1">
        <v>45969</v>
      </c>
    </row>
    <row r="133" spans="1:3" x14ac:dyDescent="0.25">
      <c r="A133" t="s">
        <v>0</v>
      </c>
      <c r="B133" t="s">
        <v>1</v>
      </c>
      <c r="C133" s="1">
        <v>45970</v>
      </c>
    </row>
    <row r="134" spans="1:3" x14ac:dyDescent="0.25">
      <c r="A134" t="s">
        <v>0</v>
      </c>
      <c r="B134" t="s">
        <v>1</v>
      </c>
      <c r="C134" s="1">
        <v>45971</v>
      </c>
    </row>
    <row r="135" spans="1:3" x14ac:dyDescent="0.25">
      <c r="A135" t="s">
        <v>0</v>
      </c>
      <c r="B135" t="s">
        <v>1</v>
      </c>
      <c r="C135" s="1">
        <v>45972</v>
      </c>
    </row>
    <row r="136" spans="1:3" x14ac:dyDescent="0.25">
      <c r="A136" t="s">
        <v>0</v>
      </c>
      <c r="B136" t="s">
        <v>1</v>
      </c>
      <c r="C136" s="1">
        <v>45973</v>
      </c>
    </row>
    <row r="137" spans="1:3" x14ac:dyDescent="0.25">
      <c r="A137" t="s">
        <v>0</v>
      </c>
      <c r="B137" t="s">
        <v>1</v>
      </c>
      <c r="C137" s="1">
        <v>45974</v>
      </c>
    </row>
    <row r="138" spans="1:3" x14ac:dyDescent="0.25">
      <c r="A138" t="s">
        <v>0</v>
      </c>
      <c r="B138" t="s">
        <v>1</v>
      </c>
      <c r="C138" s="1">
        <v>45975</v>
      </c>
    </row>
    <row r="139" spans="1:3" x14ac:dyDescent="0.25">
      <c r="A139" t="s">
        <v>0</v>
      </c>
      <c r="B139" t="s">
        <v>1</v>
      </c>
      <c r="C139" s="1">
        <v>45976</v>
      </c>
    </row>
    <row r="140" spans="1:3" x14ac:dyDescent="0.25">
      <c r="A140" t="s">
        <v>0</v>
      </c>
      <c r="B140" t="s">
        <v>1</v>
      </c>
      <c r="C140" s="1">
        <v>45977</v>
      </c>
    </row>
    <row r="141" spans="1:3" x14ac:dyDescent="0.25">
      <c r="A141" t="s">
        <v>0</v>
      </c>
      <c r="B141" t="s">
        <v>1</v>
      </c>
      <c r="C141" s="1">
        <v>45978</v>
      </c>
    </row>
    <row r="142" spans="1:3" x14ac:dyDescent="0.25">
      <c r="A142" t="s">
        <v>0</v>
      </c>
      <c r="B142" t="s">
        <v>1</v>
      </c>
      <c r="C142" s="1">
        <v>45979</v>
      </c>
    </row>
    <row r="143" spans="1:3" x14ac:dyDescent="0.25">
      <c r="A143" t="s">
        <v>0</v>
      </c>
      <c r="B143" t="s">
        <v>1</v>
      </c>
      <c r="C143" s="1">
        <v>45980</v>
      </c>
    </row>
    <row r="144" spans="1:3" x14ac:dyDescent="0.25">
      <c r="A144" t="s">
        <v>0</v>
      </c>
      <c r="B144" t="s">
        <v>1</v>
      </c>
      <c r="C144" s="1">
        <v>45981</v>
      </c>
    </row>
    <row r="145" spans="1:3" x14ac:dyDescent="0.25">
      <c r="A145" t="s">
        <v>0</v>
      </c>
      <c r="B145" t="s">
        <v>1</v>
      </c>
      <c r="C145" s="1">
        <v>45982</v>
      </c>
    </row>
    <row r="146" spans="1:3" x14ac:dyDescent="0.25">
      <c r="A146" t="s">
        <v>0</v>
      </c>
      <c r="B146" t="s">
        <v>1</v>
      </c>
      <c r="C146" s="1">
        <v>45983</v>
      </c>
    </row>
    <row r="147" spans="1:3" x14ac:dyDescent="0.25">
      <c r="A147" t="s">
        <v>0</v>
      </c>
      <c r="B147" t="s">
        <v>1</v>
      </c>
      <c r="C147" s="1">
        <v>45984</v>
      </c>
    </row>
    <row r="148" spans="1:3" x14ac:dyDescent="0.25">
      <c r="A148" t="s">
        <v>0</v>
      </c>
      <c r="B148" t="s">
        <v>1</v>
      </c>
      <c r="C148" s="1">
        <v>45985</v>
      </c>
    </row>
    <row r="149" spans="1:3" x14ac:dyDescent="0.25">
      <c r="A149" t="s">
        <v>0</v>
      </c>
      <c r="B149" t="s">
        <v>1</v>
      </c>
      <c r="C149" s="1">
        <v>45986</v>
      </c>
    </row>
    <row r="150" spans="1:3" x14ac:dyDescent="0.25">
      <c r="A150" t="s">
        <v>0</v>
      </c>
      <c r="B150" t="s">
        <v>1</v>
      </c>
      <c r="C150" s="1">
        <v>45987</v>
      </c>
    </row>
    <row r="151" spans="1:3" x14ac:dyDescent="0.25">
      <c r="A151" t="s">
        <v>0</v>
      </c>
      <c r="B151" t="s">
        <v>1</v>
      </c>
      <c r="C151" s="1">
        <v>45988</v>
      </c>
    </row>
    <row r="152" spans="1:3" x14ac:dyDescent="0.25">
      <c r="A152" t="s">
        <v>0</v>
      </c>
      <c r="B152" t="s">
        <v>1</v>
      </c>
      <c r="C152" s="1">
        <v>45989</v>
      </c>
    </row>
    <row r="153" spans="1:3" x14ac:dyDescent="0.25">
      <c r="A153" t="s">
        <v>0</v>
      </c>
      <c r="B153" t="s">
        <v>1</v>
      </c>
      <c r="C153" s="1">
        <v>45990</v>
      </c>
    </row>
    <row r="154" spans="1:3" x14ac:dyDescent="0.25">
      <c r="A154" t="s">
        <v>0</v>
      </c>
      <c r="B154" t="s">
        <v>1</v>
      </c>
      <c r="C154" s="1">
        <v>45991</v>
      </c>
    </row>
    <row r="155" spans="1:3" x14ac:dyDescent="0.25">
      <c r="A155" t="s">
        <v>0</v>
      </c>
      <c r="B155" t="s">
        <v>1</v>
      </c>
      <c r="C155" s="1">
        <v>45992</v>
      </c>
    </row>
    <row r="156" spans="1:3" x14ac:dyDescent="0.25">
      <c r="A156" t="s">
        <v>0</v>
      </c>
      <c r="B156" t="s">
        <v>1</v>
      </c>
      <c r="C156" s="1">
        <v>45993</v>
      </c>
    </row>
    <row r="157" spans="1:3" x14ac:dyDescent="0.25">
      <c r="A157" t="s">
        <v>0</v>
      </c>
      <c r="B157" t="s">
        <v>1</v>
      </c>
      <c r="C157" s="1">
        <v>45994</v>
      </c>
    </row>
    <row r="158" spans="1:3" x14ac:dyDescent="0.25">
      <c r="A158" t="s">
        <v>0</v>
      </c>
      <c r="B158" t="s">
        <v>1</v>
      </c>
      <c r="C158" s="1">
        <v>45995</v>
      </c>
    </row>
    <row r="159" spans="1:3" x14ac:dyDescent="0.25">
      <c r="A159" t="s">
        <v>0</v>
      </c>
      <c r="B159" t="s">
        <v>1</v>
      </c>
      <c r="C159" s="1">
        <v>45996</v>
      </c>
    </row>
    <row r="160" spans="1:3" x14ac:dyDescent="0.25">
      <c r="A160" t="s">
        <v>0</v>
      </c>
      <c r="B160" t="s">
        <v>1</v>
      </c>
      <c r="C160" s="1">
        <v>45997</v>
      </c>
    </row>
    <row r="161" spans="1:3" x14ac:dyDescent="0.25">
      <c r="A161" t="s">
        <v>0</v>
      </c>
      <c r="B161" t="s">
        <v>1</v>
      </c>
      <c r="C161" s="1">
        <v>45998</v>
      </c>
    </row>
    <row r="162" spans="1:3" x14ac:dyDescent="0.25">
      <c r="A162" t="s">
        <v>0</v>
      </c>
      <c r="B162" t="s">
        <v>1</v>
      </c>
      <c r="C162" s="1">
        <v>45999</v>
      </c>
    </row>
    <row r="163" spans="1:3" x14ac:dyDescent="0.25">
      <c r="A163" t="s">
        <v>0</v>
      </c>
      <c r="B163" t="s">
        <v>1</v>
      </c>
      <c r="C163" s="1">
        <v>46000</v>
      </c>
    </row>
    <row r="164" spans="1:3" x14ac:dyDescent="0.25">
      <c r="A164" t="s">
        <v>0</v>
      </c>
      <c r="B164" t="s">
        <v>1</v>
      </c>
      <c r="C164" s="1">
        <v>46001</v>
      </c>
    </row>
    <row r="165" spans="1:3" x14ac:dyDescent="0.25">
      <c r="A165" t="s">
        <v>0</v>
      </c>
      <c r="B165" t="s">
        <v>1</v>
      </c>
      <c r="C165" s="1">
        <v>46002</v>
      </c>
    </row>
    <row r="166" spans="1:3" x14ac:dyDescent="0.25">
      <c r="A166" t="s">
        <v>0</v>
      </c>
      <c r="B166" t="s">
        <v>1</v>
      </c>
      <c r="C166" s="1">
        <v>46003</v>
      </c>
    </row>
    <row r="167" spans="1:3" x14ac:dyDescent="0.25">
      <c r="A167" t="s">
        <v>0</v>
      </c>
      <c r="B167" t="s">
        <v>1</v>
      </c>
      <c r="C167" s="1">
        <v>46004</v>
      </c>
    </row>
    <row r="168" spans="1:3" x14ac:dyDescent="0.25">
      <c r="A168" t="s">
        <v>0</v>
      </c>
      <c r="B168" t="s">
        <v>1</v>
      </c>
      <c r="C168" s="1">
        <v>46005</v>
      </c>
    </row>
    <row r="169" spans="1:3" x14ac:dyDescent="0.25">
      <c r="A169" t="s">
        <v>0</v>
      </c>
      <c r="B169" t="s">
        <v>1</v>
      </c>
      <c r="C169" s="1">
        <v>46006</v>
      </c>
    </row>
    <row r="170" spans="1:3" x14ac:dyDescent="0.25">
      <c r="A170" t="s">
        <v>0</v>
      </c>
      <c r="B170" t="s">
        <v>1</v>
      </c>
      <c r="C170" s="1">
        <v>46007</v>
      </c>
    </row>
    <row r="171" spans="1:3" x14ac:dyDescent="0.25">
      <c r="A171" t="s">
        <v>0</v>
      </c>
      <c r="B171" t="s">
        <v>1</v>
      </c>
      <c r="C171" s="1">
        <v>46008</v>
      </c>
    </row>
    <row r="172" spans="1:3" x14ac:dyDescent="0.25">
      <c r="A172" t="s">
        <v>0</v>
      </c>
      <c r="B172" t="s">
        <v>1</v>
      </c>
      <c r="C172" s="1">
        <v>46009</v>
      </c>
    </row>
    <row r="173" spans="1:3" x14ac:dyDescent="0.25">
      <c r="A173" t="s">
        <v>0</v>
      </c>
      <c r="B173" t="s">
        <v>1</v>
      </c>
      <c r="C173" s="1">
        <v>46010</v>
      </c>
    </row>
    <row r="174" spans="1:3" x14ac:dyDescent="0.25">
      <c r="A174" t="s">
        <v>0</v>
      </c>
      <c r="B174" t="s">
        <v>1</v>
      </c>
      <c r="C174" s="1">
        <v>46011</v>
      </c>
    </row>
    <row r="175" spans="1:3" x14ac:dyDescent="0.25">
      <c r="A175" t="s">
        <v>0</v>
      </c>
      <c r="B175" t="s">
        <v>1</v>
      </c>
      <c r="C175" s="1">
        <v>46012</v>
      </c>
    </row>
    <row r="176" spans="1:3" x14ac:dyDescent="0.25">
      <c r="A176" t="s">
        <v>0</v>
      </c>
      <c r="B176" t="s">
        <v>1</v>
      </c>
      <c r="C176" s="1">
        <v>46013</v>
      </c>
    </row>
    <row r="177" spans="1:3" x14ac:dyDescent="0.25">
      <c r="A177" t="s">
        <v>0</v>
      </c>
      <c r="B177" t="s">
        <v>1</v>
      </c>
      <c r="C177" s="1">
        <v>46014</v>
      </c>
    </row>
    <row r="178" spans="1:3" x14ac:dyDescent="0.25">
      <c r="A178" t="s">
        <v>0</v>
      </c>
      <c r="B178" t="s">
        <v>1</v>
      </c>
      <c r="C178" s="1">
        <v>46015</v>
      </c>
    </row>
    <row r="179" spans="1:3" x14ac:dyDescent="0.25">
      <c r="A179" t="s">
        <v>0</v>
      </c>
      <c r="B179" t="s">
        <v>1</v>
      </c>
      <c r="C179" s="1">
        <v>46016</v>
      </c>
    </row>
    <row r="180" spans="1:3" x14ac:dyDescent="0.25">
      <c r="A180" t="s">
        <v>0</v>
      </c>
      <c r="B180" t="s">
        <v>1</v>
      </c>
      <c r="C180" s="1">
        <v>46017</v>
      </c>
    </row>
    <row r="181" spans="1:3" x14ac:dyDescent="0.25">
      <c r="A181" t="s">
        <v>0</v>
      </c>
      <c r="B181" t="s">
        <v>1</v>
      </c>
      <c r="C181" s="1">
        <v>46018</v>
      </c>
    </row>
    <row r="182" spans="1:3" x14ac:dyDescent="0.25">
      <c r="A182" t="s">
        <v>0</v>
      </c>
      <c r="B182" t="s">
        <v>1</v>
      </c>
      <c r="C182" s="1">
        <v>46019</v>
      </c>
    </row>
    <row r="183" spans="1:3" x14ac:dyDescent="0.25">
      <c r="A183" t="s">
        <v>0</v>
      </c>
      <c r="B183" t="s">
        <v>1</v>
      </c>
      <c r="C183" s="1">
        <v>46020</v>
      </c>
    </row>
    <row r="184" spans="1:3" x14ac:dyDescent="0.25">
      <c r="A184" t="s">
        <v>0</v>
      </c>
      <c r="B184" t="s">
        <v>1</v>
      </c>
      <c r="C184" s="1">
        <v>46021</v>
      </c>
    </row>
    <row r="185" spans="1:3" x14ac:dyDescent="0.25">
      <c r="A185" t="s">
        <v>0</v>
      </c>
      <c r="B185" t="s">
        <v>1</v>
      </c>
      <c r="C185" s="1">
        <v>46022</v>
      </c>
    </row>
    <row r="186" spans="1:3" x14ac:dyDescent="0.25">
      <c r="A186" t="s">
        <v>0</v>
      </c>
      <c r="B186" t="s">
        <v>1</v>
      </c>
      <c r="C186" s="1">
        <v>46023</v>
      </c>
    </row>
    <row r="187" spans="1:3" x14ac:dyDescent="0.25">
      <c r="A187" t="s">
        <v>0</v>
      </c>
      <c r="B187" t="s">
        <v>1</v>
      </c>
      <c r="C187" s="1">
        <v>46024</v>
      </c>
    </row>
    <row r="188" spans="1:3" x14ac:dyDescent="0.25">
      <c r="A188" t="s">
        <v>0</v>
      </c>
      <c r="B188" t="s">
        <v>1</v>
      </c>
      <c r="C188" s="1">
        <v>46025</v>
      </c>
    </row>
    <row r="189" spans="1:3" x14ac:dyDescent="0.25">
      <c r="A189" t="s">
        <v>0</v>
      </c>
      <c r="B189" t="s">
        <v>1</v>
      </c>
      <c r="C189" s="1">
        <v>46026</v>
      </c>
    </row>
    <row r="190" spans="1:3" x14ac:dyDescent="0.25">
      <c r="A190" t="s">
        <v>0</v>
      </c>
      <c r="B190" t="s">
        <v>1</v>
      </c>
      <c r="C190" s="1">
        <v>46027</v>
      </c>
    </row>
    <row r="191" spans="1:3" x14ac:dyDescent="0.25">
      <c r="A191" t="s">
        <v>0</v>
      </c>
      <c r="B191" t="s">
        <v>1</v>
      </c>
      <c r="C191" s="1">
        <v>46028</v>
      </c>
    </row>
    <row r="192" spans="1:3" x14ac:dyDescent="0.25">
      <c r="A192" t="s">
        <v>0</v>
      </c>
      <c r="B192" t="s">
        <v>1</v>
      </c>
      <c r="C192" s="1">
        <v>46029</v>
      </c>
    </row>
    <row r="193" spans="1:3" x14ac:dyDescent="0.25">
      <c r="A193" t="s">
        <v>0</v>
      </c>
      <c r="B193" t="s">
        <v>1</v>
      </c>
      <c r="C193" s="1">
        <v>46030</v>
      </c>
    </row>
    <row r="194" spans="1:3" x14ac:dyDescent="0.25">
      <c r="A194" t="s">
        <v>0</v>
      </c>
      <c r="B194" t="s">
        <v>1</v>
      </c>
      <c r="C194" s="1">
        <v>46031</v>
      </c>
    </row>
    <row r="195" spans="1:3" x14ac:dyDescent="0.25">
      <c r="A195" t="s">
        <v>0</v>
      </c>
      <c r="B195" t="s">
        <v>1</v>
      </c>
      <c r="C195" s="1">
        <v>46032</v>
      </c>
    </row>
    <row r="196" spans="1:3" x14ac:dyDescent="0.25">
      <c r="A196" t="s">
        <v>0</v>
      </c>
      <c r="B196" t="s">
        <v>1</v>
      </c>
      <c r="C196" s="1">
        <v>46033</v>
      </c>
    </row>
    <row r="197" spans="1:3" x14ac:dyDescent="0.25">
      <c r="A197" t="s">
        <v>0</v>
      </c>
      <c r="B197" t="s">
        <v>1</v>
      </c>
      <c r="C197" s="1">
        <v>46034</v>
      </c>
    </row>
    <row r="198" spans="1:3" x14ac:dyDescent="0.25">
      <c r="A198" t="s">
        <v>0</v>
      </c>
      <c r="B198" t="s">
        <v>1</v>
      </c>
      <c r="C198" s="1">
        <v>46035</v>
      </c>
    </row>
    <row r="199" spans="1:3" x14ac:dyDescent="0.25">
      <c r="A199" t="s">
        <v>0</v>
      </c>
      <c r="B199" t="s">
        <v>1</v>
      </c>
      <c r="C199" s="1">
        <v>46036</v>
      </c>
    </row>
    <row r="200" spans="1:3" x14ac:dyDescent="0.25">
      <c r="A200" t="s">
        <v>0</v>
      </c>
      <c r="B200" t="s">
        <v>1</v>
      </c>
      <c r="C200" s="1">
        <v>46037</v>
      </c>
    </row>
    <row r="201" spans="1:3" x14ac:dyDescent="0.25">
      <c r="A201" t="s">
        <v>0</v>
      </c>
      <c r="B201" t="s">
        <v>1</v>
      </c>
      <c r="C201" s="1">
        <v>46038</v>
      </c>
    </row>
    <row r="202" spans="1:3" x14ac:dyDescent="0.25">
      <c r="A202" t="s">
        <v>0</v>
      </c>
      <c r="B202" t="s">
        <v>1</v>
      </c>
      <c r="C202" s="1">
        <v>46039</v>
      </c>
    </row>
    <row r="203" spans="1:3" x14ac:dyDescent="0.25">
      <c r="A203" t="s">
        <v>0</v>
      </c>
      <c r="B203" t="s">
        <v>1</v>
      </c>
      <c r="C203" s="1">
        <v>46040</v>
      </c>
    </row>
    <row r="204" spans="1:3" x14ac:dyDescent="0.25">
      <c r="A204" t="s">
        <v>0</v>
      </c>
      <c r="B204" t="s">
        <v>1</v>
      </c>
      <c r="C204" s="1">
        <v>46041</v>
      </c>
    </row>
    <row r="205" spans="1:3" x14ac:dyDescent="0.25">
      <c r="A205" t="s">
        <v>0</v>
      </c>
      <c r="B205" t="s">
        <v>1</v>
      </c>
      <c r="C205" s="1">
        <v>46042</v>
      </c>
    </row>
    <row r="206" spans="1:3" x14ac:dyDescent="0.25">
      <c r="A206" t="s">
        <v>0</v>
      </c>
      <c r="B206" t="s">
        <v>1</v>
      </c>
      <c r="C206" s="1">
        <v>46043</v>
      </c>
    </row>
    <row r="207" spans="1:3" x14ac:dyDescent="0.25">
      <c r="A207" t="s">
        <v>0</v>
      </c>
      <c r="B207" t="s">
        <v>1</v>
      </c>
      <c r="C207" s="1">
        <v>46044</v>
      </c>
    </row>
    <row r="208" spans="1:3" x14ac:dyDescent="0.25">
      <c r="A208" t="s">
        <v>0</v>
      </c>
      <c r="B208" t="s">
        <v>1</v>
      </c>
      <c r="C208" s="1">
        <v>46045</v>
      </c>
    </row>
    <row r="209" spans="1:3" x14ac:dyDescent="0.25">
      <c r="A209" t="s">
        <v>0</v>
      </c>
      <c r="B209" t="s">
        <v>1</v>
      </c>
      <c r="C209" s="1">
        <v>46046</v>
      </c>
    </row>
    <row r="210" spans="1:3" x14ac:dyDescent="0.25">
      <c r="A210" t="s">
        <v>0</v>
      </c>
      <c r="B210" t="s">
        <v>1</v>
      </c>
      <c r="C210" s="1">
        <v>46047</v>
      </c>
    </row>
    <row r="211" spans="1:3" x14ac:dyDescent="0.25">
      <c r="A211" t="s">
        <v>0</v>
      </c>
      <c r="B211" t="s">
        <v>1</v>
      </c>
      <c r="C211" s="1">
        <v>46048</v>
      </c>
    </row>
    <row r="212" spans="1:3" x14ac:dyDescent="0.25">
      <c r="A212" t="s">
        <v>0</v>
      </c>
      <c r="B212" t="s">
        <v>1</v>
      </c>
      <c r="C212" s="1">
        <v>46049</v>
      </c>
    </row>
    <row r="213" spans="1:3" x14ac:dyDescent="0.25">
      <c r="A213" t="s">
        <v>0</v>
      </c>
      <c r="B213" t="s">
        <v>1</v>
      </c>
      <c r="C213" s="1">
        <v>46050</v>
      </c>
    </row>
    <row r="214" spans="1:3" x14ac:dyDescent="0.25">
      <c r="A214" t="s">
        <v>0</v>
      </c>
      <c r="B214" t="s">
        <v>1</v>
      </c>
      <c r="C214" s="1">
        <v>46051</v>
      </c>
    </row>
    <row r="215" spans="1:3" x14ac:dyDescent="0.25">
      <c r="A215" t="s">
        <v>0</v>
      </c>
      <c r="B215" t="s">
        <v>1</v>
      </c>
      <c r="C215" s="1">
        <v>46052</v>
      </c>
    </row>
    <row r="216" spans="1:3" x14ac:dyDescent="0.25">
      <c r="A216" t="s">
        <v>0</v>
      </c>
      <c r="B216" t="s">
        <v>1</v>
      </c>
      <c r="C216" s="1">
        <v>46053</v>
      </c>
    </row>
    <row r="217" spans="1:3" x14ac:dyDescent="0.25">
      <c r="A217" t="s">
        <v>0</v>
      </c>
      <c r="B217" t="s">
        <v>1</v>
      </c>
      <c r="C217" s="1">
        <v>46054</v>
      </c>
    </row>
    <row r="218" spans="1:3" x14ac:dyDescent="0.25">
      <c r="A218" t="s">
        <v>0</v>
      </c>
      <c r="B218" t="s">
        <v>1</v>
      </c>
      <c r="C218" s="1">
        <v>46055</v>
      </c>
    </row>
    <row r="219" spans="1:3" x14ac:dyDescent="0.25">
      <c r="A219" t="s">
        <v>0</v>
      </c>
      <c r="B219" t="s">
        <v>1</v>
      </c>
      <c r="C219" s="1">
        <v>46056</v>
      </c>
    </row>
    <row r="220" spans="1:3" x14ac:dyDescent="0.25">
      <c r="A220" t="s">
        <v>0</v>
      </c>
      <c r="B220" t="s">
        <v>1</v>
      </c>
      <c r="C220" s="1">
        <v>46057</v>
      </c>
    </row>
    <row r="221" spans="1:3" x14ac:dyDescent="0.25">
      <c r="A221" t="s">
        <v>0</v>
      </c>
      <c r="B221" t="s">
        <v>1</v>
      </c>
      <c r="C221" s="1">
        <v>46058</v>
      </c>
    </row>
    <row r="222" spans="1:3" x14ac:dyDescent="0.25">
      <c r="A222" t="s">
        <v>0</v>
      </c>
      <c r="B222" t="s">
        <v>1</v>
      </c>
      <c r="C222" s="1">
        <v>46059</v>
      </c>
    </row>
    <row r="223" spans="1:3" x14ac:dyDescent="0.25">
      <c r="A223" t="s">
        <v>0</v>
      </c>
      <c r="B223" t="s">
        <v>1</v>
      </c>
      <c r="C223" s="1">
        <v>46060</v>
      </c>
    </row>
    <row r="224" spans="1:3" x14ac:dyDescent="0.25">
      <c r="A224" t="s">
        <v>0</v>
      </c>
      <c r="B224" t="s">
        <v>1</v>
      </c>
      <c r="C224" s="1">
        <v>46061</v>
      </c>
    </row>
    <row r="225" spans="1:3" x14ac:dyDescent="0.25">
      <c r="A225" t="s">
        <v>0</v>
      </c>
      <c r="B225" t="s">
        <v>1</v>
      </c>
      <c r="C225" s="1">
        <v>46062</v>
      </c>
    </row>
    <row r="226" spans="1:3" x14ac:dyDescent="0.25">
      <c r="A226" t="s">
        <v>0</v>
      </c>
      <c r="B226" t="s">
        <v>1</v>
      </c>
      <c r="C226" s="1">
        <v>46063</v>
      </c>
    </row>
    <row r="227" spans="1:3" x14ac:dyDescent="0.25">
      <c r="A227" t="s">
        <v>0</v>
      </c>
      <c r="B227" t="s">
        <v>1</v>
      </c>
      <c r="C227" s="1">
        <v>46064</v>
      </c>
    </row>
    <row r="228" spans="1:3" x14ac:dyDescent="0.25">
      <c r="A228" t="s">
        <v>0</v>
      </c>
      <c r="B228" t="s">
        <v>1</v>
      </c>
      <c r="C228" s="1">
        <v>46065</v>
      </c>
    </row>
    <row r="229" spans="1:3" x14ac:dyDescent="0.25">
      <c r="A229" t="s">
        <v>0</v>
      </c>
      <c r="B229" t="s">
        <v>1</v>
      </c>
      <c r="C229" s="1">
        <v>46066</v>
      </c>
    </row>
    <row r="230" spans="1:3" x14ac:dyDescent="0.25">
      <c r="A230" t="s">
        <v>0</v>
      </c>
      <c r="B230" t="s">
        <v>1</v>
      </c>
      <c r="C230" s="1">
        <v>46067</v>
      </c>
    </row>
    <row r="231" spans="1:3" x14ac:dyDescent="0.25">
      <c r="A231" t="s">
        <v>0</v>
      </c>
      <c r="B231" t="s">
        <v>1</v>
      </c>
      <c r="C231" s="1">
        <v>46068</v>
      </c>
    </row>
    <row r="232" spans="1:3" x14ac:dyDescent="0.25">
      <c r="A232" t="s">
        <v>0</v>
      </c>
      <c r="B232" t="s">
        <v>1</v>
      </c>
      <c r="C232" s="1">
        <v>46069</v>
      </c>
    </row>
    <row r="233" spans="1:3" x14ac:dyDescent="0.25">
      <c r="A233" t="s">
        <v>0</v>
      </c>
      <c r="B233" t="s">
        <v>1</v>
      </c>
      <c r="C233" s="1">
        <v>46070</v>
      </c>
    </row>
    <row r="234" spans="1:3" x14ac:dyDescent="0.25">
      <c r="A234" t="s">
        <v>0</v>
      </c>
      <c r="B234" t="s">
        <v>1</v>
      </c>
      <c r="C234" s="1">
        <v>46071</v>
      </c>
    </row>
    <row r="235" spans="1:3" x14ac:dyDescent="0.25">
      <c r="A235" t="s">
        <v>0</v>
      </c>
      <c r="B235" t="s">
        <v>1</v>
      </c>
      <c r="C235" s="1">
        <v>46072</v>
      </c>
    </row>
    <row r="236" spans="1:3" x14ac:dyDescent="0.25">
      <c r="A236" t="s">
        <v>0</v>
      </c>
      <c r="B236" t="s">
        <v>1</v>
      </c>
      <c r="C236" s="1">
        <v>46073</v>
      </c>
    </row>
    <row r="237" spans="1:3" x14ac:dyDescent="0.25">
      <c r="A237" t="s">
        <v>0</v>
      </c>
      <c r="B237" t="s">
        <v>1</v>
      </c>
      <c r="C237" s="1">
        <v>46074</v>
      </c>
    </row>
    <row r="238" spans="1:3" x14ac:dyDescent="0.25">
      <c r="A238" t="s">
        <v>0</v>
      </c>
      <c r="B238" t="s">
        <v>1</v>
      </c>
      <c r="C238" s="1">
        <v>46075</v>
      </c>
    </row>
    <row r="239" spans="1:3" x14ac:dyDescent="0.25">
      <c r="A239" t="s">
        <v>0</v>
      </c>
      <c r="B239" t="s">
        <v>1</v>
      </c>
      <c r="C239" s="1">
        <v>46076</v>
      </c>
    </row>
    <row r="240" spans="1:3" x14ac:dyDescent="0.25">
      <c r="A240" t="s">
        <v>0</v>
      </c>
      <c r="B240" t="s">
        <v>1</v>
      </c>
      <c r="C240" s="1">
        <v>46077</v>
      </c>
    </row>
    <row r="241" spans="1:3" x14ac:dyDescent="0.25">
      <c r="A241" t="s">
        <v>0</v>
      </c>
      <c r="B241" t="s">
        <v>1</v>
      </c>
      <c r="C241" s="1">
        <v>46078</v>
      </c>
    </row>
    <row r="242" spans="1:3" x14ac:dyDescent="0.25">
      <c r="A242" t="s">
        <v>0</v>
      </c>
      <c r="B242" t="s">
        <v>1</v>
      </c>
      <c r="C242" s="1">
        <v>46079</v>
      </c>
    </row>
    <row r="243" spans="1:3" x14ac:dyDescent="0.25">
      <c r="A243" t="s">
        <v>0</v>
      </c>
      <c r="B243" t="s">
        <v>1</v>
      </c>
      <c r="C243" s="1">
        <v>46080</v>
      </c>
    </row>
    <row r="244" spans="1:3" x14ac:dyDescent="0.25">
      <c r="A244" t="s">
        <v>0</v>
      </c>
      <c r="B244" t="s">
        <v>1</v>
      </c>
      <c r="C244" s="1">
        <v>46081</v>
      </c>
    </row>
    <row r="245" spans="1:3" x14ac:dyDescent="0.25">
      <c r="A245" t="s">
        <v>0</v>
      </c>
      <c r="B245" t="s">
        <v>1</v>
      </c>
      <c r="C245" s="1">
        <v>46082</v>
      </c>
    </row>
    <row r="246" spans="1:3" x14ac:dyDescent="0.25">
      <c r="A246" t="s">
        <v>0</v>
      </c>
      <c r="B246" t="s">
        <v>1</v>
      </c>
      <c r="C246" s="1">
        <v>46083</v>
      </c>
    </row>
    <row r="247" spans="1:3" x14ac:dyDescent="0.25">
      <c r="A247" t="s">
        <v>0</v>
      </c>
      <c r="B247" t="s">
        <v>1</v>
      </c>
      <c r="C247" s="1">
        <v>46084</v>
      </c>
    </row>
    <row r="248" spans="1:3" x14ac:dyDescent="0.25">
      <c r="A248" t="s">
        <v>0</v>
      </c>
      <c r="B248" t="s">
        <v>1</v>
      </c>
      <c r="C248" s="1">
        <v>46085</v>
      </c>
    </row>
    <row r="249" spans="1:3" x14ac:dyDescent="0.25">
      <c r="A249" t="s">
        <v>0</v>
      </c>
      <c r="B249" t="s">
        <v>1</v>
      </c>
      <c r="C249" s="1">
        <v>46086</v>
      </c>
    </row>
    <row r="250" spans="1:3" x14ac:dyDescent="0.25">
      <c r="A250" t="s">
        <v>0</v>
      </c>
      <c r="B250" t="s">
        <v>1</v>
      </c>
      <c r="C250" s="1">
        <v>46087</v>
      </c>
    </row>
    <row r="251" spans="1:3" x14ac:dyDescent="0.25">
      <c r="A251" t="s">
        <v>0</v>
      </c>
      <c r="B251" t="s">
        <v>1</v>
      </c>
      <c r="C251" s="1">
        <v>46088</v>
      </c>
    </row>
    <row r="252" spans="1:3" x14ac:dyDescent="0.25">
      <c r="A252" t="s">
        <v>0</v>
      </c>
      <c r="B252" t="s">
        <v>1</v>
      </c>
      <c r="C252" s="1">
        <v>46089</v>
      </c>
    </row>
    <row r="253" spans="1:3" x14ac:dyDescent="0.25">
      <c r="A253" t="s">
        <v>0</v>
      </c>
      <c r="B253" t="s">
        <v>1</v>
      </c>
      <c r="C253" s="1">
        <v>46090</v>
      </c>
    </row>
    <row r="254" spans="1:3" x14ac:dyDescent="0.25">
      <c r="A254" t="s">
        <v>0</v>
      </c>
      <c r="B254" t="s">
        <v>1</v>
      </c>
      <c r="C254" s="1">
        <v>46091</v>
      </c>
    </row>
    <row r="255" spans="1:3" x14ac:dyDescent="0.25">
      <c r="A255" t="s">
        <v>0</v>
      </c>
      <c r="B255" t="s">
        <v>1</v>
      </c>
      <c r="C255" s="1">
        <v>46092</v>
      </c>
    </row>
    <row r="256" spans="1:3" x14ac:dyDescent="0.25">
      <c r="A256" t="s">
        <v>0</v>
      </c>
      <c r="B256" t="s">
        <v>1</v>
      </c>
      <c r="C256" s="1">
        <v>46093</v>
      </c>
    </row>
    <row r="257" spans="1:3" x14ac:dyDescent="0.25">
      <c r="A257" t="s">
        <v>0</v>
      </c>
      <c r="B257" t="s">
        <v>1</v>
      </c>
      <c r="C257" s="1">
        <v>46094</v>
      </c>
    </row>
    <row r="258" spans="1:3" x14ac:dyDescent="0.25">
      <c r="A258" t="s">
        <v>0</v>
      </c>
      <c r="B258" t="s">
        <v>1</v>
      </c>
      <c r="C258" s="1">
        <v>46095</v>
      </c>
    </row>
    <row r="259" spans="1:3" x14ac:dyDescent="0.25">
      <c r="A259" t="s">
        <v>0</v>
      </c>
      <c r="B259" t="s">
        <v>1</v>
      </c>
      <c r="C259" s="1">
        <v>46096</v>
      </c>
    </row>
    <row r="260" spans="1:3" x14ac:dyDescent="0.25">
      <c r="A260" t="s">
        <v>0</v>
      </c>
      <c r="B260" t="s">
        <v>1</v>
      </c>
      <c r="C260" s="1">
        <v>46097</v>
      </c>
    </row>
    <row r="261" spans="1:3" x14ac:dyDescent="0.25">
      <c r="A261" t="s">
        <v>0</v>
      </c>
      <c r="B261" t="s">
        <v>1</v>
      </c>
      <c r="C261" s="1">
        <v>46098</v>
      </c>
    </row>
    <row r="262" spans="1:3" x14ac:dyDescent="0.25">
      <c r="A262" t="s">
        <v>0</v>
      </c>
      <c r="B262" t="s">
        <v>1</v>
      </c>
      <c r="C262" s="1">
        <v>46099</v>
      </c>
    </row>
    <row r="263" spans="1:3" x14ac:dyDescent="0.25">
      <c r="A263" t="s">
        <v>0</v>
      </c>
      <c r="B263" t="s">
        <v>1</v>
      </c>
      <c r="C263" s="1">
        <v>46100</v>
      </c>
    </row>
    <row r="264" spans="1:3" x14ac:dyDescent="0.25">
      <c r="A264" t="s">
        <v>0</v>
      </c>
      <c r="B264" t="s">
        <v>1</v>
      </c>
      <c r="C264" s="1">
        <v>46101</v>
      </c>
    </row>
    <row r="265" spans="1:3" x14ac:dyDescent="0.25">
      <c r="A265" t="s">
        <v>0</v>
      </c>
      <c r="B265" t="s">
        <v>1</v>
      </c>
      <c r="C265" s="1">
        <v>46102</v>
      </c>
    </row>
    <row r="266" spans="1:3" x14ac:dyDescent="0.25">
      <c r="A266" t="s">
        <v>0</v>
      </c>
      <c r="B266" t="s">
        <v>1</v>
      </c>
      <c r="C266" s="1">
        <v>46103</v>
      </c>
    </row>
    <row r="267" spans="1:3" x14ac:dyDescent="0.25">
      <c r="A267" t="s">
        <v>0</v>
      </c>
      <c r="B267" t="s">
        <v>1</v>
      </c>
      <c r="C267" s="1">
        <v>46104</v>
      </c>
    </row>
    <row r="268" spans="1:3" x14ac:dyDescent="0.25">
      <c r="A268" t="s">
        <v>0</v>
      </c>
      <c r="B268" t="s">
        <v>1</v>
      </c>
      <c r="C268" s="1">
        <v>46105</v>
      </c>
    </row>
    <row r="269" spans="1:3" x14ac:dyDescent="0.25">
      <c r="A269" t="s">
        <v>0</v>
      </c>
      <c r="B269" t="s">
        <v>1</v>
      </c>
      <c r="C269" s="1">
        <v>46106</v>
      </c>
    </row>
    <row r="270" spans="1:3" x14ac:dyDescent="0.25">
      <c r="A270" t="s">
        <v>0</v>
      </c>
      <c r="B270" t="s">
        <v>1</v>
      </c>
      <c r="C270" s="1">
        <v>46107</v>
      </c>
    </row>
    <row r="271" spans="1:3" x14ac:dyDescent="0.25">
      <c r="A271" t="s">
        <v>0</v>
      </c>
      <c r="B271" t="s">
        <v>1</v>
      </c>
      <c r="C271" s="1">
        <v>46108</v>
      </c>
    </row>
    <row r="272" spans="1:3" x14ac:dyDescent="0.25">
      <c r="A272" t="s">
        <v>0</v>
      </c>
      <c r="B272" t="s">
        <v>1</v>
      </c>
      <c r="C272" s="1">
        <v>46109</v>
      </c>
    </row>
    <row r="273" spans="1:3" x14ac:dyDescent="0.25">
      <c r="A273" t="s">
        <v>0</v>
      </c>
      <c r="B273" t="s">
        <v>1</v>
      </c>
      <c r="C273" s="1">
        <v>46110</v>
      </c>
    </row>
    <row r="274" spans="1:3" x14ac:dyDescent="0.25">
      <c r="A274" t="s">
        <v>0</v>
      </c>
      <c r="B274" t="s">
        <v>1</v>
      </c>
      <c r="C274" s="1">
        <v>46111</v>
      </c>
    </row>
    <row r="275" spans="1:3" x14ac:dyDescent="0.25">
      <c r="A275" t="s">
        <v>0</v>
      </c>
      <c r="B275" t="s">
        <v>1</v>
      </c>
      <c r="C275" s="1">
        <v>46112</v>
      </c>
    </row>
    <row r="276" spans="1:3" x14ac:dyDescent="0.25">
      <c r="A276" t="s">
        <v>0</v>
      </c>
      <c r="B276" t="s">
        <v>1</v>
      </c>
      <c r="C276" s="1">
        <v>46113</v>
      </c>
    </row>
    <row r="277" spans="1:3" x14ac:dyDescent="0.25">
      <c r="A277" t="s">
        <v>0</v>
      </c>
      <c r="B277" t="s">
        <v>1</v>
      </c>
      <c r="C277" s="1">
        <v>46114</v>
      </c>
    </row>
    <row r="278" spans="1:3" x14ac:dyDescent="0.25">
      <c r="A278" t="s">
        <v>0</v>
      </c>
      <c r="B278" t="s">
        <v>1</v>
      </c>
      <c r="C278" s="1">
        <v>46115</v>
      </c>
    </row>
    <row r="279" spans="1:3" x14ac:dyDescent="0.25">
      <c r="A279" t="s">
        <v>0</v>
      </c>
      <c r="B279" t="s">
        <v>1</v>
      </c>
      <c r="C279" s="1">
        <v>46116</v>
      </c>
    </row>
    <row r="280" spans="1:3" x14ac:dyDescent="0.25">
      <c r="A280" t="s">
        <v>0</v>
      </c>
      <c r="B280" t="s">
        <v>1</v>
      </c>
      <c r="C280" s="1">
        <v>46117</v>
      </c>
    </row>
    <row r="281" spans="1:3" x14ac:dyDescent="0.25">
      <c r="A281" t="s">
        <v>0</v>
      </c>
      <c r="B281" t="s">
        <v>1</v>
      </c>
      <c r="C281" s="1">
        <v>46118</v>
      </c>
    </row>
    <row r="282" spans="1:3" x14ac:dyDescent="0.25">
      <c r="A282" t="s">
        <v>0</v>
      </c>
      <c r="B282" t="s">
        <v>1</v>
      </c>
      <c r="C282" s="1">
        <v>46119</v>
      </c>
    </row>
    <row r="283" spans="1:3" x14ac:dyDescent="0.25">
      <c r="A283" t="s">
        <v>0</v>
      </c>
      <c r="B283" t="s">
        <v>1</v>
      </c>
      <c r="C283" s="1">
        <v>46120</v>
      </c>
    </row>
    <row r="284" spans="1:3" x14ac:dyDescent="0.25">
      <c r="A284" t="s">
        <v>0</v>
      </c>
      <c r="B284" t="s">
        <v>1</v>
      </c>
      <c r="C284" s="1">
        <v>46121</v>
      </c>
    </row>
    <row r="285" spans="1:3" x14ac:dyDescent="0.25">
      <c r="A285" t="s">
        <v>0</v>
      </c>
      <c r="B285" t="s">
        <v>1</v>
      </c>
      <c r="C285" s="1">
        <v>46122</v>
      </c>
    </row>
    <row r="286" spans="1:3" x14ac:dyDescent="0.25">
      <c r="A286" t="s">
        <v>0</v>
      </c>
      <c r="B286" t="s">
        <v>1</v>
      </c>
      <c r="C286" s="1">
        <v>46123</v>
      </c>
    </row>
    <row r="287" spans="1:3" x14ac:dyDescent="0.25">
      <c r="A287" t="s">
        <v>0</v>
      </c>
      <c r="B287" t="s">
        <v>1</v>
      </c>
      <c r="C287" s="1">
        <v>46124</v>
      </c>
    </row>
    <row r="288" spans="1:3" x14ac:dyDescent="0.25">
      <c r="A288" t="s">
        <v>0</v>
      </c>
      <c r="B288" t="s">
        <v>1</v>
      </c>
      <c r="C288" s="1">
        <v>46125</v>
      </c>
    </row>
    <row r="289" spans="1:3" x14ac:dyDescent="0.25">
      <c r="A289" t="s">
        <v>0</v>
      </c>
      <c r="B289" t="s">
        <v>1</v>
      </c>
      <c r="C289" s="1">
        <v>46126</v>
      </c>
    </row>
    <row r="290" spans="1:3" x14ac:dyDescent="0.25">
      <c r="A290" t="s">
        <v>0</v>
      </c>
      <c r="B290" t="s">
        <v>1</v>
      </c>
      <c r="C290" s="1">
        <v>46127</v>
      </c>
    </row>
    <row r="291" spans="1:3" x14ac:dyDescent="0.25">
      <c r="A291" t="s">
        <v>0</v>
      </c>
      <c r="B291" t="s">
        <v>1</v>
      </c>
      <c r="C291" s="1">
        <v>46128</v>
      </c>
    </row>
    <row r="292" spans="1:3" x14ac:dyDescent="0.25">
      <c r="A292" t="s">
        <v>0</v>
      </c>
      <c r="B292" t="s">
        <v>1</v>
      </c>
      <c r="C292" s="1">
        <v>46129</v>
      </c>
    </row>
    <row r="293" spans="1:3" x14ac:dyDescent="0.25">
      <c r="A293" t="s">
        <v>0</v>
      </c>
      <c r="B293" t="s">
        <v>1</v>
      </c>
      <c r="C293" s="1">
        <v>46130</v>
      </c>
    </row>
    <row r="294" spans="1:3" x14ac:dyDescent="0.25">
      <c r="A294" t="s">
        <v>0</v>
      </c>
      <c r="B294" t="s">
        <v>1</v>
      </c>
      <c r="C294" s="1">
        <v>46131</v>
      </c>
    </row>
    <row r="295" spans="1:3" x14ac:dyDescent="0.25">
      <c r="A295" t="s">
        <v>0</v>
      </c>
      <c r="B295" t="s">
        <v>1</v>
      </c>
      <c r="C295" s="1">
        <v>46132</v>
      </c>
    </row>
    <row r="296" spans="1:3" x14ac:dyDescent="0.25">
      <c r="A296" t="s">
        <v>0</v>
      </c>
      <c r="B296" t="s">
        <v>1</v>
      </c>
      <c r="C296" s="1">
        <v>46133</v>
      </c>
    </row>
    <row r="297" spans="1:3" x14ac:dyDescent="0.25">
      <c r="A297" t="s">
        <v>0</v>
      </c>
      <c r="B297" t="s">
        <v>1</v>
      </c>
      <c r="C297" s="1">
        <v>46134</v>
      </c>
    </row>
    <row r="298" spans="1:3" x14ac:dyDescent="0.25">
      <c r="A298" t="s">
        <v>0</v>
      </c>
      <c r="B298" t="s">
        <v>1</v>
      </c>
      <c r="C298" s="1">
        <v>46135</v>
      </c>
    </row>
    <row r="299" spans="1:3" x14ac:dyDescent="0.25">
      <c r="A299" t="s">
        <v>0</v>
      </c>
      <c r="B299" t="s">
        <v>1</v>
      </c>
      <c r="C299" s="1">
        <v>46136</v>
      </c>
    </row>
    <row r="300" spans="1:3" x14ac:dyDescent="0.25">
      <c r="A300" t="s">
        <v>0</v>
      </c>
      <c r="B300" t="s">
        <v>1</v>
      </c>
      <c r="C300" s="1">
        <v>46137</v>
      </c>
    </row>
    <row r="301" spans="1:3" x14ac:dyDescent="0.25">
      <c r="C301" s="1"/>
    </row>
    <row r="302" spans="1:3" x14ac:dyDescent="0.25">
      <c r="C302" s="1"/>
    </row>
    <row r="303" spans="1:3" x14ac:dyDescent="0.25">
      <c r="C303" s="1"/>
    </row>
    <row r="304" spans="1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147C-F845-466F-87E0-065C05608D38}">
  <sheetPr codeName="Hoja3"/>
  <dimension ref="A1:W106"/>
  <sheetViews>
    <sheetView tabSelected="1" topLeftCell="B1" zoomScaleNormal="100" workbookViewId="0">
      <selection activeCell="S10" sqref="S10:S19"/>
    </sheetView>
  </sheetViews>
  <sheetFormatPr baseColWidth="10" defaultRowHeight="15" x14ac:dyDescent="0.25"/>
  <cols>
    <col min="2" max="2" width="14.7109375" customWidth="1"/>
    <col min="4" max="4" width="11.7109375" customWidth="1"/>
    <col min="9" max="9" width="11.7109375" bestFit="1" customWidth="1"/>
    <col min="12" max="12" width="15.42578125" customWidth="1"/>
    <col min="13" max="13" width="18.85546875" bestFit="1" customWidth="1"/>
  </cols>
  <sheetData>
    <row r="1" spans="1:23" ht="30.75" thickBot="1" x14ac:dyDescent="0.3">
      <c r="A1" s="21"/>
      <c r="B1" s="22" t="s">
        <v>64</v>
      </c>
      <c r="C1" s="22" t="s">
        <v>65</v>
      </c>
      <c r="D1" s="22" t="s">
        <v>66</v>
      </c>
      <c r="E1" s="22" t="s">
        <v>67</v>
      </c>
      <c r="F1" s="22" t="s">
        <v>68</v>
      </c>
      <c r="G1" s="22" t="s">
        <v>69</v>
      </c>
      <c r="H1" s="22" t="s">
        <v>70</v>
      </c>
      <c r="I1" s="22" t="s">
        <v>71</v>
      </c>
      <c r="J1" s="22" t="s">
        <v>72</v>
      </c>
      <c r="K1" s="22" t="s">
        <v>62</v>
      </c>
      <c r="L1" s="22" t="s">
        <v>5</v>
      </c>
    </row>
    <row r="2" spans="1:23" ht="15.75" thickTop="1" x14ac:dyDescent="0.25">
      <c r="A2" s="23" t="s">
        <v>0</v>
      </c>
      <c r="B2" s="24" t="s">
        <v>74</v>
      </c>
      <c r="C2" s="24" t="s">
        <v>1</v>
      </c>
      <c r="D2" s="25">
        <v>45941</v>
      </c>
      <c r="E2" s="25"/>
      <c r="F2" s="25"/>
      <c r="G2" s="24">
        <v>0</v>
      </c>
      <c r="H2" s="24">
        <v>999</v>
      </c>
      <c r="I2" s="24">
        <v>0</v>
      </c>
      <c r="J2" s="24">
        <v>9.9990000000000006</v>
      </c>
      <c r="K2" s="24"/>
      <c r="L2" s="24" t="s">
        <v>75</v>
      </c>
    </row>
    <row r="5" spans="1:23" x14ac:dyDescent="0.25">
      <c r="A5" t="str" cm="1">
        <f t="array" ref="A5:W106">GetSetStockAvi(A2,B2,C2,D2,G2,H2,I2,J2)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cantidad_entrada</v>
      </c>
      <c r="M5" t="str">
        <v>ventas_acumuladas</v>
      </c>
      <c r="N5" t="str">
        <v>bajas_acumuladas</v>
      </c>
      <c r="O5" t="str">
        <v>bajas_teoricas</v>
      </c>
      <c r="P5" t="str">
        <v>stock_nave</v>
      </c>
      <c r="Q5" t="str">
        <v>kilos_nave</v>
      </c>
      <c r="R5" t="str">
        <v>capacidad_nave</v>
      </c>
      <c r="S5" t="str">
        <v>densidad_nave</v>
      </c>
      <c r="T5" t="str">
        <v>kgm2_nave</v>
      </c>
      <c r="U5" t="str">
        <v>capacidad_nave</v>
      </c>
      <c r="V5" t="str">
        <v>m2_nave</v>
      </c>
      <c r="W5" t="str">
        <v>granja</v>
      </c>
    </row>
    <row r="6" spans="1:23" x14ac:dyDescent="0.25">
      <c r="A6" t="str">
        <v>2025-10-11</v>
      </c>
      <c r="B6" t="str">
        <v>36993-SENDRA-FIGUERAS, SCP-1,2,3-L:012-N:1-A:A15-POLLO AMARILLO MIXTO</v>
      </c>
      <c r="C6" t="str">
        <v>POLLO AMARILLO MIXTO</v>
      </c>
      <c r="D6">
        <v>4372</v>
      </c>
      <c r="E6" t="str">
        <v>Broiler Amarillo</v>
      </c>
      <c r="F6">
        <v>60</v>
      </c>
      <c r="G6">
        <v>0</v>
      </c>
      <c r="H6" t="str">
        <v>Abierto</v>
      </c>
      <c r="I6">
        <v>4.165</v>
      </c>
      <c r="J6">
        <v>4.3492899999999999</v>
      </c>
      <c r="K6">
        <v>3.5990000000000002</v>
      </c>
      <c r="L6">
        <v>4700</v>
      </c>
      <c r="M6">
        <v>0</v>
      </c>
      <c r="N6">
        <v>175</v>
      </c>
      <c r="O6">
        <v>175</v>
      </c>
      <c r="P6">
        <v>4372</v>
      </c>
      <c r="Q6">
        <v>18209.38</v>
      </c>
      <c r="R6">
        <v>0.89958847736625513</v>
      </c>
      <c r="S6">
        <v>71.690472440944887</v>
      </c>
      <c r="T6">
        <v>71.690472440944887</v>
      </c>
      <c r="U6">
        <v>0.89959</v>
      </c>
      <c r="V6">
        <v>254</v>
      </c>
      <c r="W6" t="str">
        <v>36993-SENDRA-FIGUERAS, SCP-1,2,3</v>
      </c>
    </row>
    <row r="7" spans="1:23" x14ac:dyDescent="0.25">
      <c r="A7" t="str">
        <v>2025-10-11</v>
      </c>
      <c r="B7" t="str">
        <v>36026-TOMAS AURO SEBASTIAN-L:025-N:1-A:A15-POLLO AMARILLO MIXTO</v>
      </c>
      <c r="C7" t="str">
        <v>POLLO AMARILLO MIXTO</v>
      </c>
      <c r="D7">
        <v>1068</v>
      </c>
      <c r="E7" t="str">
        <v>Broiler Amarillo</v>
      </c>
      <c r="F7">
        <v>54</v>
      </c>
      <c r="G7">
        <v>0</v>
      </c>
      <c r="H7" t="str">
        <v>Abierto</v>
      </c>
      <c r="I7">
        <v>3.6579999999999999</v>
      </c>
      <c r="J7">
        <v>3.7356799999999999</v>
      </c>
      <c r="K7">
        <v>3.2930000000000001</v>
      </c>
      <c r="L7">
        <v>21960</v>
      </c>
      <c r="M7">
        <v>-20671</v>
      </c>
      <c r="N7">
        <v>182</v>
      </c>
      <c r="O7">
        <v>182</v>
      </c>
      <c r="P7">
        <v>1068</v>
      </c>
      <c r="Q7">
        <v>3906.7440000000001</v>
      </c>
      <c r="R7">
        <v>4.8470545520559134E-2</v>
      </c>
      <c r="S7">
        <v>3.0051876923076923</v>
      </c>
      <c r="T7">
        <v>3.0051876923076923</v>
      </c>
      <c r="U7">
        <v>4.8469999999999999E-2</v>
      </c>
      <c r="V7">
        <v>1300</v>
      </c>
      <c r="W7" t="str">
        <v>36026-TOMAS AURO SEBASTIAN</v>
      </c>
    </row>
    <row r="8" spans="1:23" x14ac:dyDescent="0.25">
      <c r="A8" t="str">
        <v>2025-10-11</v>
      </c>
      <c r="B8" t="str">
        <v>36233-EXPLOTAC RAMADERES CURIA SCP-L:139-N:3-A:A13-POLLO AMARILLO MACHO</v>
      </c>
      <c r="C8" t="str">
        <v>POLLO AMARILLO MACHO</v>
      </c>
      <c r="D8">
        <v>2853</v>
      </c>
      <c r="E8" t="str">
        <v>Broiler Amarillo</v>
      </c>
      <c r="F8">
        <v>44</v>
      </c>
      <c r="G8">
        <v>0</v>
      </c>
      <c r="H8" t="str">
        <v>Abierto</v>
      </c>
      <c r="I8">
        <v>3.4980000000000002</v>
      </c>
      <c r="J8">
        <v>3.4980000000000002</v>
      </c>
      <c r="K8">
        <v>2.8490000000000002</v>
      </c>
      <c r="L8">
        <v>9500</v>
      </c>
      <c r="M8">
        <v>-6282</v>
      </c>
      <c r="N8">
        <v>325</v>
      </c>
      <c r="O8">
        <v>325</v>
      </c>
      <c r="P8">
        <v>2728</v>
      </c>
      <c r="Q8">
        <v>9566.7049999999999</v>
      </c>
      <c r="R8">
        <v>0.16209150326797386</v>
      </c>
      <c r="S8">
        <v>8.6576515837104076</v>
      </c>
      <c r="T8">
        <v>8.6576515837104076</v>
      </c>
      <c r="U8">
        <v>0.16209000000000001</v>
      </c>
      <c r="V8">
        <v>1105</v>
      </c>
      <c r="W8" t="str">
        <v>36233-EXPLOTAC RAMADERES CURIA SCP</v>
      </c>
    </row>
    <row r="9" spans="1:23" x14ac:dyDescent="0.25">
      <c r="A9" t="str">
        <v>2025-10-11</v>
      </c>
      <c r="B9" t="str">
        <v>36233-EXPLOTAC RAMADERES CURIA SCP-L:139-N:3-A:A14-POLLO AMARILLO HEMBRAS</v>
      </c>
      <c r="C9" t="str">
        <v>POLLO AMARILLO HEMBRAS</v>
      </c>
      <c r="D9">
        <v>-125</v>
      </c>
      <c r="E9" t="str">
        <v>Broiler Amarillo</v>
      </c>
      <c r="F9">
        <v>44</v>
      </c>
      <c r="G9">
        <v>0</v>
      </c>
      <c r="H9" t="str">
        <v>Abierto</v>
      </c>
      <c r="I9">
        <v>3.30471</v>
      </c>
      <c r="J9">
        <v>3.3294299999999999</v>
      </c>
      <c r="K9">
        <v>2.4319999999999999</v>
      </c>
      <c r="L9">
        <v>9500</v>
      </c>
      <c r="M9">
        <v>-9300</v>
      </c>
      <c r="N9">
        <v>325</v>
      </c>
      <c r="O9">
        <v>325</v>
      </c>
      <c r="P9">
        <v>2728</v>
      </c>
      <c r="Q9">
        <v>9566.7049999999999</v>
      </c>
      <c r="R9">
        <v>0.16209150326797386</v>
      </c>
      <c r="S9">
        <v>8.6576515837104076</v>
      </c>
      <c r="T9">
        <v>8.6576515837104076</v>
      </c>
      <c r="U9">
        <v>0.16209000000000001</v>
      </c>
      <c r="V9">
        <v>1105</v>
      </c>
      <c r="W9" t="str">
        <v>36233-EXPLOTAC RAMADERES CURIA SCP</v>
      </c>
    </row>
    <row r="10" spans="1:23" x14ac:dyDescent="0.25">
      <c r="A10" t="str">
        <v>2025-10-11</v>
      </c>
      <c r="B10" t="str">
        <v>36001-RIERA CONDAL, JOSEP-L:031-N:1-A:A13-POLLO AMARILLO MACHO</v>
      </c>
      <c r="C10" t="str">
        <v>POLLO AMARILLO MACHO</v>
      </c>
      <c r="D10">
        <v>17363</v>
      </c>
      <c r="E10" t="str">
        <v>Broiler Amarillo</v>
      </c>
      <c r="F10">
        <v>40</v>
      </c>
      <c r="G10">
        <v>0</v>
      </c>
      <c r="H10" t="str">
        <v>Abierto</v>
      </c>
      <c r="I10">
        <v>2.8639999999999999</v>
      </c>
      <c r="J10">
        <v>2.92604</v>
      </c>
      <c r="K10">
        <v>2.5</v>
      </c>
      <c r="L10">
        <v>18000</v>
      </c>
      <c r="M10">
        <v>0</v>
      </c>
      <c r="N10">
        <v>622</v>
      </c>
      <c r="O10">
        <v>622</v>
      </c>
      <c r="P10">
        <v>20711</v>
      </c>
      <c r="Q10">
        <v>58486</v>
      </c>
      <c r="R10">
        <v>0.6295136778115501</v>
      </c>
      <c r="S10">
        <v>28.669607843137253</v>
      </c>
      <c r="T10">
        <v>28.669607843137253</v>
      </c>
      <c r="U10">
        <v>0.62951000000000001</v>
      </c>
      <c r="V10">
        <v>2040</v>
      </c>
      <c r="W10" t="str">
        <v>36001-RIERA CONDAL, JOSEP</v>
      </c>
    </row>
    <row r="11" spans="1:23" x14ac:dyDescent="0.25">
      <c r="A11" t="str">
        <v>2025-10-11</v>
      </c>
      <c r="B11" t="str">
        <v>36233-EXPLOTAC RAMADERES CURIA SCP-L:139-N:4-A:A13-POLLO AMARILLO MACHO</v>
      </c>
      <c r="C11" t="str">
        <v>POLLO AMARILLO MACHO</v>
      </c>
      <c r="D11">
        <v>5743</v>
      </c>
      <c r="E11" t="str">
        <v>Broiler Amarillo</v>
      </c>
      <c r="F11">
        <v>44</v>
      </c>
      <c r="G11">
        <v>0</v>
      </c>
      <c r="H11" t="str">
        <v>Abierto</v>
      </c>
      <c r="I11">
        <v>2.8490000000000002</v>
      </c>
      <c r="J11">
        <v>2.8490000000000002</v>
      </c>
      <c r="K11">
        <v>2.8490000000000002</v>
      </c>
      <c r="L11">
        <v>14000</v>
      </c>
      <c r="M11">
        <v>-7947</v>
      </c>
      <c r="N11">
        <v>175</v>
      </c>
      <c r="O11">
        <v>175</v>
      </c>
      <c r="P11">
        <v>6925</v>
      </c>
      <c r="Q11">
        <v>19546.115000000002</v>
      </c>
      <c r="R11">
        <v>0.27553415827796124</v>
      </c>
      <c r="S11">
        <v>11.846130303030304</v>
      </c>
      <c r="T11">
        <v>11.846130303030304</v>
      </c>
      <c r="U11">
        <v>0.27553</v>
      </c>
      <c r="V11">
        <v>1650</v>
      </c>
      <c r="W11" t="str">
        <v>36233-EXPLOTAC RAMADERES CURIA SCP</v>
      </c>
    </row>
    <row r="12" spans="1:23" x14ac:dyDescent="0.25">
      <c r="A12" t="str">
        <v>2025-10-11</v>
      </c>
      <c r="B12" t="str">
        <v>36233-EXPLOTAC RAMADERES CURIA SCP-L:139-N:4-A:A14-POLLO AMARILLO HEMBRAS</v>
      </c>
      <c r="C12" t="str">
        <v>POLLO AMARILLO HEMBRAS</v>
      </c>
      <c r="D12">
        <v>1182</v>
      </c>
      <c r="E12" t="str">
        <v>Broiler Amarillo</v>
      </c>
      <c r="F12">
        <v>44</v>
      </c>
      <c r="G12">
        <v>0</v>
      </c>
      <c r="H12" t="str">
        <v>Abierto</v>
      </c>
      <c r="I12">
        <v>2.694</v>
      </c>
      <c r="J12">
        <v>2.7482099999999998</v>
      </c>
      <c r="K12">
        <v>2.4319999999999999</v>
      </c>
      <c r="L12">
        <v>14000</v>
      </c>
      <c r="M12">
        <v>-12666</v>
      </c>
      <c r="N12">
        <v>107</v>
      </c>
      <c r="O12">
        <v>107</v>
      </c>
      <c r="P12">
        <v>6925</v>
      </c>
      <c r="Q12">
        <v>19546.115000000002</v>
      </c>
      <c r="R12">
        <v>0.27553415827796124</v>
      </c>
      <c r="S12">
        <v>11.846130303030304</v>
      </c>
      <c r="T12">
        <v>11.846130303030304</v>
      </c>
      <c r="U12">
        <v>0.27553</v>
      </c>
      <c r="V12">
        <v>1650</v>
      </c>
      <c r="W12" t="str">
        <v>36233-EXPLOTAC RAMADERES CURIA SCP</v>
      </c>
    </row>
    <row r="13" spans="1:23" x14ac:dyDescent="0.25">
      <c r="A13" t="str">
        <v>2025-10-11</v>
      </c>
      <c r="B13" t="str">
        <v>36001-RIERA CONDAL, JOSEP-L:031-N:1-A:A14-POLLO AMARILLO HEMBRAS</v>
      </c>
      <c r="C13" t="str">
        <v>POLLO AMARILLO HEMBRAS</v>
      </c>
      <c r="D13">
        <v>3348</v>
      </c>
      <c r="E13" t="str">
        <v>Broiler Amarillo</v>
      </c>
      <c r="F13">
        <v>40</v>
      </c>
      <c r="G13">
        <v>0</v>
      </c>
      <c r="H13" t="str">
        <v>Abierto</v>
      </c>
      <c r="I13">
        <v>2.6160000000000001</v>
      </c>
      <c r="J13">
        <v>2.6865299999999999</v>
      </c>
      <c r="K13">
        <v>2.1579999999999999</v>
      </c>
      <c r="L13">
        <v>18000</v>
      </c>
      <c r="M13">
        <v>-13997</v>
      </c>
      <c r="N13">
        <v>622</v>
      </c>
      <c r="O13">
        <v>622</v>
      </c>
      <c r="P13">
        <v>20711</v>
      </c>
      <c r="Q13">
        <v>58486</v>
      </c>
      <c r="R13">
        <v>0.6295136778115501</v>
      </c>
      <c r="S13">
        <v>28.669607843137253</v>
      </c>
      <c r="T13">
        <v>28.669607843137253</v>
      </c>
      <c r="U13">
        <v>0.62951000000000001</v>
      </c>
      <c r="V13">
        <v>2040</v>
      </c>
      <c r="W13" t="str">
        <v>36001-RIERA CONDAL, JOSEP</v>
      </c>
    </row>
    <row r="14" spans="1:23" x14ac:dyDescent="0.25">
      <c r="A14" t="str">
        <v>2025-10-11</v>
      </c>
      <c r="B14" t="str">
        <v>36865-LA TORRETA PECUARIA SLU-L:074-N:6-A:A13-POLLO AMARILLO MACHO</v>
      </c>
      <c r="C14" t="str">
        <v>POLLO AMARILLO MACHO</v>
      </c>
      <c r="D14">
        <v>8378</v>
      </c>
      <c r="E14" t="str">
        <v>Broiler Amarillo</v>
      </c>
      <c r="F14">
        <v>36</v>
      </c>
      <c r="G14">
        <v>0</v>
      </c>
      <c r="H14" t="str">
        <v>Abierto</v>
      </c>
      <c r="I14">
        <v>2.33</v>
      </c>
      <c r="J14">
        <v>2.33</v>
      </c>
      <c r="K14">
        <v>2.1360000000000001</v>
      </c>
      <c r="L14">
        <v>16700</v>
      </c>
      <c r="M14">
        <v>-8069</v>
      </c>
      <c r="N14">
        <v>250</v>
      </c>
      <c r="O14">
        <v>570</v>
      </c>
      <c r="P14">
        <v>24825</v>
      </c>
      <c r="Q14">
        <v>54388.38</v>
      </c>
      <c r="R14">
        <v>0.7538489569099025</v>
      </c>
      <c r="S14">
        <v>30.215766666666667</v>
      </c>
      <c r="T14">
        <v>30.215766666666667</v>
      </c>
      <c r="U14">
        <v>0.75385000000000002</v>
      </c>
      <c r="V14">
        <v>1800</v>
      </c>
      <c r="W14" t="str">
        <v>36865-LA TORRETA PECUARIA SLU</v>
      </c>
    </row>
    <row r="15" spans="1:23" x14ac:dyDescent="0.25">
      <c r="A15" t="str">
        <v>2025-10-11</v>
      </c>
      <c r="B15" t="str">
        <v>36865-LA TORRETA PECUARIA SLU-L:074-N:5-A:A13-POLLO AMARILLO MACHO</v>
      </c>
      <c r="C15" t="str">
        <v>POLLO AMARILLO MACHO</v>
      </c>
      <c r="D15">
        <v>8442</v>
      </c>
      <c r="E15" t="str">
        <v>Broiler Amarillo</v>
      </c>
      <c r="F15">
        <v>36</v>
      </c>
      <c r="G15">
        <v>0</v>
      </c>
      <c r="H15" t="str">
        <v>Abierto</v>
      </c>
      <c r="I15">
        <v>2.31</v>
      </c>
      <c r="J15">
        <v>2.31</v>
      </c>
      <c r="K15">
        <v>2.1360000000000001</v>
      </c>
      <c r="L15">
        <v>16700</v>
      </c>
      <c r="M15">
        <v>-7925</v>
      </c>
      <c r="N15">
        <v>330</v>
      </c>
      <c r="O15">
        <v>570</v>
      </c>
      <c r="P15">
        <v>17961</v>
      </c>
      <c r="Q15">
        <v>39586.11</v>
      </c>
      <c r="R15">
        <v>0.54541313655825818</v>
      </c>
      <c r="S15">
        <v>21.992283333333333</v>
      </c>
      <c r="T15">
        <v>21.992283333333333</v>
      </c>
      <c r="U15">
        <v>0.54540999999999995</v>
      </c>
      <c r="V15">
        <v>1800</v>
      </c>
      <c r="W15" t="str">
        <v>36865-LA TORRETA PECUARIA SLU</v>
      </c>
    </row>
    <row r="16" spans="1:23" x14ac:dyDescent="0.25">
      <c r="A16" t="str">
        <v>2025-10-11</v>
      </c>
      <c r="B16" t="str">
        <v>36865-LA TORRETA PECUARIA SLU-L:074-N:4-A:A13-POLLO AMARILLO MACHO</v>
      </c>
      <c r="C16" t="str">
        <v>POLLO AMARILLO MACHO</v>
      </c>
      <c r="D16">
        <v>0</v>
      </c>
      <c r="E16" t="str">
        <v>Broiler Amarillo</v>
      </c>
      <c r="F16">
        <v>37</v>
      </c>
      <c r="G16">
        <v>0</v>
      </c>
      <c r="H16" t="str">
        <v>Abierto</v>
      </c>
      <c r="I16">
        <v>2.2400000000000002</v>
      </c>
      <c r="J16">
        <v>2.3209</v>
      </c>
      <c r="K16">
        <v>2.2280000000000002</v>
      </c>
      <c r="L16">
        <v>16300</v>
      </c>
      <c r="M16">
        <v>0</v>
      </c>
      <c r="N16">
        <v>410</v>
      </c>
      <c r="O16">
        <v>410</v>
      </c>
      <c r="P16">
        <v>15975</v>
      </c>
      <c r="Q16">
        <v>31039.424999999999</v>
      </c>
      <c r="R16">
        <v>0.48510522000546596</v>
      </c>
      <c r="S16">
        <v>17.244125</v>
      </c>
      <c r="T16">
        <v>17.244125</v>
      </c>
      <c r="U16">
        <v>0.48510999999999999</v>
      </c>
      <c r="V16">
        <v>1800</v>
      </c>
      <c r="W16" t="str">
        <v>36865-LA TORRETA PECUARIA SLU</v>
      </c>
    </row>
    <row r="17" spans="1:23" x14ac:dyDescent="0.25">
      <c r="A17" t="str">
        <v>2025-10-11</v>
      </c>
      <c r="B17" t="str">
        <v>36865-LA TORRETA PECUARIA SLU-L:074-N:6-A:A14-POLLO AMARILLO HEMBRAS</v>
      </c>
      <c r="C17" t="str">
        <v>POLLO AMARILLO HEMBRAS</v>
      </c>
      <c r="D17">
        <v>16447</v>
      </c>
      <c r="E17" t="str">
        <v>Broiler Amarillo</v>
      </c>
      <c r="F17">
        <v>36</v>
      </c>
      <c r="G17">
        <v>0</v>
      </c>
      <c r="H17" t="str">
        <v>Abierto</v>
      </c>
      <c r="I17">
        <v>2.12</v>
      </c>
      <c r="J17">
        <v>2.12</v>
      </c>
      <c r="K17">
        <v>1.87</v>
      </c>
      <c r="L17">
        <v>16700</v>
      </c>
      <c r="M17">
        <v>0</v>
      </c>
      <c r="N17">
        <v>250</v>
      </c>
      <c r="O17">
        <v>570</v>
      </c>
      <c r="P17">
        <v>24825</v>
      </c>
      <c r="Q17">
        <v>54388.38</v>
      </c>
      <c r="R17">
        <v>0.7538489569099025</v>
      </c>
      <c r="S17">
        <v>30.215766666666667</v>
      </c>
      <c r="T17">
        <v>30.215766666666667</v>
      </c>
      <c r="U17">
        <v>0.75385000000000002</v>
      </c>
      <c r="V17">
        <v>1800</v>
      </c>
      <c r="W17" t="str">
        <v>36865-LA TORRETA PECUARIA SLU</v>
      </c>
    </row>
    <row r="18" spans="1:23" x14ac:dyDescent="0.25">
      <c r="A18" t="str">
        <v>2025-10-11</v>
      </c>
      <c r="B18" t="str">
        <v>36865-LA TORRETA PECUARIA SLU-L:074-N:5-A:A14-POLLO AMARILLO HEMBRAS</v>
      </c>
      <c r="C18" t="str">
        <v>POLLO AMARILLO HEMBRAS</v>
      </c>
      <c r="D18">
        <v>9519</v>
      </c>
      <c r="E18" t="str">
        <v>Broiler Amarillo</v>
      </c>
      <c r="F18">
        <v>36</v>
      </c>
      <c r="G18">
        <v>0</v>
      </c>
      <c r="H18" t="str">
        <v>Abierto</v>
      </c>
      <c r="I18">
        <v>2.11</v>
      </c>
      <c r="J18">
        <v>2.11</v>
      </c>
      <c r="K18">
        <v>1.87</v>
      </c>
      <c r="L18">
        <v>16700</v>
      </c>
      <c r="M18">
        <v>-6858</v>
      </c>
      <c r="N18">
        <v>320</v>
      </c>
      <c r="O18">
        <v>570</v>
      </c>
      <c r="P18">
        <v>17961</v>
      </c>
      <c r="Q18">
        <v>39586.11</v>
      </c>
      <c r="R18">
        <v>0.54541313655825818</v>
      </c>
      <c r="S18">
        <v>21.992283333333333</v>
      </c>
      <c r="T18">
        <v>21.992283333333333</v>
      </c>
      <c r="U18">
        <v>0.54540999999999995</v>
      </c>
      <c r="V18">
        <v>1800</v>
      </c>
      <c r="W18" t="str">
        <v>36865-LA TORRETA PECUARIA SLU</v>
      </c>
    </row>
    <row r="19" spans="1:23" x14ac:dyDescent="0.25">
      <c r="A19" t="str">
        <v>2025-10-11</v>
      </c>
      <c r="B19" t="str">
        <v>36029-CAMÍ DE FLIX - MATEU JOVE LLUIS-2-L:029-N:1-A:A13-POLLO AMARILLO MACHO</v>
      </c>
      <c r="C19" t="str">
        <v>POLLO AMARILLO MACHO</v>
      </c>
      <c r="D19">
        <v>8784</v>
      </c>
      <c r="E19" t="str">
        <v>Broiler Amarillo</v>
      </c>
      <c r="F19">
        <v>32</v>
      </c>
      <c r="G19">
        <v>0</v>
      </c>
      <c r="H19" t="str">
        <v>Abierto</v>
      </c>
      <c r="I19">
        <v>2.0190000000000001</v>
      </c>
      <c r="J19">
        <v>2.0467599999999999</v>
      </c>
      <c r="K19">
        <v>1.772</v>
      </c>
      <c r="L19">
        <v>8800</v>
      </c>
      <c r="M19">
        <v>0</v>
      </c>
      <c r="N19">
        <v>7</v>
      </c>
      <c r="O19">
        <v>7</v>
      </c>
      <c r="P19">
        <v>17392</v>
      </c>
      <c r="Q19">
        <v>33461.712</v>
      </c>
      <c r="R19">
        <v>0.9662222222222222</v>
      </c>
      <c r="S19">
        <v>31.868297142857141</v>
      </c>
      <c r="T19">
        <v>31.868297142857141</v>
      </c>
      <c r="U19">
        <v>0.96621999999999997</v>
      </c>
      <c r="V19">
        <v>1050</v>
      </c>
      <c r="W19" t="str">
        <v>36029-CAMÍ DE FLIX - MATEU JOVE LLUIS-2</v>
      </c>
    </row>
    <row r="20" spans="1:23" x14ac:dyDescent="0.25">
      <c r="A20" t="str">
        <v>2025-10-11</v>
      </c>
      <c r="B20" t="str">
        <v>36015-GJA BAIGET - MATEU JOVE, LLUIS-1-L:030-N:1-A:A13-POLLO AMARILLO MACHO</v>
      </c>
      <c r="C20" t="str">
        <v>POLLO AMARILLO MACHO</v>
      </c>
      <c r="D20">
        <v>9470</v>
      </c>
      <c r="E20" t="str">
        <v>Broiler Amarillo</v>
      </c>
      <c r="F20">
        <v>32</v>
      </c>
      <c r="G20">
        <v>0</v>
      </c>
      <c r="H20" t="str">
        <v>Abierto</v>
      </c>
      <c r="I20">
        <v>2.0181100000000001</v>
      </c>
      <c r="J20">
        <v>2.0312800000000002</v>
      </c>
      <c r="K20">
        <v>1.772</v>
      </c>
      <c r="L20">
        <v>11600</v>
      </c>
      <c r="M20">
        <v>-1924</v>
      </c>
      <c r="N20">
        <v>203</v>
      </c>
      <c r="O20">
        <v>205</v>
      </c>
      <c r="P20">
        <v>14965</v>
      </c>
      <c r="Q20">
        <v>28519.107</v>
      </c>
      <c r="R20">
        <v>0.59860000000000002</v>
      </c>
      <c r="S20">
        <v>20.370790714285715</v>
      </c>
      <c r="T20">
        <v>20.370790714285715</v>
      </c>
      <c r="U20">
        <v>0.59860000000000002</v>
      </c>
      <c r="V20">
        <v>1400</v>
      </c>
      <c r="W20" t="str">
        <v>36015-GJA BAIGET - MATEU JOVE, LLUIS-1</v>
      </c>
    </row>
    <row r="21" spans="1:23" x14ac:dyDescent="0.25">
      <c r="A21" t="str">
        <v>2025-10-11</v>
      </c>
      <c r="B21" t="str">
        <v>36865-LA TORRETA PECUARIA SLU-L:074-N:4-A:A14-POLLO AMARILLO HEMBRAS</v>
      </c>
      <c r="C21" t="str">
        <v>POLLO AMARILLO HEMBRAS</v>
      </c>
      <c r="D21">
        <v>15975</v>
      </c>
      <c r="E21" t="str">
        <v>Broiler Amarillo</v>
      </c>
      <c r="F21">
        <v>37</v>
      </c>
      <c r="G21">
        <v>0</v>
      </c>
      <c r="H21" t="str">
        <v>Abierto</v>
      </c>
      <c r="I21">
        <v>1.9430000000000001</v>
      </c>
      <c r="J21">
        <v>1.9430000000000001</v>
      </c>
      <c r="K21">
        <v>1.9430000000000001</v>
      </c>
      <c r="L21">
        <v>16300</v>
      </c>
      <c r="M21">
        <v>0</v>
      </c>
      <c r="N21">
        <v>325</v>
      </c>
      <c r="O21">
        <v>325</v>
      </c>
      <c r="P21">
        <v>15975</v>
      </c>
      <c r="Q21">
        <v>31039.424999999999</v>
      </c>
      <c r="R21">
        <v>0.48510522000546596</v>
      </c>
      <c r="S21">
        <v>17.244125</v>
      </c>
      <c r="T21">
        <v>17.244125</v>
      </c>
      <c r="U21">
        <v>0.48510999999999999</v>
      </c>
      <c r="V21">
        <v>1800</v>
      </c>
      <c r="W21" t="str">
        <v>36865-LA TORRETA PECUARIA SLU</v>
      </c>
    </row>
    <row r="22" spans="1:23" x14ac:dyDescent="0.25">
      <c r="A22" t="str">
        <v>2025-10-11</v>
      </c>
      <c r="B22" t="str">
        <v>36786-BONFILL SABATE JOAQUIN-L:089-N:2-A:A13-POLLO AMARILLO MACHO</v>
      </c>
      <c r="C22" t="str">
        <v>POLLO AMARILLO MACHO</v>
      </c>
      <c r="D22">
        <v>20893</v>
      </c>
      <c r="E22" t="str">
        <v>Broiler Amarillo</v>
      </c>
      <c r="F22">
        <v>33</v>
      </c>
      <c r="G22">
        <v>0</v>
      </c>
      <c r="H22" t="str">
        <v>Abierto</v>
      </c>
      <c r="I22">
        <v>1.923</v>
      </c>
      <c r="J22">
        <v>1.9372799999999999</v>
      </c>
      <c r="K22">
        <v>1.863</v>
      </c>
      <c r="L22">
        <v>21000</v>
      </c>
      <c r="M22">
        <v>0</v>
      </c>
      <c r="N22">
        <v>87</v>
      </c>
      <c r="O22">
        <v>87</v>
      </c>
      <c r="P22">
        <v>41724</v>
      </c>
      <c r="Q22">
        <v>76485.672000000006</v>
      </c>
      <c r="R22">
        <v>3.3114285714285714</v>
      </c>
      <c r="S22">
        <v>95.131432835820902</v>
      </c>
      <c r="T22">
        <v>95.131432835820902</v>
      </c>
      <c r="U22">
        <v>3.3114300000000001</v>
      </c>
      <c r="V22">
        <v>804</v>
      </c>
      <c r="W22" t="str">
        <v>36786-BONFILL SABATE JOAQUIN</v>
      </c>
    </row>
    <row r="23" spans="1:23" x14ac:dyDescent="0.25">
      <c r="A23" t="str">
        <v>2025-10-11</v>
      </c>
      <c r="B23" t="str">
        <v>36786-BONFILL SABATE JOAQUIN-L:089-N:1-A:A13-POLLO AMARILLO MACHO</v>
      </c>
      <c r="C23" t="str">
        <v>POLLO AMARILLO MACHO</v>
      </c>
      <c r="D23">
        <v>6263</v>
      </c>
      <c r="E23" t="str">
        <v>Broiler Amarillo</v>
      </c>
      <c r="F23">
        <v>33</v>
      </c>
      <c r="G23">
        <v>0</v>
      </c>
      <c r="H23" t="str">
        <v>Abierto</v>
      </c>
      <c r="I23">
        <v>1.9079999999999999</v>
      </c>
      <c r="J23">
        <v>1.9187000000000001</v>
      </c>
      <c r="K23">
        <v>1.863</v>
      </c>
      <c r="L23">
        <v>6500</v>
      </c>
      <c r="M23">
        <v>0</v>
      </c>
      <c r="N23">
        <v>207</v>
      </c>
      <c r="O23">
        <v>207</v>
      </c>
      <c r="P23">
        <v>12556</v>
      </c>
      <c r="Q23">
        <v>22855.573</v>
      </c>
      <c r="R23">
        <v>0.29683215130023638</v>
      </c>
      <c r="S23">
        <v>8.4650270370370375</v>
      </c>
      <c r="T23">
        <v>8.4650270370370375</v>
      </c>
      <c r="U23">
        <v>0.29682999999999998</v>
      </c>
      <c r="V23">
        <v>2700</v>
      </c>
      <c r="W23" t="str">
        <v>36786-BONFILL SABATE JOAQUIN</v>
      </c>
    </row>
    <row r="24" spans="1:23" x14ac:dyDescent="0.25">
      <c r="A24" t="str">
        <v>2025-10-11</v>
      </c>
      <c r="B24" t="str">
        <v>36843-ESPINET SOLE, JOSEP MARIA-L:081-N:1-A:A13-POLLO AMARILLO MACHO</v>
      </c>
      <c r="C24" t="str">
        <v>POLLO AMARILLO MACHO</v>
      </c>
      <c r="D24">
        <v>6753</v>
      </c>
      <c r="E24" t="str">
        <v>Broiler Amarillo</v>
      </c>
      <c r="F24">
        <v>33</v>
      </c>
      <c r="G24">
        <v>0</v>
      </c>
      <c r="H24" t="str">
        <v>Abierto</v>
      </c>
      <c r="I24">
        <v>1.8580000000000001</v>
      </c>
      <c r="J24">
        <v>1.8568199999999999</v>
      </c>
      <c r="K24">
        <v>1.863</v>
      </c>
      <c r="L24">
        <v>7000</v>
      </c>
      <c r="M24">
        <v>0</v>
      </c>
      <c r="N24">
        <v>222</v>
      </c>
      <c r="O24">
        <v>222</v>
      </c>
      <c r="P24">
        <v>13521</v>
      </c>
      <c r="Q24">
        <v>24005.297999999999</v>
      </c>
      <c r="R24">
        <v>1.0000739644970413</v>
      </c>
      <c r="S24">
        <v>26.379448351648353</v>
      </c>
      <c r="T24">
        <v>26.379448351648353</v>
      </c>
      <c r="U24">
        <v>1.00007</v>
      </c>
      <c r="V24">
        <v>910</v>
      </c>
      <c r="W24" t="str">
        <v>36843-ESPINET SOLE, JOSEP MARIA</v>
      </c>
    </row>
    <row r="25" spans="1:23" x14ac:dyDescent="0.25">
      <c r="A25" t="str">
        <v>2025-10-11</v>
      </c>
      <c r="B25" t="str">
        <v>36843-ESPINET SOLE, JOSEP MARIA-L:081-N:4-A:A13-POLLO AMARILLO MACHO</v>
      </c>
      <c r="C25" t="str">
        <v>POLLO AMARILLO MACHO</v>
      </c>
      <c r="D25">
        <v>7229</v>
      </c>
      <c r="E25" t="str">
        <v>Broiler Amarillo</v>
      </c>
      <c r="F25">
        <v>33</v>
      </c>
      <c r="G25">
        <v>0</v>
      </c>
      <c r="H25" t="str">
        <v>Abierto</v>
      </c>
      <c r="I25">
        <v>1.8580000000000001</v>
      </c>
      <c r="J25">
        <v>1.8568199999999999</v>
      </c>
      <c r="K25">
        <v>1.863</v>
      </c>
      <c r="L25">
        <v>7500</v>
      </c>
      <c r="M25">
        <v>0</v>
      </c>
      <c r="N25">
        <v>256</v>
      </c>
      <c r="O25">
        <v>256</v>
      </c>
      <c r="P25">
        <v>10403</v>
      </c>
      <c r="Q25">
        <v>18665.407999999999</v>
      </c>
      <c r="R25">
        <v>0.72494773519163758</v>
      </c>
      <c r="S25">
        <v>19.322368530020704</v>
      </c>
      <c r="T25">
        <v>19.322368530020704</v>
      </c>
      <c r="U25">
        <v>0.72494999999999998</v>
      </c>
      <c r="V25">
        <v>966</v>
      </c>
      <c r="W25" t="str">
        <v>36843-ESPINET SOLE, JOSEP MARIA</v>
      </c>
    </row>
    <row r="26" spans="1:23" x14ac:dyDescent="0.25">
      <c r="A26" t="str">
        <v>2025-10-11</v>
      </c>
      <c r="B26" t="str">
        <v>36843-ESPINET SOLE, JOSEP MARIA-L:081-N:3-A:A13-POLLO AMARILLO MACHO</v>
      </c>
      <c r="C26" t="str">
        <v>POLLO AMARILLO MACHO</v>
      </c>
      <c r="D26">
        <v>6893</v>
      </c>
      <c r="E26" t="str">
        <v>Broiler Amarillo</v>
      </c>
      <c r="F26">
        <v>33</v>
      </c>
      <c r="G26">
        <v>0</v>
      </c>
      <c r="H26" t="str">
        <v>Abierto</v>
      </c>
      <c r="I26">
        <v>1.8580000000000001</v>
      </c>
      <c r="J26">
        <v>1.8568199999999999</v>
      </c>
      <c r="K26">
        <v>1.863</v>
      </c>
      <c r="L26">
        <v>7000</v>
      </c>
      <c r="M26">
        <v>0</v>
      </c>
      <c r="N26">
        <v>87</v>
      </c>
      <c r="O26">
        <v>87</v>
      </c>
      <c r="P26">
        <v>13796</v>
      </c>
      <c r="Q26">
        <v>24355.913</v>
      </c>
      <c r="R26">
        <v>1.0204896811894371</v>
      </c>
      <c r="S26">
        <v>26.764739560439562</v>
      </c>
      <c r="T26">
        <v>26.764739560439562</v>
      </c>
      <c r="U26">
        <v>1.0204899999999999</v>
      </c>
      <c r="V26">
        <v>910</v>
      </c>
      <c r="W26" t="str">
        <v>36843-ESPINET SOLE, JOSEP MARIA</v>
      </c>
    </row>
    <row r="27" spans="1:23" x14ac:dyDescent="0.25">
      <c r="A27" t="str">
        <v>2025-10-11</v>
      </c>
      <c r="B27" t="str">
        <v>36843-ESPINET SOLE, JOSEP MARIA-L:081-N:2-A:A13-POLLO AMARILLO MACHO</v>
      </c>
      <c r="C27" t="str">
        <v>POLLO AMARILLO MACHO</v>
      </c>
      <c r="D27">
        <v>7356</v>
      </c>
      <c r="E27" t="str">
        <v>Broiler Amarillo</v>
      </c>
      <c r="F27">
        <v>33</v>
      </c>
      <c r="G27">
        <v>0</v>
      </c>
      <c r="H27" t="str">
        <v>Abierto</v>
      </c>
      <c r="I27">
        <v>1.8580000000000001</v>
      </c>
      <c r="J27">
        <v>1.8568199999999999</v>
      </c>
      <c r="K27">
        <v>1.863</v>
      </c>
      <c r="L27">
        <v>7500</v>
      </c>
      <c r="M27">
        <v>0</v>
      </c>
      <c r="N27">
        <v>119</v>
      </c>
      <c r="O27">
        <v>119</v>
      </c>
      <c r="P27">
        <v>10723</v>
      </c>
      <c r="Q27">
        <v>19219.631000000001</v>
      </c>
      <c r="R27">
        <v>0.75191080569385038</v>
      </c>
      <c r="S27">
        <v>20.020448958333333</v>
      </c>
      <c r="T27">
        <v>20.020448958333333</v>
      </c>
      <c r="U27">
        <v>0.75190999999999997</v>
      </c>
      <c r="V27">
        <v>960</v>
      </c>
      <c r="W27" t="str">
        <v>36843-ESPINET SOLE, JOSEP MARIA</v>
      </c>
    </row>
    <row r="28" spans="1:23" x14ac:dyDescent="0.25">
      <c r="A28" t="str">
        <v>2025-10-11</v>
      </c>
      <c r="B28" t="str">
        <v>36029-CAMÍ DE FLIX - MATEU JOVE LLUIS-2-L:029-N:1-A:A14-POLLO AMARILLO HEMBRAS</v>
      </c>
      <c r="C28" t="str">
        <v>POLLO AMARILLO HEMBRAS</v>
      </c>
      <c r="D28">
        <v>8608</v>
      </c>
      <c r="E28" t="str">
        <v>Broiler Amarillo</v>
      </c>
      <c r="F28">
        <v>32</v>
      </c>
      <c r="G28">
        <v>0</v>
      </c>
      <c r="H28" t="str">
        <v>Abierto</v>
      </c>
      <c r="I28">
        <v>1.827</v>
      </c>
      <c r="J28">
        <v>1.8528100000000001</v>
      </c>
      <c r="K28">
        <v>1.5760000000000001</v>
      </c>
      <c r="L28">
        <v>8800</v>
      </c>
      <c r="M28">
        <v>0</v>
      </c>
      <c r="N28">
        <v>186</v>
      </c>
      <c r="O28">
        <v>186</v>
      </c>
      <c r="P28">
        <v>17392</v>
      </c>
      <c r="Q28">
        <v>33461.712</v>
      </c>
      <c r="R28">
        <v>0.9662222222222222</v>
      </c>
      <c r="S28">
        <v>31.868297142857141</v>
      </c>
      <c r="T28">
        <v>31.868297142857141</v>
      </c>
      <c r="U28">
        <v>0.96621999999999997</v>
      </c>
      <c r="V28">
        <v>1050</v>
      </c>
      <c r="W28" t="str">
        <v>36029-CAMÍ DE FLIX - MATEU JOVE LLUIS-2</v>
      </c>
    </row>
    <row r="29" spans="1:23" x14ac:dyDescent="0.25">
      <c r="A29" t="str">
        <v>2025-10-11</v>
      </c>
      <c r="B29" t="str">
        <v>36786-BONFILL SABATE JOAQUIN-L:089-N:2-A:A14-POLLO AMARILLO HEMBRAS</v>
      </c>
      <c r="C29" t="str">
        <v>POLLO AMARILLO HEMBRAS</v>
      </c>
      <c r="D29">
        <v>20831</v>
      </c>
      <c r="E29" t="str">
        <v>Broiler Amarillo</v>
      </c>
      <c r="F29">
        <v>33</v>
      </c>
      <c r="G29">
        <v>0</v>
      </c>
      <c r="H29" t="str">
        <v>Abierto</v>
      </c>
      <c r="I29">
        <v>1.7430000000000001</v>
      </c>
      <c r="J29">
        <v>1.7633099999999999</v>
      </c>
      <c r="K29">
        <v>1.649</v>
      </c>
      <c r="L29">
        <v>21000</v>
      </c>
      <c r="M29">
        <v>0</v>
      </c>
      <c r="N29">
        <v>169</v>
      </c>
      <c r="O29">
        <v>169</v>
      </c>
      <c r="P29">
        <v>41724</v>
      </c>
      <c r="Q29">
        <v>76485.672000000006</v>
      </c>
      <c r="R29">
        <v>3.3114285714285714</v>
      </c>
      <c r="S29">
        <v>95.131432835820902</v>
      </c>
      <c r="T29">
        <v>95.131432835820902</v>
      </c>
      <c r="U29">
        <v>3.3114300000000001</v>
      </c>
      <c r="V29">
        <v>804</v>
      </c>
      <c r="W29" t="str">
        <v>36786-BONFILL SABATE JOAQUIN</v>
      </c>
    </row>
    <row r="30" spans="1:23" x14ac:dyDescent="0.25">
      <c r="A30" t="str">
        <v>2025-10-11</v>
      </c>
      <c r="B30" t="str">
        <v>36786-BONFILL SABATE JOAQUIN-L:089-N:1-A:A14-POLLO AMARILLO HEMBRAS</v>
      </c>
      <c r="C30" t="str">
        <v>POLLO AMARILLO HEMBRAS</v>
      </c>
      <c r="D30">
        <v>6293</v>
      </c>
      <c r="E30" t="str">
        <v>Broiler Amarillo</v>
      </c>
      <c r="F30">
        <v>33</v>
      </c>
      <c r="G30">
        <v>0</v>
      </c>
      <c r="H30" t="str">
        <v>Abierto</v>
      </c>
      <c r="I30">
        <v>1.7330000000000001</v>
      </c>
      <c r="J30">
        <v>1.7511399999999999</v>
      </c>
      <c r="K30">
        <v>1.649</v>
      </c>
      <c r="L30">
        <v>6500</v>
      </c>
      <c r="M30">
        <v>0</v>
      </c>
      <c r="N30">
        <v>207</v>
      </c>
      <c r="O30">
        <v>207</v>
      </c>
      <c r="P30">
        <v>12556</v>
      </c>
      <c r="Q30">
        <v>22855.573</v>
      </c>
      <c r="R30">
        <v>0.29683215130023638</v>
      </c>
      <c r="S30">
        <v>8.4650270370370375</v>
      </c>
      <c r="T30">
        <v>8.4650270370370375</v>
      </c>
      <c r="U30">
        <v>0.29682999999999998</v>
      </c>
      <c r="V30">
        <v>2700</v>
      </c>
      <c r="W30" t="str">
        <v>36786-BONFILL SABATE JOAQUIN</v>
      </c>
    </row>
    <row r="31" spans="1:23" x14ac:dyDescent="0.25">
      <c r="A31" t="str">
        <v>2025-10-11</v>
      </c>
      <c r="B31" t="str">
        <v>36015-GJA BAIGET - MATEU JOVE, LLUIS-1-L:030-N:1-A:A14-POLLO AMARILLO HEMBRAS</v>
      </c>
      <c r="C31" t="str">
        <v>POLLO AMARILLO HEMBRAS</v>
      </c>
      <c r="D31">
        <v>5495</v>
      </c>
      <c r="E31" t="str">
        <v>Broiler Amarillo</v>
      </c>
      <c r="F31">
        <v>32</v>
      </c>
      <c r="G31">
        <v>0</v>
      </c>
      <c r="H31" t="str">
        <v>Abierto</v>
      </c>
      <c r="I31">
        <v>1.7120299999999999</v>
      </c>
      <c r="J31">
        <v>1.7187300000000001</v>
      </c>
      <c r="K31">
        <v>1.5760000000000001</v>
      </c>
      <c r="L31">
        <v>11700</v>
      </c>
      <c r="M31">
        <v>-5867</v>
      </c>
      <c r="N31">
        <v>337</v>
      </c>
      <c r="O31">
        <v>341</v>
      </c>
      <c r="P31">
        <v>14965</v>
      </c>
      <c r="Q31">
        <v>28519.107</v>
      </c>
      <c r="R31">
        <v>0.59860000000000002</v>
      </c>
      <c r="S31">
        <v>20.370790714285715</v>
      </c>
      <c r="T31">
        <v>20.370790714285715</v>
      </c>
      <c r="U31">
        <v>0.59860000000000002</v>
      </c>
      <c r="V31">
        <v>1400</v>
      </c>
      <c r="W31" t="str">
        <v>36015-GJA BAIGET - MATEU JOVE, LLUIS-1</v>
      </c>
    </row>
    <row r="32" spans="1:23" x14ac:dyDescent="0.25">
      <c r="A32" t="str">
        <v>2025-10-11</v>
      </c>
      <c r="B32" t="str">
        <v>36843-ESPINET SOLE, JOSEP MARIA-L:081-N:1-A:A14-POLLO AMARILLO HEMBRAS</v>
      </c>
      <c r="C32" t="str">
        <v>POLLO AMARILLO HEMBRAS</v>
      </c>
      <c r="D32">
        <v>6768</v>
      </c>
      <c r="E32" t="str">
        <v>Broiler Amarillo</v>
      </c>
      <c r="F32">
        <v>33</v>
      </c>
      <c r="G32">
        <v>0</v>
      </c>
      <c r="H32" t="str">
        <v>Abierto</v>
      </c>
      <c r="I32">
        <v>1.6930000000000001</v>
      </c>
      <c r="J32">
        <v>1.70251</v>
      </c>
      <c r="K32">
        <v>1.649</v>
      </c>
      <c r="L32">
        <v>7000</v>
      </c>
      <c r="M32">
        <v>0</v>
      </c>
      <c r="N32">
        <v>222</v>
      </c>
      <c r="O32">
        <v>222</v>
      </c>
      <c r="P32">
        <v>13521</v>
      </c>
      <c r="Q32">
        <v>24005.297999999999</v>
      </c>
      <c r="R32">
        <v>1.0000739644970413</v>
      </c>
      <c r="S32">
        <v>26.379448351648353</v>
      </c>
      <c r="T32">
        <v>26.379448351648353</v>
      </c>
      <c r="U32">
        <v>1.00007</v>
      </c>
      <c r="V32">
        <v>910</v>
      </c>
      <c r="W32" t="str">
        <v>36843-ESPINET SOLE, JOSEP MARIA</v>
      </c>
    </row>
    <row r="33" spans="1:23" x14ac:dyDescent="0.25">
      <c r="A33" t="str">
        <v>2025-10-11</v>
      </c>
      <c r="B33" t="str">
        <v>36843-ESPINET SOLE, JOSEP MARIA-L:081-N:3-A:A14-POLLO AMARILLO HEMBRAS</v>
      </c>
      <c r="C33" t="str">
        <v>POLLO AMARILLO HEMBRAS</v>
      </c>
      <c r="D33">
        <v>6903</v>
      </c>
      <c r="E33" t="str">
        <v>Broiler Amarillo</v>
      </c>
      <c r="F33">
        <v>33</v>
      </c>
      <c r="G33">
        <v>0</v>
      </c>
      <c r="H33" t="str">
        <v>Abierto</v>
      </c>
      <c r="I33">
        <v>1.673</v>
      </c>
      <c r="J33">
        <v>1.67818</v>
      </c>
      <c r="K33">
        <v>1.649</v>
      </c>
      <c r="L33">
        <v>7000</v>
      </c>
      <c r="M33">
        <v>0</v>
      </c>
      <c r="N33">
        <v>87</v>
      </c>
      <c r="O33">
        <v>87</v>
      </c>
      <c r="P33">
        <v>13796</v>
      </c>
      <c r="Q33">
        <v>24355.913</v>
      </c>
      <c r="R33">
        <v>1.0204896811894371</v>
      </c>
      <c r="S33">
        <v>26.764739560439562</v>
      </c>
      <c r="T33">
        <v>26.764739560439562</v>
      </c>
      <c r="U33">
        <v>1.0204899999999999</v>
      </c>
      <c r="V33">
        <v>910</v>
      </c>
      <c r="W33" t="str">
        <v>36843-ESPINET SOLE, JOSEP MARIA</v>
      </c>
    </row>
    <row r="34" spans="1:23" x14ac:dyDescent="0.25">
      <c r="A34" t="str">
        <v>2025-10-11</v>
      </c>
      <c r="B34" t="str">
        <v>36990-SOLER SURIOL SCP-2-L:034-N:2-A:A13-POLLO AMARILLO MACHO</v>
      </c>
      <c r="C34" t="str">
        <v>POLLO AMARILLO MACHO</v>
      </c>
      <c r="D34">
        <v>12940</v>
      </c>
      <c r="E34" t="str">
        <v>Broiler Amarillo</v>
      </c>
      <c r="F34">
        <v>29</v>
      </c>
      <c r="G34">
        <v>0</v>
      </c>
      <c r="H34" t="str">
        <v>Abierto</v>
      </c>
      <c r="I34">
        <v>1.6559999999999999</v>
      </c>
      <c r="J34">
        <v>1.68696</v>
      </c>
      <c r="K34">
        <v>1.5049999999999999</v>
      </c>
      <c r="L34">
        <v>13400</v>
      </c>
      <c r="M34">
        <v>0</v>
      </c>
      <c r="N34">
        <v>428</v>
      </c>
      <c r="O34">
        <v>428</v>
      </c>
      <c r="P34">
        <v>25799</v>
      </c>
      <c r="Q34">
        <v>39495.535000000003</v>
      </c>
      <c r="R34">
        <v>0.88808950086058525</v>
      </c>
      <c r="S34">
        <v>26.867710884353741</v>
      </c>
      <c r="T34">
        <v>26.867710884353741</v>
      </c>
      <c r="U34">
        <v>0.88809000000000005</v>
      </c>
      <c r="V34">
        <v>1470</v>
      </c>
      <c r="W34" t="str">
        <v>36990-SOLER SURIOL SCP-2</v>
      </c>
    </row>
    <row r="35" spans="1:23" x14ac:dyDescent="0.25">
      <c r="A35" t="str">
        <v>2025-10-11</v>
      </c>
      <c r="B35" t="str">
        <v>36843-ESPINET SOLE, JOSEP MARIA-L:081-N:2-A:A14-POLLO AMARILLO HEMBRAS</v>
      </c>
      <c r="C35" t="str">
        <v>POLLO AMARILLO HEMBRAS</v>
      </c>
      <c r="D35">
        <v>3367</v>
      </c>
      <c r="E35" t="str">
        <v>Broiler Amarillo</v>
      </c>
      <c r="F35">
        <v>33</v>
      </c>
      <c r="G35">
        <v>0</v>
      </c>
      <c r="H35" t="str">
        <v>Abierto</v>
      </c>
      <c r="I35">
        <v>1.649</v>
      </c>
      <c r="J35">
        <v>1.649</v>
      </c>
      <c r="K35">
        <v>1.649</v>
      </c>
      <c r="L35">
        <v>7500</v>
      </c>
      <c r="M35">
        <v>-4050</v>
      </c>
      <c r="N35">
        <v>68</v>
      </c>
      <c r="O35">
        <v>68</v>
      </c>
      <c r="P35">
        <v>10723</v>
      </c>
      <c r="Q35">
        <v>19219.631000000001</v>
      </c>
      <c r="R35">
        <v>0.75191080569385038</v>
      </c>
      <c r="S35">
        <v>20.020448958333333</v>
      </c>
      <c r="T35">
        <v>20.020448958333333</v>
      </c>
      <c r="U35">
        <v>0.75190999999999997</v>
      </c>
      <c r="V35">
        <v>960</v>
      </c>
      <c r="W35" t="str">
        <v>36843-ESPINET SOLE, JOSEP MARIA</v>
      </c>
    </row>
    <row r="36" spans="1:23" x14ac:dyDescent="0.25">
      <c r="A36" t="str">
        <v>2025-10-11</v>
      </c>
      <c r="B36" t="str">
        <v>36843-ESPINET SOLE, JOSEP MARIA-L:081-N:4-A:A14-POLLO AMARILLO HEMBRAS</v>
      </c>
      <c r="C36" t="str">
        <v>POLLO AMARILLO HEMBRAS</v>
      </c>
      <c r="D36">
        <v>3174</v>
      </c>
      <c r="E36" t="str">
        <v>Broiler Amarillo</v>
      </c>
      <c r="F36">
        <v>33</v>
      </c>
      <c r="G36">
        <v>0</v>
      </c>
      <c r="H36" t="str">
        <v>Abierto</v>
      </c>
      <c r="I36">
        <v>1.649</v>
      </c>
      <c r="J36">
        <v>1.649</v>
      </c>
      <c r="K36">
        <v>1.649</v>
      </c>
      <c r="L36">
        <v>7500</v>
      </c>
      <c r="M36">
        <v>-4050</v>
      </c>
      <c r="N36">
        <v>256</v>
      </c>
      <c r="O36">
        <v>256</v>
      </c>
      <c r="P36">
        <v>10403</v>
      </c>
      <c r="Q36">
        <v>18665.407999999999</v>
      </c>
      <c r="R36">
        <v>0.72494773519163758</v>
      </c>
      <c r="S36">
        <v>19.322368530020704</v>
      </c>
      <c r="T36">
        <v>19.322368530020704</v>
      </c>
      <c r="U36">
        <v>0.72494999999999998</v>
      </c>
      <c r="V36">
        <v>966</v>
      </c>
      <c r="W36" t="str">
        <v>36843-ESPINET SOLE, JOSEP MARIA</v>
      </c>
    </row>
    <row r="37" spans="1:23" x14ac:dyDescent="0.25">
      <c r="A37" t="str">
        <v>2025-10-11</v>
      </c>
      <c r="B37" t="str">
        <v>36990-SOLER SURIOL SCP-2-L:034-N:3-A:A13-POLLO AMARILLO MACHO</v>
      </c>
      <c r="C37" t="str">
        <v>POLLO AMARILLO MACHO</v>
      </c>
      <c r="D37">
        <v>12958</v>
      </c>
      <c r="E37" t="str">
        <v>Broiler Amarillo</v>
      </c>
      <c r="F37">
        <v>29</v>
      </c>
      <c r="G37">
        <v>0</v>
      </c>
      <c r="H37" t="str">
        <v>Abierto</v>
      </c>
      <c r="I37">
        <v>1.6359999999999999</v>
      </c>
      <c r="J37">
        <v>1.6628499999999999</v>
      </c>
      <c r="K37">
        <v>1.5049999999999999</v>
      </c>
      <c r="L37">
        <v>13300</v>
      </c>
      <c r="M37">
        <v>0</v>
      </c>
      <c r="N37">
        <v>326</v>
      </c>
      <c r="O37">
        <v>326</v>
      </c>
      <c r="P37">
        <v>26009</v>
      </c>
      <c r="Q37">
        <v>40841.042999999998</v>
      </c>
      <c r="R37">
        <v>0.89531841652323585</v>
      </c>
      <c r="S37">
        <v>27.78302244897959</v>
      </c>
      <c r="T37">
        <v>27.78302244897959</v>
      </c>
      <c r="U37">
        <v>0.89532</v>
      </c>
      <c r="V37">
        <v>1470</v>
      </c>
      <c r="W37" t="str">
        <v>36990-SOLER SURIOL SCP-2</v>
      </c>
    </row>
    <row r="38" spans="1:23" x14ac:dyDescent="0.25">
      <c r="A38" t="str">
        <v>2025-10-11</v>
      </c>
      <c r="B38" t="str">
        <v>36990-SOLER SURIOL SCP-2-L:034-N:1-A:A13-POLLO AMARILLO MACHO</v>
      </c>
      <c r="C38" t="str">
        <v>POLLO AMARILLO MACHO</v>
      </c>
      <c r="D38">
        <v>6479</v>
      </c>
      <c r="E38" t="str">
        <v>Broiler Amarillo</v>
      </c>
      <c r="F38">
        <v>29</v>
      </c>
      <c r="G38">
        <v>0</v>
      </c>
      <c r="H38" t="str">
        <v>Abierto</v>
      </c>
      <c r="I38">
        <v>1.556</v>
      </c>
      <c r="J38">
        <v>1.5664499999999999</v>
      </c>
      <c r="K38">
        <v>1.5049999999999999</v>
      </c>
      <c r="L38">
        <v>6700</v>
      </c>
      <c r="M38">
        <v>0</v>
      </c>
      <c r="N38">
        <v>205</v>
      </c>
      <c r="O38">
        <v>205</v>
      </c>
      <c r="P38">
        <v>12966</v>
      </c>
      <c r="Q38">
        <v>19455.039000000001</v>
      </c>
      <c r="R38">
        <v>0.93684971098265901</v>
      </c>
      <c r="S38">
        <v>27.792912857142856</v>
      </c>
      <c r="T38">
        <v>27.792912857142856</v>
      </c>
      <c r="U38">
        <v>0.93684999999999996</v>
      </c>
      <c r="V38">
        <v>700</v>
      </c>
      <c r="W38" t="str">
        <v>36990-SOLER SURIOL SCP-2</v>
      </c>
    </row>
    <row r="39" spans="1:23" x14ac:dyDescent="0.25">
      <c r="A39" t="str">
        <v>2025-10-11</v>
      </c>
      <c r="B39" t="str">
        <v>36967-BLAI PONS COLL (Culleré)-L:037-N:3-A:A13-POLLO AMARILLO MACHO</v>
      </c>
      <c r="C39" t="str">
        <v>POLLO AMARILLO MACHO</v>
      </c>
      <c r="D39">
        <v>15039</v>
      </c>
      <c r="E39" t="str">
        <v>Broiler Amarillo</v>
      </c>
      <c r="F39">
        <v>29</v>
      </c>
      <c r="G39">
        <v>0</v>
      </c>
      <c r="H39" t="str">
        <v>Abierto</v>
      </c>
      <c r="I39">
        <v>1.5549999999999999</v>
      </c>
      <c r="J39">
        <v>1.806</v>
      </c>
      <c r="K39">
        <v>1.5049999999999999</v>
      </c>
      <c r="L39">
        <v>15400</v>
      </c>
      <c r="M39">
        <v>0</v>
      </c>
      <c r="N39">
        <v>301</v>
      </c>
      <c r="O39">
        <v>301</v>
      </c>
      <c r="P39">
        <v>30143</v>
      </c>
      <c r="Q39">
        <v>43866.669000000002</v>
      </c>
      <c r="R39">
        <v>0.94196875000000002</v>
      </c>
      <c r="S39">
        <v>24.370371666666667</v>
      </c>
      <c r="T39">
        <v>24.370371666666667</v>
      </c>
      <c r="U39">
        <v>0.94196999999999997</v>
      </c>
      <c r="V39">
        <v>1800</v>
      </c>
      <c r="W39" t="str">
        <v>36967-BLAI PONS COLL (Culleré)</v>
      </c>
    </row>
    <row r="40" spans="1:23" x14ac:dyDescent="0.25">
      <c r="A40" t="str">
        <v>2025-10-11</v>
      </c>
      <c r="B40" t="str">
        <v>36967-BLAI PONS COLL (Culleré)-L:037-N:2-A:A15-POLLO AMARILLO MIXTO</v>
      </c>
      <c r="C40" t="str">
        <v>POLLO AMARILLO MIXTO</v>
      </c>
      <c r="D40">
        <v>21236</v>
      </c>
      <c r="E40" t="str">
        <v>Broiler Amarillo</v>
      </c>
      <c r="F40">
        <v>29</v>
      </c>
      <c r="G40">
        <v>0</v>
      </c>
      <c r="H40" t="str">
        <v>Abierto</v>
      </c>
      <c r="I40">
        <v>1.5149999999999999</v>
      </c>
      <c r="J40">
        <v>1.9875</v>
      </c>
      <c r="K40">
        <v>1.431</v>
      </c>
      <c r="L40">
        <v>22000</v>
      </c>
      <c r="M40">
        <v>0</v>
      </c>
      <c r="N40">
        <v>701</v>
      </c>
      <c r="O40">
        <v>701</v>
      </c>
      <c r="P40">
        <v>21236</v>
      </c>
      <c r="Q40">
        <v>32172.54</v>
      </c>
      <c r="R40">
        <v>1.0618000000000001</v>
      </c>
      <c r="S40">
        <v>26.810449999999999</v>
      </c>
      <c r="T40">
        <v>26.810449999999999</v>
      </c>
      <c r="U40">
        <v>1.0618000000000001</v>
      </c>
      <c r="V40">
        <v>1200</v>
      </c>
      <c r="W40" t="str">
        <v>36967-BLAI PONS COLL (Culleré)</v>
      </c>
    </row>
    <row r="41" spans="1:23" x14ac:dyDescent="0.25">
      <c r="A41" t="str">
        <v>2025-10-11</v>
      </c>
      <c r="B41" t="str">
        <v>36967-BLAI PONS COLL (Culleré)-L:037-N:1-A:A15-POLLO AMARILLO MIXTO</v>
      </c>
      <c r="C41" t="str">
        <v>POLLO AMARILLO MIXTO</v>
      </c>
      <c r="D41">
        <v>21912</v>
      </c>
      <c r="E41" t="str">
        <v>Broiler Amarillo</v>
      </c>
      <c r="F41">
        <v>29</v>
      </c>
      <c r="G41">
        <v>0</v>
      </c>
      <c r="H41" t="str">
        <v>Abierto</v>
      </c>
      <c r="I41">
        <v>1.5149999999999999</v>
      </c>
      <c r="J41">
        <v>1.9875</v>
      </c>
      <c r="K41">
        <v>1.431</v>
      </c>
      <c r="L41">
        <v>22000</v>
      </c>
      <c r="M41">
        <v>0</v>
      </c>
      <c r="N41">
        <v>25</v>
      </c>
      <c r="O41">
        <v>25</v>
      </c>
      <c r="P41">
        <v>21912</v>
      </c>
      <c r="Q41">
        <v>33196.68</v>
      </c>
      <c r="R41">
        <v>1.0955999999999999</v>
      </c>
      <c r="S41">
        <v>27.663900000000002</v>
      </c>
      <c r="T41">
        <v>27.663900000000002</v>
      </c>
      <c r="U41">
        <v>1.0955999999999999</v>
      </c>
      <c r="V41">
        <v>1200</v>
      </c>
      <c r="W41" t="str">
        <v>36967-BLAI PONS COLL (Culleré)</v>
      </c>
    </row>
    <row r="42" spans="1:23" x14ac:dyDescent="0.25">
      <c r="A42" t="str">
        <v>2025-10-11</v>
      </c>
      <c r="B42" t="str">
        <v>36990-SOLER SURIOL SCP-2-L:034-N:3-A:A14-POLLO AMARILLO HEMBRAS</v>
      </c>
      <c r="C42" t="str">
        <v>POLLO AMARILLO HEMBRAS</v>
      </c>
      <c r="D42">
        <v>13051</v>
      </c>
      <c r="E42" t="str">
        <v>Broiler Amarillo</v>
      </c>
      <c r="F42">
        <v>29</v>
      </c>
      <c r="G42">
        <v>0</v>
      </c>
      <c r="H42" t="str">
        <v>Abierto</v>
      </c>
      <c r="I42">
        <v>1.5049999999999999</v>
      </c>
      <c r="J42">
        <v>1.5330699999999999</v>
      </c>
      <c r="K42">
        <v>1.3560000000000001</v>
      </c>
      <c r="L42">
        <v>13400</v>
      </c>
      <c r="M42">
        <v>0</v>
      </c>
      <c r="N42">
        <v>341</v>
      </c>
      <c r="O42">
        <v>341</v>
      </c>
      <c r="P42">
        <v>26009</v>
      </c>
      <c r="Q42">
        <v>40841.042999999998</v>
      </c>
      <c r="R42">
        <v>0.89531841652323585</v>
      </c>
      <c r="S42">
        <v>27.78302244897959</v>
      </c>
      <c r="T42">
        <v>27.78302244897959</v>
      </c>
      <c r="U42">
        <v>0.89532</v>
      </c>
      <c r="V42">
        <v>1470</v>
      </c>
      <c r="W42" t="str">
        <v>36990-SOLER SURIOL SCP-2</v>
      </c>
    </row>
    <row r="43" spans="1:23" x14ac:dyDescent="0.25">
      <c r="A43" t="str">
        <v>2025-10-11</v>
      </c>
      <c r="B43" t="str">
        <v>36990-SOLER SURIOL SCP-2-L:034-N:1-A:A14-POLLO AMARILLO HEMBRAS</v>
      </c>
      <c r="C43" t="str">
        <v>POLLO AMARILLO HEMBRAS</v>
      </c>
      <c r="D43">
        <v>6487</v>
      </c>
      <c r="E43" t="str">
        <v>Broiler Amarillo</v>
      </c>
      <c r="F43">
        <v>29</v>
      </c>
      <c r="G43">
        <v>0</v>
      </c>
      <c r="H43" t="str">
        <v>Abierto</v>
      </c>
      <c r="I43">
        <v>1.4450000000000001</v>
      </c>
      <c r="J43">
        <v>1.4617800000000001</v>
      </c>
      <c r="K43">
        <v>1.3560000000000001</v>
      </c>
      <c r="L43">
        <v>6700</v>
      </c>
      <c r="M43">
        <v>0</v>
      </c>
      <c r="N43">
        <v>205</v>
      </c>
      <c r="O43">
        <v>205</v>
      </c>
      <c r="P43">
        <v>12966</v>
      </c>
      <c r="Q43">
        <v>19455.039000000001</v>
      </c>
      <c r="R43">
        <v>0.93684971098265901</v>
      </c>
      <c r="S43">
        <v>27.792912857142856</v>
      </c>
      <c r="T43">
        <v>27.792912857142856</v>
      </c>
      <c r="U43">
        <v>0.93684999999999996</v>
      </c>
      <c r="V43">
        <v>700</v>
      </c>
      <c r="W43" t="str">
        <v>36990-SOLER SURIOL SCP-2</v>
      </c>
    </row>
    <row r="44" spans="1:23" x14ac:dyDescent="0.25">
      <c r="A44" t="str">
        <v>2025-10-11</v>
      </c>
      <c r="B44" t="str">
        <v>36990-SOLER SURIOL SCP-2-L:034-N:2-A:A14-POLLO AMARILLO HEMBRAS</v>
      </c>
      <c r="C44" t="str">
        <v>POLLO AMARILLO HEMBRAS</v>
      </c>
      <c r="D44">
        <v>12859</v>
      </c>
      <c r="E44" t="str">
        <v>Broiler Amarillo</v>
      </c>
      <c r="F44">
        <v>29</v>
      </c>
      <c r="G44">
        <v>0</v>
      </c>
      <c r="H44" t="str">
        <v>Abierto</v>
      </c>
      <c r="I44">
        <v>1.405</v>
      </c>
      <c r="J44">
        <v>1.4142300000000001</v>
      </c>
      <c r="K44">
        <v>1.3560000000000001</v>
      </c>
      <c r="L44">
        <v>13300</v>
      </c>
      <c r="M44">
        <v>0</v>
      </c>
      <c r="N44">
        <v>425</v>
      </c>
      <c r="O44">
        <v>425</v>
      </c>
      <c r="P44">
        <v>25799</v>
      </c>
      <c r="Q44">
        <v>39495.535000000003</v>
      </c>
      <c r="R44">
        <v>0.88808950086058525</v>
      </c>
      <c r="S44">
        <v>26.867710884353741</v>
      </c>
      <c r="T44">
        <v>26.867710884353741</v>
      </c>
      <c r="U44">
        <v>0.88809000000000005</v>
      </c>
      <c r="V44">
        <v>1470</v>
      </c>
      <c r="W44" t="str">
        <v>36990-SOLER SURIOL SCP-2</v>
      </c>
    </row>
    <row r="45" spans="1:23" x14ac:dyDescent="0.25">
      <c r="A45" t="str">
        <v>2025-10-11</v>
      </c>
      <c r="B45" t="str">
        <v>36736-RIBELLES SEGURA SCP-L:117-N:2-A:A13-POLLO AMARILLO MACHO</v>
      </c>
      <c r="C45" t="str">
        <v>POLLO AMARILLO MACHO</v>
      </c>
      <c r="D45">
        <v>10169</v>
      </c>
      <c r="E45" t="str">
        <v>Broiler Amarillo</v>
      </c>
      <c r="F45">
        <v>25</v>
      </c>
      <c r="G45">
        <v>0</v>
      </c>
      <c r="H45" t="str">
        <v>Abierto</v>
      </c>
      <c r="I45">
        <v>1.3839999999999999</v>
      </c>
      <c r="J45">
        <v>1.4384300000000001</v>
      </c>
      <c r="K45">
        <v>1.167</v>
      </c>
      <c r="L45">
        <v>10500</v>
      </c>
      <c r="M45">
        <v>0</v>
      </c>
      <c r="N45">
        <v>319</v>
      </c>
      <c r="O45">
        <v>319</v>
      </c>
      <c r="P45">
        <v>20239</v>
      </c>
      <c r="Q45">
        <v>26188.106</v>
      </c>
      <c r="R45">
        <v>0.89951111111111115</v>
      </c>
      <c r="S45">
        <v>20.702060079051382</v>
      </c>
      <c r="T45">
        <v>20.702060079051382</v>
      </c>
      <c r="U45">
        <v>0.89951000000000003</v>
      </c>
      <c r="V45">
        <v>1265</v>
      </c>
      <c r="W45" t="str">
        <v>36736-RIBELLES SEGURA SCP</v>
      </c>
    </row>
    <row r="46" spans="1:23" x14ac:dyDescent="0.25">
      <c r="A46" t="str">
        <v>2025-10-11</v>
      </c>
      <c r="B46" t="str">
        <v>36967-BLAI PONS COLL (Culleré)-L:037-N:3-A:A14-POLLO AMARILLO HEMBRAS</v>
      </c>
      <c r="C46" t="str">
        <v>POLLO AMARILLO HEMBRAS</v>
      </c>
      <c r="D46">
        <v>15104</v>
      </c>
      <c r="E46" t="str">
        <v>Broiler Amarillo</v>
      </c>
      <c r="F46">
        <v>29</v>
      </c>
      <c r="G46">
        <v>0</v>
      </c>
      <c r="H46" t="str">
        <v>Abierto</v>
      </c>
      <c r="I46">
        <v>1.3560000000000001</v>
      </c>
      <c r="J46">
        <v>1.3560000000000001</v>
      </c>
      <c r="K46">
        <v>1.3560000000000001</v>
      </c>
      <c r="L46">
        <v>15400</v>
      </c>
      <c r="M46">
        <v>0</v>
      </c>
      <c r="N46">
        <v>296</v>
      </c>
      <c r="O46">
        <v>296</v>
      </c>
      <c r="P46">
        <v>30143</v>
      </c>
      <c r="Q46">
        <v>43866.669000000002</v>
      </c>
      <c r="R46">
        <v>0.94196875000000002</v>
      </c>
      <c r="S46">
        <v>24.370371666666667</v>
      </c>
      <c r="T46">
        <v>24.370371666666667</v>
      </c>
      <c r="U46">
        <v>0.94196999999999997</v>
      </c>
      <c r="V46">
        <v>1800</v>
      </c>
      <c r="W46" t="str">
        <v>36967-BLAI PONS COLL (Culleré)</v>
      </c>
    </row>
    <row r="47" spans="1:23" x14ac:dyDescent="0.25">
      <c r="A47" t="str">
        <v>2025-10-11</v>
      </c>
      <c r="B47" t="str">
        <v>36016-SANFELIU IBAÑEZ EUGENI-L:030-N:2-A:A15-POLLO AMARILLO MIXTO</v>
      </c>
      <c r="C47" t="str">
        <v>POLLO AMARILLO MIXTO</v>
      </c>
      <c r="D47">
        <v>29062</v>
      </c>
      <c r="E47" t="str">
        <v>Broiler Amarillo</v>
      </c>
      <c r="F47">
        <v>26</v>
      </c>
      <c r="G47">
        <v>0</v>
      </c>
      <c r="H47" t="str">
        <v>Abierto</v>
      </c>
      <c r="I47">
        <v>1.3440000000000001</v>
      </c>
      <c r="J47">
        <v>1.39262</v>
      </c>
      <c r="K47">
        <v>1.1950000000000001</v>
      </c>
      <c r="L47">
        <v>30000</v>
      </c>
      <c r="M47">
        <v>0</v>
      </c>
      <c r="N47">
        <v>923</v>
      </c>
      <c r="O47">
        <v>923</v>
      </c>
      <c r="P47">
        <v>29062</v>
      </c>
      <c r="Q47">
        <v>39059.328000000001</v>
      </c>
      <c r="R47">
        <v>1.0568</v>
      </c>
      <c r="S47">
        <v>24.41208</v>
      </c>
      <c r="T47">
        <v>24.41208</v>
      </c>
      <c r="U47">
        <v>1.0568</v>
      </c>
      <c r="V47">
        <v>1600</v>
      </c>
      <c r="W47" t="str">
        <v>36016-SANFELIU IBAÑEZ EUGENI</v>
      </c>
    </row>
    <row r="48" spans="1:23" x14ac:dyDescent="0.25">
      <c r="A48" t="str">
        <v>2025-10-11</v>
      </c>
      <c r="B48" t="str">
        <v>36387-AGROPECUARIA SAUS-L:090-N:3-A:A13-POLLO AMARILLO MACHO</v>
      </c>
      <c r="C48" t="str">
        <v>POLLO AMARILLO MACHO</v>
      </c>
      <c r="D48">
        <v>8895</v>
      </c>
      <c r="E48" t="str">
        <v>Broiler Amarillo</v>
      </c>
      <c r="F48">
        <v>26</v>
      </c>
      <c r="G48">
        <v>0</v>
      </c>
      <c r="H48" t="str">
        <v>Abierto</v>
      </c>
      <c r="I48">
        <v>1.34</v>
      </c>
      <c r="J48">
        <v>1.3616600000000001</v>
      </c>
      <c r="K48">
        <v>1.2490000000000001</v>
      </c>
      <c r="L48">
        <v>9100</v>
      </c>
      <c r="M48">
        <v>0</v>
      </c>
      <c r="N48">
        <v>200</v>
      </c>
      <c r="O48">
        <v>276</v>
      </c>
      <c r="P48">
        <v>17776</v>
      </c>
      <c r="Q48">
        <v>22629.786</v>
      </c>
      <c r="R48">
        <v>0.9666122892876563</v>
      </c>
      <c r="S48">
        <v>17.960147619047618</v>
      </c>
      <c r="T48">
        <v>17.960147619047618</v>
      </c>
      <c r="U48">
        <v>0.96660999999999997</v>
      </c>
      <c r="V48">
        <v>1260</v>
      </c>
      <c r="W48" t="str">
        <v>36387-AGROPECUARIA SAUS</v>
      </c>
    </row>
    <row r="49" spans="1:23" x14ac:dyDescent="0.25">
      <c r="A49" t="str">
        <v>2025-10-11</v>
      </c>
      <c r="B49" t="str">
        <v>36387-AGROPECUARIA SAUS-L:090-N:4-A:A13-POLLO AMARILLO MACHO</v>
      </c>
      <c r="C49" t="str">
        <v>POLLO AMARILLO MACHO</v>
      </c>
      <c r="D49">
        <v>9042</v>
      </c>
      <c r="E49" t="str">
        <v>Broiler Amarillo</v>
      </c>
      <c r="F49">
        <v>26</v>
      </c>
      <c r="G49">
        <v>0</v>
      </c>
      <c r="H49" t="str">
        <v>Abierto</v>
      </c>
      <c r="I49">
        <v>1.34</v>
      </c>
      <c r="J49">
        <v>1.3616600000000001</v>
      </c>
      <c r="K49">
        <v>1.2490000000000001</v>
      </c>
      <c r="L49">
        <v>9200</v>
      </c>
      <c r="M49">
        <v>0</v>
      </c>
      <c r="N49">
        <v>150</v>
      </c>
      <c r="O49">
        <v>280</v>
      </c>
      <c r="P49">
        <v>17929</v>
      </c>
      <c r="Q49">
        <v>22834.002</v>
      </c>
      <c r="R49">
        <v>0.97493202827623704</v>
      </c>
      <c r="S49">
        <v>18.12222380952381</v>
      </c>
      <c r="T49">
        <v>18.12222380952381</v>
      </c>
      <c r="U49">
        <v>0.97492999999999996</v>
      </c>
      <c r="V49">
        <v>1260</v>
      </c>
      <c r="W49" t="str">
        <v>36387-AGROPECUARIA SAUS</v>
      </c>
    </row>
    <row r="50" spans="1:23" x14ac:dyDescent="0.25">
      <c r="A50" t="str">
        <v>2025-10-11</v>
      </c>
      <c r="B50" t="str">
        <v>36736-RIBELLES SEGURA SCP-L:117-N:1-A:A13-POLLO AMARILLO MACHO</v>
      </c>
      <c r="C50" t="str">
        <v>POLLO AMARILLO MACHO</v>
      </c>
      <c r="D50">
        <v>8034</v>
      </c>
      <c r="E50" t="str">
        <v>Broiler Amarillo</v>
      </c>
      <c r="F50">
        <v>25</v>
      </c>
      <c r="G50">
        <v>0</v>
      </c>
      <c r="H50" t="str">
        <v>Abierto</v>
      </c>
      <c r="I50">
        <v>1.3340000000000001</v>
      </c>
      <c r="J50">
        <v>1.37588</v>
      </c>
      <c r="K50">
        <v>1.167</v>
      </c>
      <c r="L50">
        <v>8300</v>
      </c>
      <c r="M50">
        <v>0</v>
      </c>
      <c r="N50">
        <v>254</v>
      </c>
      <c r="O50">
        <v>254</v>
      </c>
      <c r="P50">
        <v>20247</v>
      </c>
      <c r="Q50">
        <v>25409.595000000001</v>
      </c>
      <c r="R50">
        <v>0.8998666666666667</v>
      </c>
      <c r="S50">
        <v>20.086636363636362</v>
      </c>
      <c r="T50">
        <v>20.086636363636362</v>
      </c>
      <c r="U50">
        <v>0.89986999999999995</v>
      </c>
      <c r="V50">
        <v>1265</v>
      </c>
      <c r="W50" t="str">
        <v>36736-RIBELLES SEGURA SCP</v>
      </c>
    </row>
    <row r="51" spans="1:23" x14ac:dyDescent="0.25">
      <c r="A51" t="str">
        <v>2025-10-11</v>
      </c>
      <c r="B51" t="str">
        <v>36991-PESSARRODONA AVIRAM SL-L:034-N:1-A:A13-POLLO AMARILLO MACHO</v>
      </c>
      <c r="C51" t="str">
        <v>POLLO AMARILLO MACHO</v>
      </c>
      <c r="D51">
        <v>11327</v>
      </c>
      <c r="E51" t="str">
        <v>Broiler Amarillo</v>
      </c>
      <c r="F51">
        <v>25</v>
      </c>
      <c r="G51">
        <v>0</v>
      </c>
      <c r="H51" t="str">
        <v>Abierto</v>
      </c>
      <c r="I51">
        <v>1.319</v>
      </c>
      <c r="J51">
        <v>1.3737600000000001</v>
      </c>
      <c r="K51">
        <v>1.167</v>
      </c>
      <c r="L51">
        <v>11700</v>
      </c>
      <c r="M51">
        <v>0</v>
      </c>
      <c r="N51">
        <v>348</v>
      </c>
      <c r="O51">
        <v>348</v>
      </c>
      <c r="P51">
        <v>22761</v>
      </c>
      <c r="Q51">
        <v>28283.791000000001</v>
      </c>
      <c r="R51">
        <v>1.0287457627118644</v>
      </c>
      <c r="S51">
        <v>20.202707857142858</v>
      </c>
      <c r="T51">
        <v>20.202707857142858</v>
      </c>
      <c r="U51">
        <v>1.0287500000000001</v>
      </c>
      <c r="V51">
        <v>1400</v>
      </c>
      <c r="W51" t="str">
        <v>36991-PESSARRODONA AVIRAM SL</v>
      </c>
    </row>
    <row r="52" spans="1:23" x14ac:dyDescent="0.25">
      <c r="A52" t="str">
        <v>2025-10-11</v>
      </c>
      <c r="B52" t="str">
        <v>36991-PESSARRODONA AVIRAM SL-L:034-N:2-A:A13-POLLO AMARILLO MACHO</v>
      </c>
      <c r="C52" t="str">
        <v>POLLO AMARILLO MACHO</v>
      </c>
      <c r="D52">
        <v>21876</v>
      </c>
      <c r="E52" t="str">
        <v>Broiler Amarillo</v>
      </c>
      <c r="F52">
        <v>25</v>
      </c>
      <c r="G52">
        <v>0</v>
      </c>
      <c r="H52" t="str">
        <v>Abierto</v>
      </c>
      <c r="I52">
        <v>1.3089999999999999</v>
      </c>
      <c r="J52">
        <v>1.3601399999999999</v>
      </c>
      <c r="K52">
        <v>1.167</v>
      </c>
      <c r="L52">
        <v>22600</v>
      </c>
      <c r="M52">
        <v>0</v>
      </c>
      <c r="N52">
        <v>684</v>
      </c>
      <c r="O52">
        <v>684</v>
      </c>
      <c r="P52">
        <v>45224</v>
      </c>
      <c r="Q52">
        <v>55415.839999999997</v>
      </c>
      <c r="R52">
        <v>0.99360650335054379</v>
      </c>
      <c r="S52">
        <v>19.241611111111112</v>
      </c>
      <c r="T52">
        <v>19.241611111111112</v>
      </c>
      <c r="U52">
        <v>0.99360999999999999</v>
      </c>
      <c r="V52">
        <v>2880</v>
      </c>
      <c r="W52" t="str">
        <v>36991-PESSARRODONA AVIRAM SL</v>
      </c>
    </row>
    <row r="53" spans="1:23" x14ac:dyDescent="0.25">
      <c r="A53" t="str">
        <v>2025-10-11</v>
      </c>
      <c r="B53" t="str">
        <v>36016-SANFELIU IBAÑEZ EUGENI-L:030-N:1-A:A15-POLLO AMARILLO MIXTO</v>
      </c>
      <c r="C53" t="str">
        <v>POLLO AMARILLO MIXTO</v>
      </c>
      <c r="D53">
        <v>29062</v>
      </c>
      <c r="E53" t="str">
        <v>Broiler Amarillo</v>
      </c>
      <c r="F53">
        <v>26</v>
      </c>
      <c r="G53">
        <v>0</v>
      </c>
      <c r="H53" t="str">
        <v>Abierto</v>
      </c>
      <c r="I53">
        <v>1.294</v>
      </c>
      <c r="J53">
        <v>1.3263</v>
      </c>
      <c r="K53">
        <v>1.1950000000000001</v>
      </c>
      <c r="L53">
        <v>30000</v>
      </c>
      <c r="M53">
        <v>0</v>
      </c>
      <c r="N53">
        <v>923</v>
      </c>
      <c r="O53">
        <v>923</v>
      </c>
      <c r="P53">
        <v>29062</v>
      </c>
      <c r="Q53">
        <v>37606.228000000003</v>
      </c>
      <c r="R53">
        <v>1.0568</v>
      </c>
      <c r="S53">
        <v>23.21372098765432</v>
      </c>
      <c r="T53">
        <v>23.21372098765432</v>
      </c>
      <c r="U53">
        <v>1.0568</v>
      </c>
      <c r="V53">
        <v>1620</v>
      </c>
      <c r="W53" t="str">
        <v>36016-SANFELIU IBAÑEZ EUGENI</v>
      </c>
    </row>
    <row r="54" spans="1:23" x14ac:dyDescent="0.25">
      <c r="A54" t="str">
        <v>2025-10-11</v>
      </c>
      <c r="B54" t="str">
        <v>36387-AGROPECUARIA SAUS-L:090-N:2-A:A15-POLLO AMARILLO MIXTO</v>
      </c>
      <c r="C54" t="str">
        <v>POLLO AMARILLO MIXTO</v>
      </c>
      <c r="D54">
        <v>18115</v>
      </c>
      <c r="E54" t="str">
        <v>Broiler Amarillo</v>
      </c>
      <c r="F54">
        <v>26</v>
      </c>
      <c r="G54">
        <v>0</v>
      </c>
      <c r="H54" t="str">
        <v>Abierto</v>
      </c>
      <c r="I54">
        <v>1.2529999999999999</v>
      </c>
      <c r="J54">
        <v>1.2663199999999999</v>
      </c>
      <c r="K54">
        <v>1.1950000000000001</v>
      </c>
      <c r="L54">
        <v>19440</v>
      </c>
      <c r="M54">
        <v>0</v>
      </c>
      <c r="N54">
        <v>1320</v>
      </c>
      <c r="O54">
        <v>90</v>
      </c>
      <c r="P54">
        <v>18115</v>
      </c>
      <c r="Q54">
        <v>22698.095000000001</v>
      </c>
      <c r="R54">
        <v>0.9479330193615908</v>
      </c>
      <c r="S54">
        <v>17.326790076335879</v>
      </c>
      <c r="T54">
        <v>17.326790076335879</v>
      </c>
      <c r="U54">
        <v>0.94793000000000005</v>
      </c>
      <c r="V54">
        <v>1310</v>
      </c>
      <c r="W54" t="str">
        <v>36387-AGROPECUARIA SAUS</v>
      </c>
    </row>
    <row r="55" spans="1:23" x14ac:dyDescent="0.25">
      <c r="A55" t="str">
        <v>2025-10-11</v>
      </c>
      <c r="B55" t="str">
        <v>36387-AGROPECUARIA SAUS-L:090-N:1-A:A15-POLLO AMARILLO MIXTO</v>
      </c>
      <c r="C55" t="str">
        <v>POLLO AMARILLO MIXTO</v>
      </c>
      <c r="D55">
        <v>18780</v>
      </c>
      <c r="E55" t="str">
        <v>Broiler Amarillo</v>
      </c>
      <c r="F55">
        <v>26</v>
      </c>
      <c r="G55">
        <v>0</v>
      </c>
      <c r="H55" t="str">
        <v>Abierto</v>
      </c>
      <c r="I55">
        <v>1.2430000000000001</v>
      </c>
      <c r="J55">
        <v>1.2540199999999999</v>
      </c>
      <c r="K55">
        <v>1.1950000000000001</v>
      </c>
      <c r="L55">
        <v>19440</v>
      </c>
      <c r="M55">
        <v>0</v>
      </c>
      <c r="N55">
        <v>650</v>
      </c>
      <c r="O55">
        <v>0</v>
      </c>
      <c r="P55">
        <v>18780</v>
      </c>
      <c r="Q55">
        <v>23343.54</v>
      </c>
      <c r="R55">
        <v>0.98273155416012559</v>
      </c>
      <c r="S55">
        <v>17.819496183206105</v>
      </c>
      <c r="T55">
        <v>17.819496183206105</v>
      </c>
      <c r="U55">
        <v>0.98272999999999999</v>
      </c>
      <c r="V55">
        <v>1310</v>
      </c>
      <c r="W55" t="str">
        <v>36387-AGROPECUARIA SAUS</v>
      </c>
    </row>
    <row r="56" spans="1:23" x14ac:dyDescent="0.25">
      <c r="A56" t="str">
        <v>2025-10-11</v>
      </c>
      <c r="B56" t="str">
        <v>36387-AGROPECUARIA SAUS-L:090-N:4-A:A14-POLLO AMARILLO HEMBRAS</v>
      </c>
      <c r="C56" t="str">
        <v>POLLO AMARILLO HEMBRAS</v>
      </c>
      <c r="D56">
        <v>8887</v>
      </c>
      <c r="E56" t="str">
        <v>Broiler Amarillo</v>
      </c>
      <c r="F56">
        <v>26</v>
      </c>
      <c r="G56">
        <v>0</v>
      </c>
      <c r="H56" t="str">
        <v>Abierto</v>
      </c>
      <c r="I56">
        <v>1.206</v>
      </c>
      <c r="J56">
        <v>1.2203299999999999</v>
      </c>
      <c r="K56">
        <v>1.141</v>
      </c>
      <c r="L56">
        <v>9000</v>
      </c>
      <c r="M56">
        <v>0</v>
      </c>
      <c r="N56">
        <v>110</v>
      </c>
      <c r="O56">
        <v>273</v>
      </c>
      <c r="P56">
        <v>17929</v>
      </c>
      <c r="Q56">
        <v>22834.002</v>
      </c>
      <c r="R56">
        <v>0.97493202827623704</v>
      </c>
      <c r="S56">
        <v>18.12222380952381</v>
      </c>
      <c r="T56">
        <v>18.12222380952381</v>
      </c>
      <c r="U56">
        <v>0.97492999999999996</v>
      </c>
      <c r="V56">
        <v>1260</v>
      </c>
      <c r="W56" t="str">
        <v>36387-AGROPECUARIA SAUS</v>
      </c>
    </row>
    <row r="57" spans="1:23" x14ac:dyDescent="0.25">
      <c r="A57" t="str">
        <v>2025-10-11</v>
      </c>
      <c r="B57" t="str">
        <v>36387-AGROPECUARIA SAUS-L:090-N:3-A:A14-POLLO AMARILLO HEMBRAS</v>
      </c>
      <c r="C57" t="str">
        <v>POLLO AMARILLO HEMBRAS</v>
      </c>
      <c r="D57">
        <v>8881</v>
      </c>
      <c r="E57" t="str">
        <v>Broiler Amarillo</v>
      </c>
      <c r="F57">
        <v>26</v>
      </c>
      <c r="G57">
        <v>0</v>
      </c>
      <c r="H57" t="str">
        <v>Abierto</v>
      </c>
      <c r="I57">
        <v>1.206</v>
      </c>
      <c r="J57">
        <v>1.2203299999999999</v>
      </c>
      <c r="K57">
        <v>1.141</v>
      </c>
      <c r="L57">
        <v>9000</v>
      </c>
      <c r="M57">
        <v>0</v>
      </c>
      <c r="N57">
        <v>115</v>
      </c>
      <c r="O57">
        <v>273</v>
      </c>
      <c r="P57">
        <v>17776</v>
      </c>
      <c r="Q57">
        <v>22629.786</v>
      </c>
      <c r="R57">
        <v>0.9666122892876563</v>
      </c>
      <c r="S57">
        <v>17.960147619047618</v>
      </c>
      <c r="T57">
        <v>17.960147619047618</v>
      </c>
      <c r="U57">
        <v>0.96660999999999997</v>
      </c>
      <c r="V57">
        <v>1260</v>
      </c>
      <c r="W57" t="str">
        <v>36387-AGROPECUARIA SAUS</v>
      </c>
    </row>
    <row r="58" spans="1:23" x14ac:dyDescent="0.25">
      <c r="A58" t="str">
        <v>2025-10-11</v>
      </c>
      <c r="B58" t="str">
        <v>36736-RIBELLES SEGURA SCP-L:117-N:1-A:A14-POLLO AMARILLO HEMBRAS</v>
      </c>
      <c r="C58" t="str">
        <v>POLLO AMARILLO HEMBRAS</v>
      </c>
      <c r="D58">
        <v>12213</v>
      </c>
      <c r="E58" t="str">
        <v>Broiler Amarillo</v>
      </c>
      <c r="F58">
        <v>25</v>
      </c>
      <c r="G58">
        <v>0</v>
      </c>
      <c r="H58" t="str">
        <v>Abierto</v>
      </c>
      <c r="I58">
        <v>1.2030000000000001</v>
      </c>
      <c r="J58">
        <v>1.2336</v>
      </c>
      <c r="K58">
        <v>1.0720000000000001</v>
      </c>
      <c r="L58">
        <v>12600</v>
      </c>
      <c r="M58">
        <v>0</v>
      </c>
      <c r="N58">
        <v>375</v>
      </c>
      <c r="O58">
        <v>375</v>
      </c>
      <c r="P58">
        <v>20247</v>
      </c>
      <c r="Q58">
        <v>25409.595000000001</v>
      </c>
      <c r="R58">
        <v>0.8998666666666667</v>
      </c>
      <c r="S58">
        <v>20.086636363636362</v>
      </c>
      <c r="T58">
        <v>20.086636363636362</v>
      </c>
      <c r="U58">
        <v>0.89986999999999995</v>
      </c>
      <c r="V58">
        <v>1265</v>
      </c>
      <c r="W58" t="str">
        <v>36736-RIBELLES SEGURA SCP</v>
      </c>
    </row>
    <row r="59" spans="1:23" x14ac:dyDescent="0.25">
      <c r="A59" t="str">
        <v>2025-10-11</v>
      </c>
      <c r="B59" t="str">
        <v>36736-RIBELLES SEGURA SCP-L:117-N:2-A:A14-POLLO AMARILLO HEMBRAS</v>
      </c>
      <c r="C59" t="str">
        <v>POLLO AMARILLO HEMBRAS</v>
      </c>
      <c r="D59">
        <v>10070</v>
      </c>
      <c r="E59" t="str">
        <v>Broiler Amarillo</v>
      </c>
      <c r="F59">
        <v>25</v>
      </c>
      <c r="G59">
        <v>0</v>
      </c>
      <c r="H59" t="str">
        <v>Abierto</v>
      </c>
      <c r="I59">
        <v>1.2030000000000001</v>
      </c>
      <c r="J59">
        <v>1.2336</v>
      </c>
      <c r="K59">
        <v>1.0720000000000001</v>
      </c>
      <c r="L59">
        <v>10400</v>
      </c>
      <c r="M59">
        <v>0</v>
      </c>
      <c r="N59">
        <v>318</v>
      </c>
      <c r="O59">
        <v>318</v>
      </c>
      <c r="P59">
        <v>20239</v>
      </c>
      <c r="Q59">
        <v>26188.106</v>
      </c>
      <c r="R59">
        <v>0.89951111111111115</v>
      </c>
      <c r="S59">
        <v>20.702060079051382</v>
      </c>
      <c r="T59">
        <v>20.702060079051382</v>
      </c>
      <c r="U59">
        <v>0.89951000000000003</v>
      </c>
      <c r="V59">
        <v>1265</v>
      </c>
      <c r="W59" t="str">
        <v>36736-RIBELLES SEGURA SCP</v>
      </c>
    </row>
    <row r="60" spans="1:23" x14ac:dyDescent="0.25">
      <c r="A60" t="str">
        <v>2025-10-11</v>
      </c>
      <c r="B60" t="str">
        <v>36526-FARRUS FARRAN ANTONIO-L:148-N:2-A:A15-POLLO AMARILLO MIXTO</v>
      </c>
      <c r="C60" t="str">
        <v>POLLO AMARILLO MIXTO</v>
      </c>
      <c r="D60">
        <v>12033</v>
      </c>
      <c r="E60" t="str">
        <v>Broiler Amarillo</v>
      </c>
      <c r="F60">
        <v>24</v>
      </c>
      <c r="G60">
        <v>0</v>
      </c>
      <c r="H60" t="str">
        <v>Abierto</v>
      </c>
      <c r="I60">
        <v>1.194</v>
      </c>
      <c r="J60">
        <v>1.76586</v>
      </c>
      <c r="K60">
        <v>1.0449999999999999</v>
      </c>
      <c r="L60">
        <v>12500</v>
      </c>
      <c r="M60">
        <v>0</v>
      </c>
      <c r="N60">
        <v>371</v>
      </c>
      <c r="O60">
        <v>371</v>
      </c>
      <c r="P60">
        <v>12033</v>
      </c>
      <c r="Q60">
        <v>14367.402</v>
      </c>
      <c r="R60">
        <v>0.89133333333333331</v>
      </c>
      <c r="S60">
        <v>17.104050000000001</v>
      </c>
      <c r="T60">
        <v>17.104050000000001</v>
      </c>
      <c r="U60">
        <v>0.89132999999999996</v>
      </c>
      <c r="V60">
        <v>840</v>
      </c>
      <c r="W60" t="str">
        <v>36526-FARRUS FARRAN ANTONIO</v>
      </c>
    </row>
    <row r="61" spans="1:23" x14ac:dyDescent="0.25">
      <c r="A61" t="str">
        <v>2025-10-11</v>
      </c>
      <c r="B61" t="str">
        <v>36526-FARRUS FARRAN ANTONIO-L:148-N:1-A:A15-POLLO AMARILLO MIXTO</v>
      </c>
      <c r="C61" t="str">
        <v>POLLO AMARILLO MIXTO</v>
      </c>
      <c r="D61">
        <v>12017</v>
      </c>
      <c r="E61" t="str">
        <v>Broiler Amarillo</v>
      </c>
      <c r="F61">
        <v>24</v>
      </c>
      <c r="G61">
        <v>0</v>
      </c>
      <c r="H61" t="str">
        <v>Abierto</v>
      </c>
      <c r="I61">
        <v>1.194</v>
      </c>
      <c r="J61">
        <v>1.76586</v>
      </c>
      <c r="K61">
        <v>1.0449999999999999</v>
      </c>
      <c r="L61">
        <v>12500</v>
      </c>
      <c r="M61">
        <v>0</v>
      </c>
      <c r="N61">
        <v>371</v>
      </c>
      <c r="O61">
        <v>371</v>
      </c>
      <c r="P61">
        <v>12017</v>
      </c>
      <c r="Q61">
        <v>14348.298000000001</v>
      </c>
      <c r="R61">
        <v>0.89014814814814813</v>
      </c>
      <c r="S61">
        <v>17.081307142857142</v>
      </c>
      <c r="T61">
        <v>17.081307142857142</v>
      </c>
      <c r="U61">
        <v>0.89015</v>
      </c>
      <c r="V61">
        <v>840</v>
      </c>
      <c r="W61" t="str">
        <v>36526-FARRUS FARRAN ANTONIO</v>
      </c>
    </row>
    <row r="62" spans="1:23" x14ac:dyDescent="0.25">
      <c r="A62" t="str">
        <v>2025-10-11</v>
      </c>
      <c r="B62" t="str">
        <v>36991-PESSARRODONA AVIRAM SL-L:034-N:1-A:A14-POLLO AMARILLO HEMBRAS</v>
      </c>
      <c r="C62" t="str">
        <v>POLLO AMARILLO HEMBRAS</v>
      </c>
      <c r="D62">
        <v>11434</v>
      </c>
      <c r="E62" t="str">
        <v>Broiler Amarillo</v>
      </c>
      <c r="F62">
        <v>25</v>
      </c>
      <c r="G62">
        <v>0</v>
      </c>
      <c r="H62" t="str">
        <v>Abierto</v>
      </c>
      <c r="I62">
        <v>1.167</v>
      </c>
      <c r="J62">
        <v>1.1984999999999999</v>
      </c>
      <c r="K62">
        <v>1.0720000000000001</v>
      </c>
      <c r="L62">
        <v>11800</v>
      </c>
      <c r="M62">
        <v>0</v>
      </c>
      <c r="N62">
        <v>356</v>
      </c>
      <c r="O62">
        <v>356</v>
      </c>
      <c r="P62">
        <v>22761</v>
      </c>
      <c r="Q62">
        <v>28283.791000000001</v>
      </c>
      <c r="R62">
        <v>1.0287457627118644</v>
      </c>
      <c r="S62">
        <v>20.202707857142858</v>
      </c>
      <c r="T62">
        <v>20.202707857142858</v>
      </c>
      <c r="U62">
        <v>1.0287500000000001</v>
      </c>
      <c r="V62">
        <v>1400</v>
      </c>
      <c r="W62" t="str">
        <v>36991-PESSARRODONA AVIRAM SL</v>
      </c>
    </row>
    <row r="63" spans="1:23" x14ac:dyDescent="0.25">
      <c r="A63" t="str">
        <v>2025-10-11</v>
      </c>
      <c r="B63" t="str">
        <v>36991-PESSARRODONA AVIRAM SL-L:034-N:2-A:A14-POLLO AMARILLO HEMBRAS</v>
      </c>
      <c r="C63" t="str">
        <v>POLLO AMARILLO HEMBRAS</v>
      </c>
      <c r="D63">
        <v>23348</v>
      </c>
      <c r="E63" t="str">
        <v>Broiler Amarillo</v>
      </c>
      <c r="F63">
        <v>25</v>
      </c>
      <c r="G63">
        <v>0</v>
      </c>
      <c r="H63" t="str">
        <v>Abierto</v>
      </c>
      <c r="I63">
        <v>1.147</v>
      </c>
      <c r="J63">
        <v>1.17188</v>
      </c>
      <c r="K63">
        <v>1.0720000000000001</v>
      </c>
      <c r="L63">
        <v>24000</v>
      </c>
      <c r="M63">
        <v>0</v>
      </c>
      <c r="N63">
        <v>627</v>
      </c>
      <c r="O63">
        <v>627</v>
      </c>
      <c r="P63">
        <v>45224</v>
      </c>
      <c r="Q63">
        <v>55415.839999999997</v>
      </c>
      <c r="R63">
        <v>0.99360650335054379</v>
      </c>
      <c r="S63">
        <v>19.241611111111112</v>
      </c>
      <c r="T63">
        <v>19.241611111111112</v>
      </c>
      <c r="U63">
        <v>0.99360999999999999</v>
      </c>
      <c r="V63">
        <v>2880</v>
      </c>
      <c r="W63" t="str">
        <v>36991-PESSARRODONA AVIRAM SL</v>
      </c>
    </row>
    <row r="64" spans="1:23" x14ac:dyDescent="0.25">
      <c r="A64" t="str">
        <v>2025-10-11</v>
      </c>
      <c r="B64" t="str">
        <v>36527-GEMMARTI-L:050-N:1-A:A15-POLLO AMARILLO MIXTO</v>
      </c>
      <c r="C64" t="str">
        <v>POLLO AMARILLO MIXTO</v>
      </c>
      <c r="D64">
        <v>9070</v>
      </c>
      <c r="E64" t="str">
        <v>Broiler Amarillo</v>
      </c>
      <c r="F64">
        <v>23</v>
      </c>
      <c r="G64">
        <v>0</v>
      </c>
      <c r="H64" t="str">
        <v>Abierto</v>
      </c>
      <c r="I64">
        <v>1.1259999999999999</v>
      </c>
      <c r="J64">
        <v>1.66503</v>
      </c>
      <c r="K64">
        <v>0.97199999999999998</v>
      </c>
      <c r="L64">
        <v>9270</v>
      </c>
      <c r="M64">
        <v>0</v>
      </c>
      <c r="N64">
        <v>80</v>
      </c>
      <c r="O64">
        <v>80</v>
      </c>
      <c r="P64">
        <v>9070</v>
      </c>
      <c r="Q64">
        <v>10212.82</v>
      </c>
      <c r="R64">
        <v>0.8638095238095238</v>
      </c>
      <c r="S64">
        <v>15.712030769230768</v>
      </c>
      <c r="T64">
        <v>15.712030769230768</v>
      </c>
      <c r="U64">
        <v>0.86380999999999997</v>
      </c>
      <c r="V64">
        <v>650</v>
      </c>
      <c r="W64" t="str">
        <v>36527-GEMMARTI</v>
      </c>
    </row>
    <row r="65" spans="1:23" x14ac:dyDescent="0.25">
      <c r="A65" t="str">
        <v>2025-10-11</v>
      </c>
      <c r="B65" t="str">
        <v>36527-GEMMARTI-L:050-N:2-A:A15-POLLO AMARILLO MIXTO</v>
      </c>
      <c r="C65" t="str">
        <v>POLLO AMARILLO MIXTO</v>
      </c>
      <c r="D65">
        <v>8939</v>
      </c>
      <c r="E65" t="str">
        <v>Broiler Amarillo</v>
      </c>
      <c r="F65">
        <v>23</v>
      </c>
      <c r="G65">
        <v>0</v>
      </c>
      <c r="H65" t="str">
        <v>Abierto</v>
      </c>
      <c r="I65">
        <v>1.1259999999999999</v>
      </c>
      <c r="J65">
        <v>1.66503</v>
      </c>
      <c r="K65">
        <v>0.97199999999999998</v>
      </c>
      <c r="L65">
        <v>9270</v>
      </c>
      <c r="M65">
        <v>0</v>
      </c>
      <c r="N65">
        <v>271</v>
      </c>
      <c r="O65">
        <v>271</v>
      </c>
      <c r="P65">
        <v>8939</v>
      </c>
      <c r="Q65">
        <v>10065.314</v>
      </c>
      <c r="R65">
        <v>0.85133333333333339</v>
      </c>
      <c r="S65">
        <v>15.485098461538461</v>
      </c>
      <c r="T65">
        <v>15.485098461538461</v>
      </c>
      <c r="U65">
        <v>0.85133000000000003</v>
      </c>
      <c r="V65">
        <v>650</v>
      </c>
      <c r="W65" t="str">
        <v>36527-GEMMARTI</v>
      </c>
    </row>
    <row r="66" spans="1:23" x14ac:dyDescent="0.25">
      <c r="A66" t="str">
        <v>2025-10-11</v>
      </c>
      <c r="B66" t="str">
        <v>36991-PESSARRODONA AVIRAM SL-L:034-N:3-A:A13-POLLO AMARILLO MACHO</v>
      </c>
      <c r="C66" t="str">
        <v>POLLO AMARILLO MACHO</v>
      </c>
      <c r="D66">
        <v>18643</v>
      </c>
      <c r="E66" t="str">
        <v>Broiler Amarillo</v>
      </c>
      <c r="F66">
        <v>22</v>
      </c>
      <c r="G66">
        <v>0</v>
      </c>
      <c r="H66" t="str">
        <v>Abierto</v>
      </c>
      <c r="I66">
        <v>1.091</v>
      </c>
      <c r="J66">
        <v>1.79006</v>
      </c>
      <c r="K66">
        <v>0.93300000000000005</v>
      </c>
      <c r="L66">
        <v>19000</v>
      </c>
      <c r="M66">
        <v>0</v>
      </c>
      <c r="N66">
        <v>357</v>
      </c>
      <c r="O66">
        <v>357</v>
      </c>
      <c r="P66">
        <v>37213</v>
      </c>
      <c r="Q66">
        <v>39002.362999999998</v>
      </c>
      <c r="R66">
        <v>0.98114849187935038</v>
      </c>
      <c r="S66">
        <v>16.250984583333334</v>
      </c>
      <c r="T66">
        <v>16.250984583333334</v>
      </c>
      <c r="U66">
        <v>0.98114999999999997</v>
      </c>
      <c r="V66">
        <v>2400</v>
      </c>
      <c r="W66" t="str">
        <v>36991-PESSARRODONA AVIRAM SL</v>
      </c>
    </row>
    <row r="67" spans="1:23" x14ac:dyDescent="0.25">
      <c r="A67" t="str">
        <v>2025-10-11</v>
      </c>
      <c r="B67" t="str">
        <v>36991-PESSARRODONA AVIRAM SL-L:034-N:3-A:A14-POLLO AMARILLO HEMBRAS</v>
      </c>
      <c r="C67" t="str">
        <v>POLLO AMARILLO HEMBRAS</v>
      </c>
      <c r="D67">
        <v>18570</v>
      </c>
      <c r="E67" t="str">
        <v>Broiler Amarillo</v>
      </c>
      <c r="F67">
        <v>22</v>
      </c>
      <c r="G67">
        <v>0</v>
      </c>
      <c r="H67" t="str">
        <v>Abierto</v>
      </c>
      <c r="I67">
        <v>1.0049999999999999</v>
      </c>
      <c r="J67">
        <v>1.5601100000000001</v>
      </c>
      <c r="K67">
        <v>0.86899999999999999</v>
      </c>
      <c r="L67">
        <v>19000</v>
      </c>
      <c r="M67">
        <v>0</v>
      </c>
      <c r="N67">
        <v>430</v>
      </c>
      <c r="O67">
        <v>430</v>
      </c>
      <c r="P67">
        <v>37213</v>
      </c>
      <c r="Q67">
        <v>39002.362999999998</v>
      </c>
      <c r="R67">
        <v>0.98114849187935038</v>
      </c>
      <c r="S67">
        <v>16.250984583333334</v>
      </c>
      <c r="T67">
        <v>16.250984583333334</v>
      </c>
      <c r="U67">
        <v>0.98114999999999997</v>
      </c>
      <c r="V67">
        <v>2400</v>
      </c>
      <c r="W67" t="str">
        <v>36991-PESSARRODONA AVIRAM SL</v>
      </c>
    </row>
    <row r="68" spans="1:23" x14ac:dyDescent="0.25">
      <c r="A68" t="str">
        <v>2025-10-11</v>
      </c>
      <c r="B68" t="str">
        <v>36946-TRIBO MUÑOZ CRISTINA - 2-L:040-N:1-A:A13-POLLO AMARILLO MACHO</v>
      </c>
      <c r="C68" t="str">
        <v>POLLO AMARILLO MACHO</v>
      </c>
      <c r="D68">
        <v>4351</v>
      </c>
      <c r="E68" t="str">
        <v>Broiler Amarillo</v>
      </c>
      <c r="F68">
        <v>19</v>
      </c>
      <c r="G68">
        <v>0</v>
      </c>
      <c r="H68" t="str">
        <v>Abierto</v>
      </c>
      <c r="I68">
        <v>0.749</v>
      </c>
      <c r="J68">
        <v>0.80528</v>
      </c>
      <c r="K68">
        <v>0.71899999999999997</v>
      </c>
      <c r="L68">
        <v>4500</v>
      </c>
      <c r="M68">
        <v>0</v>
      </c>
      <c r="N68">
        <v>129</v>
      </c>
      <c r="O68">
        <v>129</v>
      </c>
      <c r="P68">
        <v>8722</v>
      </c>
      <c r="Q68">
        <v>6235.55</v>
      </c>
      <c r="R68">
        <v>1.0261176470588236</v>
      </c>
      <c r="S68">
        <v>10.392583333333333</v>
      </c>
      <c r="T68">
        <v>10.392583333333333</v>
      </c>
      <c r="U68">
        <v>1.0261199999999999</v>
      </c>
      <c r="V68">
        <v>600</v>
      </c>
      <c r="W68" t="str">
        <v>36946-TRIBO MUÑOZ CRISTINA - 2</v>
      </c>
    </row>
    <row r="69" spans="1:23" x14ac:dyDescent="0.25">
      <c r="A69" t="str">
        <v>2025-10-11</v>
      </c>
      <c r="B69" t="str">
        <v>36946-TRIBO MUÑOZ CRISTINA - 2-L:040-N:3-A:A13-POLLO AMARILLO MACHO</v>
      </c>
      <c r="C69" t="str">
        <v>POLLO AMARILLO MACHO</v>
      </c>
      <c r="D69">
        <v>6786</v>
      </c>
      <c r="E69" t="str">
        <v>Broiler Amarillo</v>
      </c>
      <c r="F69">
        <v>19</v>
      </c>
      <c r="G69">
        <v>0</v>
      </c>
      <c r="H69" t="str">
        <v>Abierto</v>
      </c>
      <c r="I69">
        <v>0.73899999999999999</v>
      </c>
      <c r="J69">
        <v>0.77651999999999999</v>
      </c>
      <c r="K69">
        <v>0.71899999999999997</v>
      </c>
      <c r="L69">
        <v>7000</v>
      </c>
      <c r="M69">
        <v>0</v>
      </c>
      <c r="N69">
        <v>194</v>
      </c>
      <c r="O69">
        <v>194</v>
      </c>
      <c r="P69">
        <v>13572</v>
      </c>
      <c r="Q69">
        <v>9724.3379999999997</v>
      </c>
      <c r="R69">
        <v>1.044</v>
      </c>
      <c r="S69">
        <v>10.804819999999999</v>
      </c>
      <c r="T69">
        <v>10.804819999999999</v>
      </c>
      <c r="U69">
        <v>1.044</v>
      </c>
      <c r="V69">
        <v>900</v>
      </c>
      <c r="W69" t="str">
        <v>36946-TRIBO MUÑOZ CRISTINA - 2</v>
      </c>
    </row>
    <row r="70" spans="1:23" x14ac:dyDescent="0.25">
      <c r="A70" t="str">
        <v>2025-10-11</v>
      </c>
      <c r="B70" t="str">
        <v>36946-TRIBO MUÑOZ CRISTINA - 2-L:040-N:2-A:A13-POLLO AMARILLO MACHO</v>
      </c>
      <c r="C70" t="str">
        <v>POLLO AMARILLO MACHO</v>
      </c>
      <c r="D70">
        <v>4371</v>
      </c>
      <c r="E70" t="str">
        <v>Broiler Amarillo</v>
      </c>
      <c r="F70">
        <v>19</v>
      </c>
      <c r="G70">
        <v>0</v>
      </c>
      <c r="H70" t="str">
        <v>Abierto</v>
      </c>
      <c r="I70">
        <v>0.71899999999999997</v>
      </c>
      <c r="J70">
        <v>0.71899999999999997</v>
      </c>
      <c r="K70">
        <v>0.71899999999999997</v>
      </c>
      <c r="L70">
        <v>4500</v>
      </c>
      <c r="M70">
        <v>0</v>
      </c>
      <c r="N70">
        <v>129</v>
      </c>
      <c r="O70">
        <v>129</v>
      </c>
      <c r="P70">
        <v>8712</v>
      </c>
      <c r="Q70">
        <v>6198.8130000000001</v>
      </c>
      <c r="R70">
        <v>1.0249411764705882</v>
      </c>
      <c r="S70">
        <v>10.331355</v>
      </c>
      <c r="T70">
        <v>10.331355</v>
      </c>
      <c r="U70">
        <v>1.02494</v>
      </c>
      <c r="V70">
        <v>600</v>
      </c>
      <c r="W70" t="str">
        <v>36946-TRIBO MUÑOZ CRISTINA - 2</v>
      </c>
    </row>
    <row r="71" spans="1:23" x14ac:dyDescent="0.25">
      <c r="A71" t="str">
        <v>2025-10-11</v>
      </c>
      <c r="B71" t="str">
        <v>36946-TRIBO MUÑOZ CRISTINA - 2-L:040-N:2-A:A14-POLLO AMARILLO HEMBRAS</v>
      </c>
      <c r="C71" t="str">
        <v>POLLO AMARILLO HEMBRAS</v>
      </c>
      <c r="D71">
        <v>4341</v>
      </c>
      <c r="E71" t="str">
        <v>Broiler Amarillo</v>
      </c>
      <c r="F71">
        <v>19</v>
      </c>
      <c r="G71">
        <v>0</v>
      </c>
      <c r="H71" t="str">
        <v>Abierto</v>
      </c>
      <c r="I71">
        <v>0.70399999999999996</v>
      </c>
      <c r="J71">
        <v>0.74439999999999995</v>
      </c>
      <c r="K71">
        <v>0.68100000000000005</v>
      </c>
      <c r="L71">
        <v>4500</v>
      </c>
      <c r="M71">
        <v>0</v>
      </c>
      <c r="N71">
        <v>129</v>
      </c>
      <c r="O71">
        <v>129</v>
      </c>
      <c r="P71">
        <v>8712</v>
      </c>
      <c r="Q71">
        <v>6198.8130000000001</v>
      </c>
      <c r="R71">
        <v>1.0249411764705882</v>
      </c>
      <c r="S71">
        <v>10.331355</v>
      </c>
      <c r="T71">
        <v>10.331355</v>
      </c>
      <c r="U71">
        <v>1.02494</v>
      </c>
      <c r="V71">
        <v>600</v>
      </c>
      <c r="W71" t="str">
        <v>36946-TRIBO MUÑOZ CRISTINA - 2</v>
      </c>
    </row>
    <row r="72" spans="1:23" x14ac:dyDescent="0.25">
      <c r="A72" t="str">
        <v>2025-10-11</v>
      </c>
      <c r="B72" t="str">
        <v>36946-TRIBO MUÑOZ CRISTINA - 2-L:040-N:3-A:A14-POLLO AMARILLO HEMBRAS</v>
      </c>
      <c r="C72" t="str">
        <v>POLLO AMARILLO HEMBRAS</v>
      </c>
      <c r="D72">
        <v>6786</v>
      </c>
      <c r="E72" t="str">
        <v>Broiler Amarillo</v>
      </c>
      <c r="F72">
        <v>19</v>
      </c>
      <c r="G72">
        <v>0</v>
      </c>
      <c r="H72" t="str">
        <v>Abierto</v>
      </c>
      <c r="I72">
        <v>0.69399999999999995</v>
      </c>
      <c r="J72">
        <v>0.71682000000000001</v>
      </c>
      <c r="K72">
        <v>0.68100000000000005</v>
      </c>
      <c r="L72">
        <v>7000</v>
      </c>
      <c r="M72">
        <v>0</v>
      </c>
      <c r="N72">
        <v>194</v>
      </c>
      <c r="O72">
        <v>194</v>
      </c>
      <c r="P72">
        <v>13572</v>
      </c>
      <c r="Q72">
        <v>9724.3379999999997</v>
      </c>
      <c r="R72">
        <v>1.044</v>
      </c>
      <c r="S72">
        <v>10.804819999999999</v>
      </c>
      <c r="T72">
        <v>10.804819999999999</v>
      </c>
      <c r="U72">
        <v>1.044</v>
      </c>
      <c r="V72">
        <v>900</v>
      </c>
      <c r="W72" t="str">
        <v>36946-TRIBO MUÑOZ CRISTINA - 2</v>
      </c>
    </row>
    <row r="73" spans="1:23" x14ac:dyDescent="0.25">
      <c r="A73" t="str">
        <v>2025-10-11</v>
      </c>
      <c r="B73" t="str">
        <v>36946-TRIBO MUÑOZ CRISTINA - 2-L:040-N:1-A:A14-POLLO AMARILLO HEMBRAS</v>
      </c>
      <c r="C73" t="str">
        <v>POLLO AMARILLO HEMBRAS</v>
      </c>
      <c r="D73">
        <v>4371</v>
      </c>
      <c r="E73" t="str">
        <v>Broiler Amarillo</v>
      </c>
      <c r="F73">
        <v>19</v>
      </c>
      <c r="G73">
        <v>0</v>
      </c>
      <c r="H73" t="str">
        <v>Abierto</v>
      </c>
      <c r="I73">
        <v>0.68100000000000005</v>
      </c>
      <c r="J73">
        <v>0.68100000000000005</v>
      </c>
      <c r="K73">
        <v>0.68100000000000005</v>
      </c>
      <c r="L73">
        <v>4500</v>
      </c>
      <c r="M73">
        <v>0</v>
      </c>
      <c r="N73">
        <v>129</v>
      </c>
      <c r="O73">
        <v>129</v>
      </c>
      <c r="P73">
        <v>8722</v>
      </c>
      <c r="Q73">
        <v>6235.55</v>
      </c>
      <c r="R73">
        <v>1.0261176470588236</v>
      </c>
      <c r="S73">
        <v>10.392583333333333</v>
      </c>
      <c r="T73">
        <v>10.392583333333333</v>
      </c>
      <c r="U73">
        <v>1.0261199999999999</v>
      </c>
      <c r="V73">
        <v>600</v>
      </c>
      <c r="W73" t="str">
        <v>36946-TRIBO MUÑOZ CRISTINA - 2</v>
      </c>
    </row>
    <row r="74" spans="1:23" x14ac:dyDescent="0.25">
      <c r="A74" t="str">
        <v>2025-10-11</v>
      </c>
      <c r="B74" t="str">
        <v>36308-CAL CASO SCP-L:147-N:1-A:A13-POLLO AMARILLO MACHO</v>
      </c>
      <c r="C74" t="str">
        <v>POLLO AMARILLO MACHO</v>
      </c>
      <c r="D74">
        <v>5836</v>
      </c>
      <c r="E74" t="str">
        <v>Broiler Amarillo</v>
      </c>
      <c r="F74">
        <v>16</v>
      </c>
      <c r="G74">
        <v>0</v>
      </c>
      <c r="H74" t="str">
        <v>Abierto</v>
      </c>
      <c r="I74">
        <v>0.58199999999999996</v>
      </c>
      <c r="J74">
        <v>0.63839999999999997</v>
      </c>
      <c r="K74">
        <v>0.53200000000000003</v>
      </c>
      <c r="L74">
        <v>5900</v>
      </c>
      <c r="M74">
        <v>0</v>
      </c>
      <c r="N74">
        <v>43</v>
      </c>
      <c r="O74">
        <v>43</v>
      </c>
      <c r="P74">
        <v>11501</v>
      </c>
      <c r="Q74">
        <v>6291.3670000000002</v>
      </c>
      <c r="R74">
        <v>0.92008000000000001</v>
      </c>
      <c r="S74">
        <v>8.4903738191632936</v>
      </c>
      <c r="T74">
        <v>8.4903738191632936</v>
      </c>
      <c r="U74">
        <v>0.92008000000000001</v>
      </c>
      <c r="V74">
        <v>741</v>
      </c>
      <c r="W74" t="str">
        <v>36308-CAL CASO SCP</v>
      </c>
    </row>
    <row r="75" spans="1:23" x14ac:dyDescent="0.25">
      <c r="A75" t="str">
        <v>2025-10-11</v>
      </c>
      <c r="B75" t="str">
        <v>36308-CAL CASO SCP-L:147-N:2-A:A13-POLLO AMARILLO MACHO</v>
      </c>
      <c r="C75" t="str">
        <v>POLLO AMARILLO MACHO</v>
      </c>
      <c r="D75">
        <v>5722</v>
      </c>
      <c r="E75" t="str">
        <v>Broiler Amarillo</v>
      </c>
      <c r="F75">
        <v>16</v>
      </c>
      <c r="G75">
        <v>0</v>
      </c>
      <c r="H75" t="str">
        <v>Abierto</v>
      </c>
      <c r="I75">
        <v>0.58199999999999996</v>
      </c>
      <c r="J75">
        <v>0.63839999999999997</v>
      </c>
      <c r="K75">
        <v>0.53200000000000003</v>
      </c>
      <c r="L75">
        <v>5900</v>
      </c>
      <c r="M75">
        <v>0</v>
      </c>
      <c r="N75">
        <v>157</v>
      </c>
      <c r="O75">
        <v>157</v>
      </c>
      <c r="P75">
        <v>11465</v>
      </c>
      <c r="Q75">
        <v>6264.8770000000004</v>
      </c>
      <c r="R75">
        <v>0.91720000000000002</v>
      </c>
      <c r="S75">
        <v>8.454624831309042</v>
      </c>
      <c r="T75">
        <v>8.454624831309042</v>
      </c>
      <c r="U75">
        <v>0.91720000000000002</v>
      </c>
      <c r="V75">
        <v>741</v>
      </c>
      <c r="W75" t="str">
        <v>36308-CAL CASO SCP</v>
      </c>
    </row>
    <row r="76" spans="1:23" x14ac:dyDescent="0.25">
      <c r="A76" t="str">
        <v>2025-10-11</v>
      </c>
      <c r="B76" t="str">
        <v>36863-GABANDE LOPEZ EVA - 2 (VERNET)-L:075-N:2-A:A13-POLLO AMARILLO MACHO</v>
      </c>
      <c r="C76" t="str">
        <v>POLLO AMARILLO MACHO</v>
      </c>
      <c r="D76">
        <v>5722</v>
      </c>
      <c r="E76" t="str">
        <v>Broiler Amarillo</v>
      </c>
      <c r="F76">
        <v>16</v>
      </c>
      <c r="G76">
        <v>0</v>
      </c>
      <c r="H76" t="str">
        <v>Abierto</v>
      </c>
      <c r="I76">
        <v>0.58199999999999996</v>
      </c>
      <c r="J76">
        <v>0.63839999999999997</v>
      </c>
      <c r="K76">
        <v>0.53200000000000003</v>
      </c>
      <c r="L76">
        <v>5900</v>
      </c>
      <c r="M76">
        <v>0</v>
      </c>
      <c r="N76">
        <v>157</v>
      </c>
      <c r="O76">
        <v>157</v>
      </c>
      <c r="P76">
        <v>11465</v>
      </c>
      <c r="Q76">
        <v>6264.8770000000004</v>
      </c>
      <c r="R76">
        <v>0.97574468085106381</v>
      </c>
      <c r="S76">
        <v>8.0318935897435892</v>
      </c>
      <c r="T76">
        <v>8.0318935897435892</v>
      </c>
      <c r="U76">
        <v>0.97574000000000005</v>
      </c>
      <c r="V76">
        <v>780</v>
      </c>
      <c r="W76" t="str">
        <v>36863-GABANDE LOPEZ EVA - 2 (VERNET)</v>
      </c>
    </row>
    <row r="77" spans="1:23" x14ac:dyDescent="0.25">
      <c r="A77" t="str">
        <v>2025-10-11</v>
      </c>
      <c r="B77" t="str">
        <v>36811-FORCADES PEREZ JOSEP MARIA-L:076-N:5-A:A13-POLLO AMARILLO MACHO</v>
      </c>
      <c r="C77" t="str">
        <v>POLLO AMARILLO MACHO</v>
      </c>
      <c r="D77">
        <v>12662</v>
      </c>
      <c r="E77" t="str">
        <v>Broiler Amarillo</v>
      </c>
      <c r="F77">
        <v>16</v>
      </c>
      <c r="G77">
        <v>0</v>
      </c>
      <c r="H77" t="str">
        <v>Abierto</v>
      </c>
      <c r="I77">
        <v>0.57199999999999995</v>
      </c>
      <c r="J77">
        <v>0.61712</v>
      </c>
      <c r="K77">
        <v>0.53200000000000003</v>
      </c>
      <c r="L77">
        <v>13100</v>
      </c>
      <c r="M77">
        <v>0</v>
      </c>
      <c r="N77">
        <v>354</v>
      </c>
      <c r="O77">
        <v>354</v>
      </c>
      <c r="P77">
        <v>25508</v>
      </c>
      <c r="Q77">
        <v>13806.97</v>
      </c>
      <c r="R77">
        <v>1.0203199999999999</v>
      </c>
      <c r="S77">
        <v>9.4828090659340667</v>
      </c>
      <c r="T77">
        <v>9.4828090659340667</v>
      </c>
      <c r="U77">
        <v>1.0203199999999999</v>
      </c>
      <c r="V77">
        <v>1456</v>
      </c>
      <c r="W77" t="str">
        <v>36811-FORCADES PEREZ JOSEP MARIA</v>
      </c>
    </row>
    <row r="78" spans="1:23" x14ac:dyDescent="0.25">
      <c r="A78" t="str">
        <v>2025-10-11</v>
      </c>
      <c r="B78" t="str">
        <v>36811-FORCADES PEREZ JOSEP MARIA-L:076-N:1-A:A13-POLLO AMARILLO MACHO</v>
      </c>
      <c r="C78" t="str">
        <v>POLLO AMARILLO MACHO</v>
      </c>
      <c r="D78">
        <v>7525</v>
      </c>
      <c r="E78" t="str">
        <v>Broiler Amarillo</v>
      </c>
      <c r="F78">
        <v>16</v>
      </c>
      <c r="G78">
        <v>0</v>
      </c>
      <c r="H78" t="str">
        <v>Abierto</v>
      </c>
      <c r="I78">
        <v>0.56699999999999995</v>
      </c>
      <c r="J78">
        <v>0.60648000000000002</v>
      </c>
      <c r="K78">
        <v>0.53200000000000003</v>
      </c>
      <c r="L78">
        <v>7800</v>
      </c>
      <c r="M78">
        <v>0</v>
      </c>
      <c r="N78">
        <v>212</v>
      </c>
      <c r="O78">
        <v>212</v>
      </c>
      <c r="P78">
        <v>15213</v>
      </c>
      <c r="Q78">
        <v>8195.2430000000004</v>
      </c>
      <c r="R78">
        <v>1.0142</v>
      </c>
      <c r="S78">
        <v>9.5850795321637428</v>
      </c>
      <c r="T78">
        <v>9.5850795321637428</v>
      </c>
      <c r="U78">
        <v>1.0142</v>
      </c>
      <c r="V78">
        <v>855</v>
      </c>
      <c r="W78" t="str">
        <v>36811-FORCADES PEREZ JOSEP MARIA</v>
      </c>
    </row>
    <row r="79" spans="1:23" x14ac:dyDescent="0.25">
      <c r="A79" t="str">
        <v>2025-10-11</v>
      </c>
      <c r="B79" t="str">
        <v>36811-FORCADES PEREZ JOSEP MARIA-L:076-N:4-A:A15-POLLO AMARILLO MIXTO</v>
      </c>
      <c r="C79" t="str">
        <v>POLLO AMARILLO MIXTO</v>
      </c>
      <c r="D79">
        <v>8277</v>
      </c>
      <c r="E79" t="str">
        <v>Broiler Amarillo</v>
      </c>
      <c r="F79">
        <v>16</v>
      </c>
      <c r="G79">
        <v>0</v>
      </c>
      <c r="H79" t="str">
        <v>Abierto</v>
      </c>
      <c r="I79">
        <v>0.55600000000000005</v>
      </c>
      <c r="J79">
        <v>0.59355000000000002</v>
      </c>
      <c r="K79">
        <v>0.52200000000000002</v>
      </c>
      <c r="L79">
        <v>8550</v>
      </c>
      <c r="M79">
        <v>0</v>
      </c>
      <c r="N79">
        <v>231</v>
      </c>
      <c r="O79">
        <v>231</v>
      </c>
      <c r="P79">
        <v>8277</v>
      </c>
      <c r="Q79">
        <v>4602.0119999999997</v>
      </c>
      <c r="R79">
        <v>0.91966666666666663</v>
      </c>
      <c r="S79">
        <v>10.092131578947368</v>
      </c>
      <c r="T79">
        <v>10.092131578947368</v>
      </c>
      <c r="U79">
        <v>0.91966999999999999</v>
      </c>
      <c r="V79">
        <v>456</v>
      </c>
      <c r="W79" t="str">
        <v>36811-FORCADES PEREZ JOSEP MARIA</v>
      </c>
    </row>
    <row r="80" spans="1:23" x14ac:dyDescent="0.25">
      <c r="A80" t="str">
        <v>2025-10-11</v>
      </c>
      <c r="B80" t="str">
        <v>36811-FORCADES PEREZ JOSEP MARIA-L:076-N:3-A:A15-POLLO AMARILLO MIXTO</v>
      </c>
      <c r="C80" t="str">
        <v>POLLO AMARILLO MIXTO</v>
      </c>
      <c r="D80">
        <v>8305</v>
      </c>
      <c r="E80" t="str">
        <v>Broiler Amarillo</v>
      </c>
      <c r="F80">
        <v>16</v>
      </c>
      <c r="G80">
        <v>0</v>
      </c>
      <c r="H80" t="str">
        <v>Abierto</v>
      </c>
      <c r="I80">
        <v>0.55600000000000005</v>
      </c>
      <c r="J80">
        <v>0.59355000000000002</v>
      </c>
      <c r="K80">
        <v>0.52200000000000002</v>
      </c>
      <c r="L80">
        <v>8550</v>
      </c>
      <c r="M80">
        <v>0</v>
      </c>
      <c r="N80">
        <v>231</v>
      </c>
      <c r="O80">
        <v>231</v>
      </c>
      <c r="P80">
        <v>8305</v>
      </c>
      <c r="Q80">
        <v>4617.58</v>
      </c>
      <c r="R80">
        <v>0.92277777777777781</v>
      </c>
      <c r="S80">
        <v>10.126271929824561</v>
      </c>
      <c r="T80">
        <v>10.126271929824561</v>
      </c>
      <c r="U80">
        <v>0.92278000000000004</v>
      </c>
      <c r="V80">
        <v>456</v>
      </c>
      <c r="W80" t="str">
        <v>36811-FORCADES PEREZ JOSEP MARIA</v>
      </c>
    </row>
    <row r="81" spans="1:23" x14ac:dyDescent="0.25">
      <c r="A81" t="str">
        <v>2025-10-11</v>
      </c>
      <c r="B81" t="str">
        <v>36811-FORCADES PEREZ JOSEP MARIA-L:076-N:2-A:A14-POLLO AMARILLO HEMBRAS</v>
      </c>
      <c r="C81" t="str">
        <v>POLLO AMARILLO HEMBRAS</v>
      </c>
      <c r="D81">
        <v>7614</v>
      </c>
      <c r="E81" t="str">
        <v>Broiler Amarillo</v>
      </c>
      <c r="F81">
        <v>16</v>
      </c>
      <c r="G81">
        <v>0</v>
      </c>
      <c r="H81" t="str">
        <v>Abierto</v>
      </c>
      <c r="I81">
        <v>0.54</v>
      </c>
      <c r="J81">
        <v>0.57099999999999995</v>
      </c>
      <c r="K81">
        <v>0.51100000000000001</v>
      </c>
      <c r="L81">
        <v>7800</v>
      </c>
      <c r="M81">
        <v>0</v>
      </c>
      <c r="N81">
        <v>123</v>
      </c>
      <c r="O81">
        <v>123</v>
      </c>
      <c r="P81">
        <v>15318</v>
      </c>
      <c r="Q81">
        <v>8210.0879999999997</v>
      </c>
      <c r="R81">
        <v>1.0212000000000001</v>
      </c>
      <c r="S81">
        <v>9.6024421052631581</v>
      </c>
      <c r="T81">
        <v>9.6024421052631581</v>
      </c>
      <c r="U81">
        <v>1.0212000000000001</v>
      </c>
      <c r="V81">
        <v>855</v>
      </c>
      <c r="W81" t="str">
        <v>36811-FORCADES PEREZ JOSEP MARIA</v>
      </c>
    </row>
    <row r="82" spans="1:23" x14ac:dyDescent="0.25">
      <c r="A82" t="str">
        <v>2025-10-11</v>
      </c>
      <c r="B82" t="str">
        <v>36034-ALCOLEA MARTI, EFREN-L:028-N:2-A:A13-POLLO AMARILLO MACHO</v>
      </c>
      <c r="C82" t="str">
        <v>POLLO AMARILLO MACHO</v>
      </c>
      <c r="D82">
        <v>18435</v>
      </c>
      <c r="E82" t="str">
        <v>Broiler Amarillo</v>
      </c>
      <c r="F82">
        <v>15</v>
      </c>
      <c r="G82">
        <v>0</v>
      </c>
      <c r="H82" t="str">
        <v>Abierto</v>
      </c>
      <c r="I82">
        <v>0.53500000000000003</v>
      </c>
      <c r="J82">
        <v>0.58765999999999996</v>
      </c>
      <c r="K82">
        <v>0.47699999999999998</v>
      </c>
      <c r="L82">
        <v>18800</v>
      </c>
      <c r="M82">
        <v>0</v>
      </c>
      <c r="N82">
        <v>335</v>
      </c>
      <c r="O82">
        <v>335</v>
      </c>
      <c r="P82">
        <v>37119</v>
      </c>
      <c r="Q82">
        <v>19597.089</v>
      </c>
      <c r="R82">
        <v>0.92797499999999999</v>
      </c>
      <c r="S82">
        <v>9.7256024813895774</v>
      </c>
      <c r="T82">
        <v>9.7256024813895774</v>
      </c>
      <c r="U82">
        <v>0.92798000000000003</v>
      </c>
      <c r="V82">
        <v>2015</v>
      </c>
      <c r="W82" t="str">
        <v>36034-ALCOLEA MARTI, EFREN</v>
      </c>
    </row>
    <row r="83" spans="1:23" x14ac:dyDescent="0.25">
      <c r="A83" t="str">
        <v>2025-10-11</v>
      </c>
      <c r="B83" t="str">
        <v>36811-FORCADES PEREZ JOSEP MARIA-L:076-N:2-A:A13-POLLO AMARILLO MACHO</v>
      </c>
      <c r="C83" t="str">
        <v>POLLO AMARILLO MACHO</v>
      </c>
      <c r="D83">
        <v>7704</v>
      </c>
      <c r="E83" t="str">
        <v>Broiler Amarillo</v>
      </c>
      <c r="F83">
        <v>16</v>
      </c>
      <c r="G83">
        <v>0</v>
      </c>
      <c r="H83" t="str">
        <v>Abierto</v>
      </c>
      <c r="I83">
        <v>0.53200000000000003</v>
      </c>
      <c r="J83">
        <v>0.53200000000000003</v>
      </c>
      <c r="K83">
        <v>0.53200000000000003</v>
      </c>
      <c r="L83">
        <v>7800</v>
      </c>
      <c r="M83">
        <v>0</v>
      </c>
      <c r="N83">
        <v>96</v>
      </c>
      <c r="O83">
        <v>96</v>
      </c>
      <c r="P83">
        <v>15318</v>
      </c>
      <c r="Q83">
        <v>8210.0879999999997</v>
      </c>
      <c r="R83">
        <v>1.0212000000000001</v>
      </c>
      <c r="S83">
        <v>9.6024421052631581</v>
      </c>
      <c r="T83">
        <v>9.6024421052631581</v>
      </c>
      <c r="U83">
        <v>1.0212000000000001</v>
      </c>
      <c r="V83">
        <v>855</v>
      </c>
      <c r="W83" t="str">
        <v>36811-FORCADES PEREZ JOSEP MARIA</v>
      </c>
    </row>
    <row r="84" spans="1:23" x14ac:dyDescent="0.25">
      <c r="A84" t="str">
        <v>2025-10-11</v>
      </c>
      <c r="B84" t="str">
        <v>36789-GABANDE LOPEZ EVA-1 (ALENTORN)-L:085-N:1-A:A13-POLLO AMARILLO MACHO</v>
      </c>
      <c r="C84" t="str">
        <v>POLLO AMARILLO MACHO</v>
      </c>
      <c r="D84">
        <v>4164</v>
      </c>
      <c r="E84" t="str">
        <v>Broiler Amarillo</v>
      </c>
      <c r="F84">
        <v>15</v>
      </c>
      <c r="G84">
        <v>0</v>
      </c>
      <c r="H84" t="str">
        <v>Abierto</v>
      </c>
      <c r="I84">
        <v>0.52700000000000002</v>
      </c>
      <c r="J84">
        <v>0.57240000000000002</v>
      </c>
      <c r="K84">
        <v>0.47699999999999998</v>
      </c>
      <c r="L84">
        <v>4300</v>
      </c>
      <c r="M84">
        <v>0</v>
      </c>
      <c r="N84">
        <v>118</v>
      </c>
      <c r="O84">
        <v>118</v>
      </c>
      <c r="P84">
        <v>8446</v>
      </c>
      <c r="Q84">
        <v>4164.1480000000001</v>
      </c>
      <c r="R84">
        <v>1.05575</v>
      </c>
      <c r="S84">
        <v>7.8273458646616545</v>
      </c>
      <c r="T84">
        <v>7.8273458646616545</v>
      </c>
      <c r="U84">
        <v>1.05575</v>
      </c>
      <c r="V84">
        <v>532</v>
      </c>
      <c r="W84" t="str">
        <v>36789-GABANDE LOPEZ EVA-1 (ALENTORN)</v>
      </c>
    </row>
    <row r="85" spans="1:23" x14ac:dyDescent="0.25">
      <c r="A85" t="str">
        <v>2025-10-11</v>
      </c>
      <c r="B85" t="str">
        <v>36034-ALCOLEA MARTI, EFREN-L:028-N:2-A:A14-POLLO AMARILLO HEMBRAS</v>
      </c>
      <c r="C85" t="str">
        <v>POLLO AMARILLO HEMBRAS</v>
      </c>
      <c r="D85">
        <v>18684</v>
      </c>
      <c r="E85" t="str">
        <v>Broiler Amarillo</v>
      </c>
      <c r="F85">
        <v>15</v>
      </c>
      <c r="G85">
        <v>0</v>
      </c>
      <c r="H85" t="str">
        <v>Abierto</v>
      </c>
      <c r="I85">
        <v>0.52100000000000002</v>
      </c>
      <c r="J85">
        <v>0.57360999999999995</v>
      </c>
      <c r="K85">
        <v>0.46</v>
      </c>
      <c r="L85">
        <v>18900</v>
      </c>
      <c r="M85">
        <v>0</v>
      </c>
      <c r="N85">
        <v>186</v>
      </c>
      <c r="O85">
        <v>186</v>
      </c>
      <c r="P85">
        <v>37119</v>
      </c>
      <c r="Q85">
        <v>19597.089</v>
      </c>
      <c r="R85">
        <v>0.92797499999999999</v>
      </c>
      <c r="S85">
        <v>9.7256024813895774</v>
      </c>
      <c r="T85">
        <v>9.7256024813895774</v>
      </c>
      <c r="U85">
        <v>0.92798000000000003</v>
      </c>
      <c r="V85">
        <v>2015</v>
      </c>
      <c r="W85" t="str">
        <v>36034-ALCOLEA MARTI, EFREN</v>
      </c>
    </row>
    <row r="86" spans="1:23" x14ac:dyDescent="0.25">
      <c r="A86" t="str">
        <v>2025-10-11</v>
      </c>
      <c r="B86" t="str">
        <v>36978-CORAL SANTACANA SLU-L:036-N:1-A:A13-POLLO AMARILLO MACHO</v>
      </c>
      <c r="C86" t="str">
        <v>POLLO AMARILLO MACHO</v>
      </c>
      <c r="D86">
        <v>6426</v>
      </c>
      <c r="E86" t="str">
        <v>Broiler Amarillo</v>
      </c>
      <c r="F86">
        <v>15</v>
      </c>
      <c r="G86">
        <v>0</v>
      </c>
      <c r="H86" t="str">
        <v>Abierto</v>
      </c>
      <c r="I86">
        <v>0.52</v>
      </c>
      <c r="J86">
        <v>0.57154000000000005</v>
      </c>
      <c r="K86">
        <v>0.47699999999999998</v>
      </c>
      <c r="L86">
        <v>6600</v>
      </c>
      <c r="M86">
        <v>0</v>
      </c>
      <c r="N86">
        <v>174</v>
      </c>
      <c r="O86">
        <v>174</v>
      </c>
      <c r="P86">
        <v>13043</v>
      </c>
      <c r="Q86">
        <v>6616.9350000000004</v>
      </c>
      <c r="R86">
        <v>1.0409417398244214</v>
      </c>
      <c r="S86">
        <v>9.4527642857142862</v>
      </c>
      <c r="T86">
        <v>9.4527642857142862</v>
      </c>
      <c r="U86">
        <v>1.04094</v>
      </c>
      <c r="V86">
        <v>700</v>
      </c>
      <c r="W86" t="str">
        <v>36978-CORAL SANTACANA SLU</v>
      </c>
    </row>
    <row r="87" spans="1:23" x14ac:dyDescent="0.25">
      <c r="A87" t="str">
        <v>2025-10-11</v>
      </c>
      <c r="B87" t="str">
        <v>36789-GABANDE LOPEZ EVA-1 (ALENTORN)-L:085-N:2-A:A13-POLLO AMARILLO MACHO</v>
      </c>
      <c r="C87" t="str">
        <v>POLLO AMARILLO MACHO</v>
      </c>
      <c r="D87">
        <v>4251</v>
      </c>
      <c r="E87" t="str">
        <v>Broiler Amarillo</v>
      </c>
      <c r="F87">
        <v>15</v>
      </c>
      <c r="G87">
        <v>0</v>
      </c>
      <c r="H87" t="str">
        <v>Abierto</v>
      </c>
      <c r="I87">
        <v>0.51700000000000002</v>
      </c>
      <c r="J87">
        <v>0.55332000000000003</v>
      </c>
      <c r="K87">
        <v>0.47699999999999998</v>
      </c>
      <c r="L87">
        <v>4300</v>
      </c>
      <c r="M87">
        <v>0</v>
      </c>
      <c r="N87">
        <v>31</v>
      </c>
      <c r="O87">
        <v>31</v>
      </c>
      <c r="P87">
        <v>8679</v>
      </c>
      <c r="Q87">
        <v>4234.6469999999999</v>
      </c>
      <c r="R87">
        <v>1.084875</v>
      </c>
      <c r="S87">
        <v>7.9598627819548868</v>
      </c>
      <c r="T87">
        <v>7.9598627819548868</v>
      </c>
      <c r="U87">
        <v>1.0848800000000001</v>
      </c>
      <c r="V87">
        <v>532</v>
      </c>
      <c r="W87" t="str">
        <v>36789-GABANDE LOPEZ EVA-1 (ALENTORN)</v>
      </c>
    </row>
    <row r="88" spans="1:23" x14ac:dyDescent="0.25">
      <c r="A88" t="str">
        <v>2025-10-11</v>
      </c>
      <c r="B88" t="str">
        <v>36863-GABANDE LOPEZ EVA - 2 (VERNET)-L:075-N:1-A:A14-POLLO AMARILLO HEMBRAS</v>
      </c>
      <c r="C88" t="str">
        <v>POLLO AMARILLO HEMBRAS</v>
      </c>
      <c r="D88">
        <v>5743</v>
      </c>
      <c r="E88" t="str">
        <v>Broiler Amarillo</v>
      </c>
      <c r="F88">
        <v>16</v>
      </c>
      <c r="G88">
        <v>0</v>
      </c>
      <c r="H88" t="str">
        <v>Abierto</v>
      </c>
      <c r="I88">
        <v>0.51100000000000001</v>
      </c>
      <c r="J88">
        <v>0.51100000000000001</v>
      </c>
      <c r="K88">
        <v>0.51100000000000001</v>
      </c>
      <c r="L88">
        <v>5900</v>
      </c>
      <c r="M88">
        <v>0</v>
      </c>
      <c r="N88">
        <v>157</v>
      </c>
      <c r="O88">
        <v>157</v>
      </c>
      <c r="P88">
        <v>11471</v>
      </c>
      <c r="Q88">
        <v>5815.857</v>
      </c>
      <c r="R88">
        <v>0.97625531914893615</v>
      </c>
      <c r="S88">
        <v>7.4562269230769234</v>
      </c>
      <c r="T88">
        <v>7.4562269230769234</v>
      </c>
      <c r="U88">
        <v>0.97626000000000002</v>
      </c>
      <c r="V88">
        <v>780</v>
      </c>
      <c r="W88" t="str">
        <v>36863-GABANDE LOPEZ EVA - 2 (VERNET)</v>
      </c>
    </row>
    <row r="89" spans="1:23" x14ac:dyDescent="0.25">
      <c r="A89" t="str">
        <v>2025-10-11</v>
      </c>
      <c r="B89" t="str">
        <v>36863-GABANDE LOPEZ EVA - 2 (VERNET)-L:075-N:2-A:A14-POLLO AMARILLO HEMBRAS</v>
      </c>
      <c r="C89" t="str">
        <v>POLLO AMARILLO HEMBRAS</v>
      </c>
      <c r="D89">
        <v>5743</v>
      </c>
      <c r="E89" t="str">
        <v>Broiler Amarillo</v>
      </c>
      <c r="F89">
        <v>16</v>
      </c>
      <c r="G89">
        <v>0</v>
      </c>
      <c r="H89" t="str">
        <v>Abierto</v>
      </c>
      <c r="I89">
        <v>0.51100000000000001</v>
      </c>
      <c r="J89">
        <v>0.51100000000000001</v>
      </c>
      <c r="K89">
        <v>0.51100000000000001</v>
      </c>
      <c r="L89">
        <v>5900</v>
      </c>
      <c r="M89">
        <v>0</v>
      </c>
      <c r="N89">
        <v>157</v>
      </c>
      <c r="O89">
        <v>157</v>
      </c>
      <c r="P89">
        <v>11465</v>
      </c>
      <c r="Q89">
        <v>6264.8770000000004</v>
      </c>
      <c r="R89">
        <v>0.97574468085106381</v>
      </c>
      <c r="S89">
        <v>8.0318935897435892</v>
      </c>
      <c r="T89">
        <v>8.0318935897435892</v>
      </c>
      <c r="U89">
        <v>0.97574000000000005</v>
      </c>
      <c r="V89">
        <v>780</v>
      </c>
      <c r="W89" t="str">
        <v>36863-GABANDE LOPEZ EVA - 2 (VERNET)</v>
      </c>
    </row>
    <row r="90" spans="1:23" x14ac:dyDescent="0.25">
      <c r="A90" t="str">
        <v>2025-10-11</v>
      </c>
      <c r="B90" t="str">
        <v>36811-FORCADES PEREZ JOSEP MARIA-L:076-N:1-A:A14-POLLO AMARILLO HEMBRAS</v>
      </c>
      <c r="C90" t="str">
        <v>POLLO AMARILLO HEMBRAS</v>
      </c>
      <c r="D90">
        <v>7688</v>
      </c>
      <c r="E90" t="str">
        <v>Broiler Amarillo</v>
      </c>
      <c r="F90">
        <v>16</v>
      </c>
      <c r="G90">
        <v>0</v>
      </c>
      <c r="H90" t="str">
        <v>Abierto</v>
      </c>
      <c r="I90">
        <v>0.51100000000000001</v>
      </c>
      <c r="J90">
        <v>0.51100000000000001</v>
      </c>
      <c r="K90">
        <v>0.51100000000000001</v>
      </c>
      <c r="L90">
        <v>7900</v>
      </c>
      <c r="M90">
        <v>0</v>
      </c>
      <c r="N90">
        <v>212</v>
      </c>
      <c r="O90">
        <v>212</v>
      </c>
      <c r="P90">
        <v>15213</v>
      </c>
      <c r="Q90">
        <v>8195.2430000000004</v>
      </c>
      <c r="R90">
        <v>1.0142</v>
      </c>
      <c r="S90">
        <v>9.5850795321637428</v>
      </c>
      <c r="T90">
        <v>9.5850795321637428</v>
      </c>
      <c r="U90">
        <v>1.0142</v>
      </c>
      <c r="V90">
        <v>855</v>
      </c>
      <c r="W90" t="str">
        <v>36811-FORCADES PEREZ JOSEP MARIA</v>
      </c>
    </row>
    <row r="91" spans="1:23" x14ac:dyDescent="0.25">
      <c r="A91" t="str">
        <v>2025-10-11</v>
      </c>
      <c r="B91" t="str">
        <v>36308-CAL CASO SCP-L:147-N:1-A:A14-POLLO AMARILLO HEMBRAS</v>
      </c>
      <c r="C91" t="str">
        <v>POLLO AMARILLO HEMBRAS</v>
      </c>
      <c r="D91">
        <v>5665</v>
      </c>
      <c r="E91" t="str">
        <v>Broiler Amarillo</v>
      </c>
      <c r="F91">
        <v>16</v>
      </c>
      <c r="G91">
        <v>0</v>
      </c>
      <c r="H91" t="str">
        <v>Abierto</v>
      </c>
      <c r="I91">
        <v>0.51100000000000001</v>
      </c>
      <c r="J91">
        <v>0.51100000000000001</v>
      </c>
      <c r="K91">
        <v>0.51100000000000001</v>
      </c>
      <c r="L91">
        <v>5800</v>
      </c>
      <c r="M91">
        <v>0</v>
      </c>
      <c r="N91">
        <v>135</v>
      </c>
      <c r="O91">
        <v>135</v>
      </c>
      <c r="P91">
        <v>11501</v>
      </c>
      <c r="Q91">
        <v>6291.3670000000002</v>
      </c>
      <c r="R91">
        <v>0.92008000000000001</v>
      </c>
      <c r="S91">
        <v>8.4903738191632936</v>
      </c>
      <c r="T91">
        <v>8.4903738191632936</v>
      </c>
      <c r="U91">
        <v>0.92008000000000001</v>
      </c>
      <c r="V91">
        <v>741</v>
      </c>
      <c r="W91" t="str">
        <v>36308-CAL CASO SCP</v>
      </c>
    </row>
    <row r="92" spans="1:23" x14ac:dyDescent="0.25">
      <c r="A92" t="str">
        <v>2025-10-11</v>
      </c>
      <c r="B92" t="str">
        <v>36308-CAL CASO SCP-L:147-N:2-A:A14-POLLO AMARILLO HEMBRAS</v>
      </c>
      <c r="C92" t="str">
        <v>POLLO AMARILLO HEMBRAS</v>
      </c>
      <c r="D92">
        <v>5743</v>
      </c>
      <c r="E92" t="str">
        <v>Broiler Amarillo</v>
      </c>
      <c r="F92">
        <v>16</v>
      </c>
      <c r="G92">
        <v>0</v>
      </c>
      <c r="H92" t="str">
        <v>Abierto</v>
      </c>
      <c r="I92">
        <v>0.51100000000000001</v>
      </c>
      <c r="J92">
        <v>0.51100000000000001</v>
      </c>
      <c r="K92">
        <v>0.51100000000000001</v>
      </c>
      <c r="L92">
        <v>5900</v>
      </c>
      <c r="M92">
        <v>0</v>
      </c>
      <c r="N92">
        <v>157</v>
      </c>
      <c r="O92">
        <v>157</v>
      </c>
      <c r="P92">
        <v>11465</v>
      </c>
      <c r="Q92">
        <v>6264.8770000000004</v>
      </c>
      <c r="R92">
        <v>0.91720000000000002</v>
      </c>
      <c r="S92">
        <v>8.454624831309042</v>
      </c>
      <c r="T92">
        <v>8.454624831309042</v>
      </c>
      <c r="U92">
        <v>0.91720000000000002</v>
      </c>
      <c r="V92">
        <v>741</v>
      </c>
      <c r="W92" t="str">
        <v>36308-CAL CASO SCP</v>
      </c>
    </row>
    <row r="93" spans="1:23" x14ac:dyDescent="0.25">
      <c r="A93" t="str">
        <v>2025-10-11</v>
      </c>
      <c r="B93" t="str">
        <v>36811-FORCADES PEREZ JOSEP MARIA-L:076-N:5-A:A14-POLLO AMARILLO HEMBRAS</v>
      </c>
      <c r="C93" t="str">
        <v>POLLO AMARILLO HEMBRAS</v>
      </c>
      <c r="D93">
        <v>12846</v>
      </c>
      <c r="E93" t="str">
        <v>Broiler Amarillo</v>
      </c>
      <c r="F93">
        <v>16</v>
      </c>
      <c r="G93">
        <v>0</v>
      </c>
      <c r="H93" t="str">
        <v>Abierto</v>
      </c>
      <c r="I93">
        <v>0.51100000000000001</v>
      </c>
      <c r="J93">
        <v>0.51100000000000001</v>
      </c>
      <c r="K93">
        <v>0.51100000000000001</v>
      </c>
      <c r="L93">
        <v>13200</v>
      </c>
      <c r="M93">
        <v>0</v>
      </c>
      <c r="N93">
        <v>354</v>
      </c>
      <c r="O93">
        <v>354</v>
      </c>
      <c r="P93">
        <v>25508</v>
      </c>
      <c r="Q93">
        <v>13806.97</v>
      </c>
      <c r="R93">
        <v>1.0203199999999999</v>
      </c>
      <c r="S93">
        <v>9.4828090659340667</v>
      </c>
      <c r="T93">
        <v>9.4828090659340667</v>
      </c>
      <c r="U93">
        <v>1.0203199999999999</v>
      </c>
      <c r="V93">
        <v>1456</v>
      </c>
      <c r="W93" t="str">
        <v>36811-FORCADES PEREZ JOSEP MARIA</v>
      </c>
    </row>
    <row r="94" spans="1:23" x14ac:dyDescent="0.25">
      <c r="A94" t="str">
        <v>2025-10-11</v>
      </c>
      <c r="B94" t="str">
        <v>36978-CORAL SANTACANA SLU-L:036-N:3-A:A13-POLLO AMARILLO MACHO</v>
      </c>
      <c r="C94" t="str">
        <v>POLLO AMARILLO MACHO</v>
      </c>
      <c r="D94">
        <v>10415</v>
      </c>
      <c r="E94" t="str">
        <v>Broiler Amarillo</v>
      </c>
      <c r="F94">
        <v>15</v>
      </c>
      <c r="G94">
        <v>0</v>
      </c>
      <c r="H94" t="str">
        <v>Abierto</v>
      </c>
      <c r="I94">
        <v>0.505</v>
      </c>
      <c r="J94">
        <v>0.53854000000000002</v>
      </c>
      <c r="K94">
        <v>0.47699999999999998</v>
      </c>
      <c r="L94">
        <v>10700</v>
      </c>
      <c r="M94">
        <v>0</v>
      </c>
      <c r="N94">
        <v>285</v>
      </c>
      <c r="O94">
        <v>285</v>
      </c>
      <c r="P94">
        <v>21026</v>
      </c>
      <c r="Q94">
        <v>10140.635</v>
      </c>
      <c r="R94">
        <v>1.0162397293378445</v>
      </c>
      <c r="S94">
        <v>8.7721756055363329</v>
      </c>
      <c r="T94">
        <v>8.7721756055363329</v>
      </c>
      <c r="U94">
        <v>1.01624</v>
      </c>
      <c r="V94">
        <v>1156</v>
      </c>
      <c r="W94" t="str">
        <v>36978-CORAL SANTACANA SLU</v>
      </c>
    </row>
    <row r="95" spans="1:23" x14ac:dyDescent="0.25">
      <c r="A95" t="str">
        <v>2025-10-11</v>
      </c>
      <c r="B95" t="str">
        <v>36863-GABANDE LOPEZ EVA - 2 (VERNET)-L:075-N:1-A:A13-POLLO AMARILLO MACHO</v>
      </c>
      <c r="C95" t="str">
        <v>POLLO AMARILLO MACHO</v>
      </c>
      <c r="D95">
        <v>5728</v>
      </c>
      <c r="E95" t="str">
        <v>Broiler Amarillo</v>
      </c>
      <c r="F95">
        <v>16</v>
      </c>
      <c r="G95">
        <v>0</v>
      </c>
      <c r="H95" t="str">
        <v>Abierto</v>
      </c>
      <c r="I95">
        <v>0.503</v>
      </c>
      <c r="J95">
        <v>0.48512</v>
      </c>
      <c r="K95">
        <v>0.53200000000000003</v>
      </c>
      <c r="L95">
        <v>5900</v>
      </c>
      <c r="M95">
        <v>0</v>
      </c>
      <c r="N95">
        <v>157</v>
      </c>
      <c r="O95">
        <v>157</v>
      </c>
      <c r="P95">
        <v>11471</v>
      </c>
      <c r="Q95">
        <v>5815.857</v>
      </c>
      <c r="R95">
        <v>0.97625531914893615</v>
      </c>
      <c r="S95">
        <v>7.4562269230769234</v>
      </c>
      <c r="T95">
        <v>7.4562269230769234</v>
      </c>
      <c r="U95">
        <v>0.97626000000000002</v>
      </c>
      <c r="V95">
        <v>780</v>
      </c>
      <c r="W95" t="str">
        <v>36863-GABANDE LOPEZ EVA - 2 (VERNET)</v>
      </c>
    </row>
    <row r="96" spans="1:23" x14ac:dyDescent="0.25">
      <c r="A96" t="str">
        <v>2025-10-11</v>
      </c>
      <c r="B96" t="str">
        <v>36978-CORAL SANTACANA SLU-L:036-N:1-A:A14-POLLO AMARILLO HEMBRAS</v>
      </c>
      <c r="C96" t="str">
        <v>POLLO AMARILLO HEMBRAS</v>
      </c>
      <c r="D96">
        <v>6617</v>
      </c>
      <c r="E96" t="str">
        <v>Broiler Amarillo</v>
      </c>
      <c r="F96">
        <v>15</v>
      </c>
      <c r="G96">
        <v>0</v>
      </c>
      <c r="H96" t="str">
        <v>Abierto</v>
      </c>
      <c r="I96">
        <v>0.495</v>
      </c>
      <c r="J96">
        <v>0.53488999999999998</v>
      </c>
      <c r="K96">
        <v>0.46</v>
      </c>
      <c r="L96">
        <v>6800</v>
      </c>
      <c r="M96">
        <v>0</v>
      </c>
      <c r="N96">
        <v>183</v>
      </c>
      <c r="O96">
        <v>183</v>
      </c>
      <c r="P96">
        <v>13043</v>
      </c>
      <c r="Q96">
        <v>6616.9350000000004</v>
      </c>
      <c r="R96">
        <v>1.0409417398244214</v>
      </c>
      <c r="S96">
        <v>9.4527642857142862</v>
      </c>
      <c r="T96">
        <v>9.4527642857142862</v>
      </c>
      <c r="U96">
        <v>1.04094</v>
      </c>
      <c r="V96">
        <v>700</v>
      </c>
      <c r="W96" t="str">
        <v>36978-CORAL SANTACANA SLU</v>
      </c>
    </row>
    <row r="97" spans="1:23" x14ac:dyDescent="0.25">
      <c r="A97" t="str">
        <v>2025-10-11</v>
      </c>
      <c r="B97" t="str">
        <v>36978-CORAL SANTACANA SLU-L:036-N:2-A:A14-POLLO AMARILLO HEMBRAS</v>
      </c>
      <c r="C97" t="str">
        <v>POLLO AMARILLO HEMBRAS</v>
      </c>
      <c r="D97">
        <v>8665</v>
      </c>
      <c r="E97" t="str">
        <v>Broiler Amarillo</v>
      </c>
      <c r="F97">
        <v>15</v>
      </c>
      <c r="G97">
        <v>0</v>
      </c>
      <c r="H97" t="str">
        <v>Abierto</v>
      </c>
      <c r="I97">
        <v>0.495</v>
      </c>
      <c r="J97">
        <v>0.53488999999999998</v>
      </c>
      <c r="K97">
        <v>0.46</v>
      </c>
      <c r="L97">
        <v>8900</v>
      </c>
      <c r="M97">
        <v>0</v>
      </c>
      <c r="N97">
        <v>235</v>
      </c>
      <c r="O97">
        <v>235</v>
      </c>
      <c r="P97">
        <v>17037</v>
      </c>
      <c r="Q97">
        <v>8282.6190000000006</v>
      </c>
      <c r="R97">
        <v>1.0305468182917976</v>
      </c>
      <c r="S97">
        <v>8.9638733766233774</v>
      </c>
      <c r="T97">
        <v>8.9638733766233774</v>
      </c>
      <c r="U97">
        <v>1.0305500000000001</v>
      </c>
      <c r="V97">
        <v>924</v>
      </c>
      <c r="W97" t="str">
        <v>36978-CORAL SANTACANA SLU</v>
      </c>
    </row>
    <row r="98" spans="1:23" x14ac:dyDescent="0.25">
      <c r="A98" t="str">
        <v>2025-10-11</v>
      </c>
      <c r="B98" t="str">
        <v>36978-CORAL SANTACANA SLU-L:036-N:2-A:A13-POLLO AMARILLO MACHO</v>
      </c>
      <c r="C98" t="str">
        <v>POLLO AMARILLO MACHO</v>
      </c>
      <c r="D98">
        <v>8372</v>
      </c>
      <c r="E98" t="str">
        <v>Broiler Amarillo</v>
      </c>
      <c r="F98">
        <v>15</v>
      </c>
      <c r="G98">
        <v>0</v>
      </c>
      <c r="H98" t="str">
        <v>Abierto</v>
      </c>
      <c r="I98">
        <v>0.47699999999999998</v>
      </c>
      <c r="J98">
        <v>0.47699999999999998</v>
      </c>
      <c r="K98">
        <v>0.47699999999999998</v>
      </c>
      <c r="L98">
        <v>8600</v>
      </c>
      <c r="M98">
        <v>0</v>
      </c>
      <c r="N98">
        <v>228</v>
      </c>
      <c r="O98">
        <v>228</v>
      </c>
      <c r="P98">
        <v>17037</v>
      </c>
      <c r="Q98">
        <v>8282.6190000000006</v>
      </c>
      <c r="R98">
        <v>1.0305468182917976</v>
      </c>
      <c r="S98">
        <v>8.9638733766233774</v>
      </c>
      <c r="T98">
        <v>8.9638733766233774</v>
      </c>
      <c r="U98">
        <v>1.0305500000000001</v>
      </c>
      <c r="V98">
        <v>924</v>
      </c>
      <c r="W98" t="str">
        <v>36978-CORAL SANTACANA SLU</v>
      </c>
    </row>
    <row r="99" spans="1:23" x14ac:dyDescent="0.25">
      <c r="A99" t="str">
        <v>2025-10-11</v>
      </c>
      <c r="B99" t="str">
        <v>36731-BLASI INGLA JAUME-L:121-N:1-A:A13-POLLO AMARILLO MACHO</v>
      </c>
      <c r="C99" t="str">
        <v>POLLO AMARILLO MACHO</v>
      </c>
      <c r="D99">
        <v>11392</v>
      </c>
      <c r="E99" t="str">
        <v>Broiler Amarillo</v>
      </c>
      <c r="F99">
        <v>15</v>
      </c>
      <c r="G99">
        <v>0</v>
      </c>
      <c r="H99" t="str">
        <v>Abierto</v>
      </c>
      <c r="I99">
        <v>0.47699999999999998</v>
      </c>
      <c r="J99">
        <v>0.47699999999999998</v>
      </c>
      <c r="K99">
        <v>0.47699999999999998</v>
      </c>
      <c r="L99">
        <v>11700</v>
      </c>
      <c r="M99">
        <v>0</v>
      </c>
      <c r="N99">
        <v>308</v>
      </c>
      <c r="O99">
        <v>308</v>
      </c>
      <c r="P99">
        <v>22976</v>
      </c>
      <c r="Q99">
        <v>10762.624</v>
      </c>
      <c r="R99">
        <v>0.91903999999999997</v>
      </c>
      <c r="S99">
        <v>7.5368515406162464</v>
      </c>
      <c r="T99">
        <v>7.5368515406162464</v>
      </c>
      <c r="U99">
        <v>0.91903999999999997</v>
      </c>
      <c r="V99">
        <v>1428</v>
      </c>
      <c r="W99" t="str">
        <v>36731-BLASI INGLA JAUME</v>
      </c>
    </row>
    <row r="100" spans="1:23" x14ac:dyDescent="0.25">
      <c r="A100" t="str">
        <v>2025-10-11</v>
      </c>
      <c r="B100" t="str">
        <v>36789-GABANDE LOPEZ EVA-1 (ALENTORN)-L:085-N:2-A:A14-POLLO AMARILLO HEMBRAS</v>
      </c>
      <c r="C100" t="str">
        <v>POLLO AMARILLO HEMBRAS</v>
      </c>
      <c r="D100">
        <v>4428</v>
      </c>
      <c r="E100" t="str">
        <v>Broiler Amarillo</v>
      </c>
      <c r="F100">
        <v>15</v>
      </c>
      <c r="G100">
        <v>0</v>
      </c>
      <c r="H100" t="str">
        <v>Abierto</v>
      </c>
      <c r="I100">
        <v>0.46</v>
      </c>
      <c r="J100">
        <v>0.46</v>
      </c>
      <c r="K100">
        <v>0.46</v>
      </c>
      <c r="L100">
        <v>4500</v>
      </c>
      <c r="M100">
        <v>0</v>
      </c>
      <c r="N100">
        <v>72</v>
      </c>
      <c r="O100">
        <v>72</v>
      </c>
      <c r="P100">
        <v>8679</v>
      </c>
      <c r="Q100">
        <v>4234.6469999999999</v>
      </c>
      <c r="R100">
        <v>1.084875</v>
      </c>
      <c r="S100">
        <v>7.9598627819548868</v>
      </c>
      <c r="T100">
        <v>7.9598627819548868</v>
      </c>
      <c r="U100">
        <v>1.0848800000000001</v>
      </c>
      <c r="V100">
        <v>532</v>
      </c>
      <c r="W100" t="str">
        <v>36789-GABANDE LOPEZ EVA-1 (ALENTORN)</v>
      </c>
    </row>
    <row r="101" spans="1:23" x14ac:dyDescent="0.25">
      <c r="A101" t="str">
        <v>2025-10-11</v>
      </c>
      <c r="B101" t="str">
        <v>36789-GABANDE LOPEZ EVA-1 (ALENTORN)-L:085-N:1-A:A14-POLLO AMARILLO HEMBRAS</v>
      </c>
      <c r="C101" t="str">
        <v>POLLO AMARILLO HEMBRAS</v>
      </c>
      <c r="D101">
        <v>4282</v>
      </c>
      <c r="E101" t="str">
        <v>Broiler Amarillo</v>
      </c>
      <c r="F101">
        <v>15</v>
      </c>
      <c r="G101">
        <v>0</v>
      </c>
      <c r="H101" t="str">
        <v>Abierto</v>
      </c>
      <c r="I101">
        <v>0.46</v>
      </c>
      <c r="J101">
        <v>0.46</v>
      </c>
      <c r="K101">
        <v>0.46</v>
      </c>
      <c r="L101">
        <v>4400</v>
      </c>
      <c r="M101">
        <v>0</v>
      </c>
      <c r="N101">
        <v>118</v>
      </c>
      <c r="O101">
        <v>118</v>
      </c>
      <c r="P101">
        <v>8446</v>
      </c>
      <c r="Q101">
        <v>4164.1480000000001</v>
      </c>
      <c r="R101">
        <v>1.05575</v>
      </c>
      <c r="S101">
        <v>7.8273458646616545</v>
      </c>
      <c r="T101">
        <v>7.8273458646616545</v>
      </c>
      <c r="U101">
        <v>1.05575</v>
      </c>
      <c r="V101">
        <v>532</v>
      </c>
      <c r="W101" t="str">
        <v>36789-GABANDE LOPEZ EVA-1 (ALENTORN)</v>
      </c>
    </row>
    <row r="102" spans="1:23" x14ac:dyDescent="0.25">
      <c r="A102" t="str">
        <v>2025-10-11</v>
      </c>
      <c r="B102" t="str">
        <v>36978-CORAL SANTACANA SLU-L:036-N:3-A:A14-POLLO AMARILLO HEMBRAS</v>
      </c>
      <c r="C102" t="str">
        <v>POLLO AMARILLO HEMBRAS</v>
      </c>
      <c r="D102">
        <v>10611</v>
      </c>
      <c r="E102" t="str">
        <v>Broiler Amarillo</v>
      </c>
      <c r="F102">
        <v>15</v>
      </c>
      <c r="G102">
        <v>0</v>
      </c>
      <c r="H102" t="str">
        <v>Abierto</v>
      </c>
      <c r="I102">
        <v>0.46</v>
      </c>
      <c r="J102">
        <v>0.46</v>
      </c>
      <c r="K102">
        <v>0.46</v>
      </c>
      <c r="L102">
        <v>10900</v>
      </c>
      <c r="M102">
        <v>0</v>
      </c>
      <c r="N102">
        <v>289</v>
      </c>
      <c r="O102">
        <v>289</v>
      </c>
      <c r="P102">
        <v>21026</v>
      </c>
      <c r="Q102">
        <v>10140.635</v>
      </c>
      <c r="R102">
        <v>1.0162397293378445</v>
      </c>
      <c r="S102">
        <v>8.7721756055363329</v>
      </c>
      <c r="T102">
        <v>8.7721756055363329</v>
      </c>
      <c r="U102">
        <v>1.01624</v>
      </c>
      <c r="V102">
        <v>1156</v>
      </c>
      <c r="W102" t="str">
        <v>36978-CORAL SANTACANA SLU</v>
      </c>
    </row>
    <row r="103" spans="1:23" x14ac:dyDescent="0.25">
      <c r="A103" t="str">
        <v>2025-10-11</v>
      </c>
      <c r="B103" t="str">
        <v>36731-BLASI INGLA JAUME-L:121-N:1-A:A14-POLLO AMARILLO HEMBRAS</v>
      </c>
      <c r="C103" t="str">
        <v>POLLO AMARILLO HEMBRAS</v>
      </c>
      <c r="D103">
        <v>11584</v>
      </c>
      <c r="E103" t="str">
        <v>Broiler Amarillo</v>
      </c>
      <c r="F103">
        <v>15</v>
      </c>
      <c r="G103">
        <v>0</v>
      </c>
      <c r="H103" t="str">
        <v>Abierto</v>
      </c>
      <c r="I103">
        <v>0.46</v>
      </c>
      <c r="J103">
        <v>0.46</v>
      </c>
      <c r="K103">
        <v>0.46</v>
      </c>
      <c r="L103">
        <v>11900</v>
      </c>
      <c r="M103">
        <v>0</v>
      </c>
      <c r="N103">
        <v>316</v>
      </c>
      <c r="O103">
        <v>316</v>
      </c>
      <c r="P103">
        <v>22976</v>
      </c>
      <c r="Q103">
        <v>10762.624</v>
      </c>
      <c r="R103">
        <v>0.91903999999999997</v>
      </c>
      <c r="S103">
        <v>7.5368515406162464</v>
      </c>
      <c r="T103">
        <v>7.5368515406162464</v>
      </c>
      <c r="U103">
        <v>0.91903999999999997</v>
      </c>
      <c r="V103">
        <v>1428</v>
      </c>
      <c r="W103" t="str">
        <v>36731-BLASI INGLA JAUME</v>
      </c>
    </row>
    <row r="104" spans="1:23" x14ac:dyDescent="0.25">
      <c r="A104" t="str">
        <v>2025-10-11</v>
      </c>
      <c r="B104" t="str">
        <v>36588-PELEGRI SCP (Ns 6,7)-L:063-N:7-A:A13-POLLO AMARILLO MACHO</v>
      </c>
      <c r="C104" t="str">
        <v>POLLO AMARILLO MACHO</v>
      </c>
      <c r="D104">
        <v>13160</v>
      </c>
      <c r="E104" t="str">
        <v>Broiler Amarillo</v>
      </c>
      <c r="F104">
        <v>12</v>
      </c>
      <c r="G104">
        <v>0</v>
      </c>
      <c r="H104" t="str">
        <v>Abierto</v>
      </c>
      <c r="I104">
        <v>0.41199999999999998</v>
      </c>
      <c r="J104">
        <v>0.45484000000000002</v>
      </c>
      <c r="K104">
        <v>0.32900000000000001</v>
      </c>
      <c r="L104">
        <v>13500</v>
      </c>
      <c r="M104">
        <v>0</v>
      </c>
      <c r="N104">
        <v>328</v>
      </c>
      <c r="O104">
        <v>328</v>
      </c>
      <c r="P104">
        <v>26332</v>
      </c>
      <c r="Q104">
        <v>9663.3040000000001</v>
      </c>
      <c r="R104">
        <v>0.97525925925925927</v>
      </c>
      <c r="S104">
        <v>6.4422026666666667</v>
      </c>
      <c r="T104">
        <v>6.4422026666666667</v>
      </c>
      <c r="U104">
        <v>0.97526000000000002</v>
      </c>
      <c r="V104">
        <v>1500</v>
      </c>
      <c r="W104" t="str">
        <v>36588-PELEGRI SCP (Ns 6,7)</v>
      </c>
    </row>
    <row r="105" spans="1:23" x14ac:dyDescent="0.25">
      <c r="A105" t="str">
        <v>2025-10-11</v>
      </c>
      <c r="B105" t="str">
        <v>36588-PELEGRI SCP (Ns 6,7)-L:063-N:6-A:A13-POLLO AMARILLO MACHO</v>
      </c>
      <c r="C105" t="str">
        <v>POLLO AMARILLO MACHO</v>
      </c>
      <c r="D105">
        <v>13305</v>
      </c>
      <c r="E105" t="str">
        <v>Broiler Amarillo</v>
      </c>
      <c r="F105">
        <v>12</v>
      </c>
      <c r="G105">
        <v>0</v>
      </c>
      <c r="H105" t="str">
        <v>Abierto</v>
      </c>
      <c r="I105">
        <v>0.41199999999999998</v>
      </c>
      <c r="J105">
        <v>0.45484000000000002</v>
      </c>
      <c r="K105">
        <v>0.32900000000000001</v>
      </c>
      <c r="L105">
        <v>13500</v>
      </c>
      <c r="M105">
        <v>0</v>
      </c>
      <c r="N105">
        <v>183</v>
      </c>
      <c r="O105">
        <v>183</v>
      </c>
      <c r="P105">
        <v>26575</v>
      </c>
      <c r="Q105">
        <v>9754.6</v>
      </c>
      <c r="R105">
        <v>0.98425925925925928</v>
      </c>
      <c r="S105">
        <v>6.5030666666666663</v>
      </c>
      <c r="T105">
        <v>6.5030666666666663</v>
      </c>
      <c r="U105">
        <v>0.98426000000000002</v>
      </c>
      <c r="V105">
        <v>1500</v>
      </c>
      <c r="W105" t="str">
        <v>36588-PELEGRI SCP (Ns 6,7)</v>
      </c>
    </row>
    <row r="106" spans="1:23" x14ac:dyDescent="0.25">
      <c r="A106" t="str">
        <v>2025-10-11</v>
      </c>
      <c r="B106" t="str">
        <v>36589-PELEGRI-L:144-N:5-A:A13-POLLO AMARILLO MACHO</v>
      </c>
      <c r="C106" t="str">
        <v>POLLO AMARILLO MACHO</v>
      </c>
      <c r="D106">
        <v>6345</v>
      </c>
      <c r="E106" t="str">
        <v>Broiler Amarillo</v>
      </c>
      <c r="F106">
        <v>12</v>
      </c>
      <c r="G106">
        <v>0</v>
      </c>
      <c r="H106" t="str">
        <v>Abierto</v>
      </c>
      <c r="I106">
        <v>0.32900000000000001</v>
      </c>
      <c r="J106">
        <v>0.32900000000000001</v>
      </c>
      <c r="K106">
        <v>0.32900000000000001</v>
      </c>
      <c r="L106">
        <v>6500</v>
      </c>
      <c r="M106">
        <v>0</v>
      </c>
      <c r="N106">
        <v>155</v>
      </c>
      <c r="O106">
        <v>155</v>
      </c>
      <c r="P106">
        <v>12690</v>
      </c>
      <c r="Q106">
        <v>4130.5950000000003</v>
      </c>
      <c r="R106">
        <v>0.93722304283604141</v>
      </c>
      <c r="S106">
        <v>5.2686160714285712</v>
      </c>
      <c r="T106">
        <v>5.2686160714285712</v>
      </c>
      <c r="U106">
        <v>0.93722000000000005</v>
      </c>
      <c r="V106">
        <v>784</v>
      </c>
      <c r="W106" t="str">
        <v>36589-PELEGRI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C521-3A74-4627-A20E-7BE4D77B4CF5}">
  <sheetPr codeName="Hoja4"/>
  <dimension ref="A1:W106"/>
  <sheetViews>
    <sheetView workbookViewId="0">
      <selection activeCell="L10" sqref="L10"/>
    </sheetView>
  </sheetViews>
  <sheetFormatPr baseColWidth="10" defaultRowHeight="15" x14ac:dyDescent="0.25"/>
  <cols>
    <col min="2" max="2" width="14.7109375" customWidth="1"/>
    <col min="4" max="4" width="10.42578125" bestFit="1" customWidth="1"/>
    <col min="9" max="9" width="13.85546875" bestFit="1" customWidth="1"/>
    <col min="12" max="12" width="15.42578125" customWidth="1"/>
    <col min="13" max="13" width="18.85546875" bestFit="1" customWidth="1"/>
  </cols>
  <sheetData>
    <row r="1" spans="1:23" ht="30.75" thickBot="1" x14ac:dyDescent="0.3">
      <c r="A1" s="21"/>
      <c r="B1" s="22" t="s">
        <v>64</v>
      </c>
      <c r="C1" s="22" t="s">
        <v>65</v>
      </c>
      <c r="D1" s="22" t="s">
        <v>66</v>
      </c>
      <c r="E1" s="22" t="s">
        <v>67</v>
      </c>
      <c r="F1" s="22" t="s">
        <v>68</v>
      </c>
      <c r="G1" s="22" t="s">
        <v>69</v>
      </c>
      <c r="H1" s="22" t="s">
        <v>70</v>
      </c>
      <c r="I1" s="22" t="s">
        <v>71</v>
      </c>
      <c r="J1" s="22" t="s">
        <v>72</v>
      </c>
      <c r="K1" s="22" t="s">
        <v>62</v>
      </c>
      <c r="L1" s="22" t="s">
        <v>5</v>
      </c>
    </row>
    <row r="2" spans="1:23" ht="15.75" thickTop="1" x14ac:dyDescent="0.25">
      <c r="A2" s="23" t="s">
        <v>73</v>
      </c>
      <c r="B2" s="24" t="s">
        <v>74</v>
      </c>
      <c r="C2" s="24" t="s">
        <v>1</v>
      </c>
      <c r="D2" s="25"/>
      <c r="E2" s="25">
        <v>45931</v>
      </c>
      <c r="F2" s="25">
        <v>45941</v>
      </c>
      <c r="G2" s="24"/>
      <c r="H2" s="24"/>
      <c r="I2" s="24"/>
      <c r="J2" s="24"/>
      <c r="K2" s="24"/>
      <c r="L2" s="24" t="s">
        <v>45</v>
      </c>
    </row>
    <row r="5" spans="1:23" x14ac:dyDescent="0.25">
      <c r="A5" t="str" cm="1">
        <f t="array" ref="A5:W106">GetSetEntradaAvi(A2,B2,C2,E2,F2)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cantidad_entrada</v>
      </c>
      <c r="M5" t="str">
        <v>ventas_acumuladas</v>
      </c>
      <c r="N5" t="str">
        <v>bajas_acumuladas</v>
      </c>
      <c r="O5" t="str">
        <v>bajas_teoricas</v>
      </c>
      <c r="P5" t="str">
        <v>stock_nave</v>
      </c>
      <c r="Q5" t="str">
        <v>kilos_nave</v>
      </c>
      <c r="R5" t="str">
        <v>capacidad_nave</v>
      </c>
      <c r="S5" t="str">
        <v>densidad_nave</v>
      </c>
      <c r="T5" t="str">
        <v>kgm2_nave</v>
      </c>
      <c r="U5" t="str">
        <v>capacidad_nave</v>
      </c>
      <c r="V5" t="str">
        <v>m2_nave</v>
      </c>
      <c r="W5" t="str">
        <v>granja</v>
      </c>
    </row>
    <row r="6" spans="1:23" x14ac:dyDescent="0.25">
      <c r="A6" t="str">
        <v>2025-10-17</v>
      </c>
      <c r="B6" t="str">
        <v>20358T-CA L.IGNASI-L:38-N:1-A:3001-POLLO AMARILLO MACHO</v>
      </c>
      <c r="C6" t="str">
        <v>POLLO AMARILLO MACHO</v>
      </c>
      <c r="D6">
        <v>-1157</v>
      </c>
      <c r="E6" t="str">
        <v>Broiler Amarillo</v>
      </c>
      <c r="F6">
        <v>52</v>
      </c>
      <c r="G6">
        <v>0</v>
      </c>
      <c r="H6" t="str">
        <v>Abierto</v>
      </c>
      <c r="I6">
        <v>3.7561300000000002</v>
      </c>
      <c r="J6">
        <v>3.57145</v>
      </c>
      <c r="K6">
        <v>3.9260000000000002</v>
      </c>
      <c r="L6">
        <v>16800</v>
      </c>
      <c r="M6">
        <v>-17762</v>
      </c>
      <c r="N6">
        <v>195</v>
      </c>
      <c r="O6">
        <v>195</v>
      </c>
      <c r="P6">
        <v>4337</v>
      </c>
      <c r="Q6">
        <v>14604.666999999999</v>
      </c>
      <c r="R6">
        <v>0.12047222222222222</v>
      </c>
      <c r="S6">
        <v>7.7519463906581745</v>
      </c>
      <c r="T6">
        <v>7.7519463906581745</v>
      </c>
      <c r="U6">
        <v>0.12046999999999999</v>
      </c>
      <c r="V6">
        <v>1884</v>
      </c>
      <c r="W6" t="str">
        <v>20358T-CA L.IGNASI</v>
      </c>
    </row>
    <row r="7" spans="1:23" x14ac:dyDescent="0.25">
      <c r="A7" t="str">
        <v>2025-10-17</v>
      </c>
      <c r="B7" t="str">
        <v>20358T-CA L.IGNASI-L:38-N:1-A:3002-POLLO AMARILLO HEMBRAS</v>
      </c>
      <c r="C7" t="str">
        <v>POLLO AMARILLO HEMBRAS</v>
      </c>
      <c r="D7">
        <v>5494</v>
      </c>
      <c r="E7" t="str">
        <v>Broiler Amarillo</v>
      </c>
      <c r="F7">
        <v>52</v>
      </c>
      <c r="G7">
        <v>0</v>
      </c>
      <c r="H7" t="str">
        <v>Abierto</v>
      </c>
      <c r="I7">
        <v>3.4493100000000001</v>
      </c>
      <c r="J7">
        <v>3.4758</v>
      </c>
      <c r="K7">
        <v>3.234</v>
      </c>
      <c r="L7">
        <v>16800</v>
      </c>
      <c r="M7">
        <v>-11016</v>
      </c>
      <c r="N7">
        <v>206</v>
      </c>
      <c r="O7">
        <v>206</v>
      </c>
      <c r="P7">
        <v>4337</v>
      </c>
      <c r="Q7">
        <v>14604.666999999999</v>
      </c>
      <c r="R7">
        <v>0.12047222222222222</v>
      </c>
      <c r="S7">
        <v>7.7519463906581745</v>
      </c>
      <c r="T7">
        <v>7.7519463906581745</v>
      </c>
      <c r="U7">
        <v>0.12046999999999999</v>
      </c>
      <c r="V7">
        <v>1884</v>
      </c>
      <c r="W7" t="str">
        <v>20358T-CA L.IGNASI</v>
      </c>
    </row>
    <row r="8" spans="1:23" x14ac:dyDescent="0.25">
      <c r="A8" t="str">
        <v>2025-10-17</v>
      </c>
      <c r="B8" t="str">
        <v>20438T-GRANJA LA BORDELLA-L:16-N:1-A:3001-POLLO AMARILLO MACHO</v>
      </c>
      <c r="C8" t="str">
        <v>POLLO AMARILLO MACHO</v>
      </c>
      <c r="D8">
        <v>11984</v>
      </c>
      <c r="E8" t="str">
        <v>Broiler Amarillo</v>
      </c>
      <c r="F8">
        <v>42</v>
      </c>
      <c r="G8">
        <v>0</v>
      </c>
      <c r="H8" t="str">
        <v>Abierto</v>
      </c>
      <c r="I8">
        <v>3.1456499999999998</v>
      </c>
      <c r="J8">
        <v>3.1657099999999998</v>
      </c>
      <c r="K8">
        <v>2.9660000000000002</v>
      </c>
      <c r="L8">
        <v>18000</v>
      </c>
      <c r="M8">
        <v>-5414</v>
      </c>
      <c r="N8">
        <v>338</v>
      </c>
      <c r="O8">
        <v>338</v>
      </c>
      <c r="P8">
        <v>10792</v>
      </c>
      <c r="Q8">
        <v>34563.082000000002</v>
      </c>
      <c r="R8">
        <v>0.30834285714285714</v>
      </c>
      <c r="S8">
        <v>18.345584925690023</v>
      </c>
      <c r="T8">
        <v>18.345584925690023</v>
      </c>
      <c r="U8">
        <v>0.30834</v>
      </c>
      <c r="V8">
        <v>1884</v>
      </c>
      <c r="W8" t="str">
        <v>20438T-GRANJA LA BORDELLA</v>
      </c>
    </row>
    <row r="9" spans="1:23" x14ac:dyDescent="0.25">
      <c r="A9" t="str">
        <v>2025-10-17</v>
      </c>
      <c r="B9" t="str">
        <v>20405T-VENDRELL-L:36-N:1-A:3001-POLLO AMARILLO MACHO</v>
      </c>
      <c r="C9" t="str">
        <v>POLLO AMARILLO MACHO</v>
      </c>
      <c r="D9">
        <v>17063</v>
      </c>
      <c r="E9" t="str">
        <v>Broiler Amarillo</v>
      </c>
      <c r="F9">
        <v>42</v>
      </c>
      <c r="G9">
        <v>0</v>
      </c>
      <c r="H9" t="str">
        <v>Abierto</v>
      </c>
      <c r="I9">
        <v>2.9870000000000001</v>
      </c>
      <c r="J9">
        <v>2.9902500000000001</v>
      </c>
      <c r="K9">
        <v>2.9660000000000002</v>
      </c>
      <c r="L9">
        <v>17800</v>
      </c>
      <c r="M9">
        <v>0</v>
      </c>
      <c r="N9">
        <v>569</v>
      </c>
      <c r="O9">
        <v>569</v>
      </c>
      <c r="P9">
        <v>1379</v>
      </c>
      <c r="Q9">
        <v>12120.109</v>
      </c>
      <c r="R9">
        <v>3.9399999999999998E-2</v>
      </c>
      <c r="S9">
        <v>6.312556770833333</v>
      </c>
      <c r="T9">
        <v>6.312556770833333</v>
      </c>
      <c r="U9">
        <v>3.9399999999999998E-2</v>
      </c>
      <c r="V9">
        <v>1920</v>
      </c>
      <c r="W9" t="str">
        <v>20405T-VENDRELL</v>
      </c>
    </row>
    <row r="10" spans="1:23" x14ac:dyDescent="0.25">
      <c r="A10" t="str">
        <v>2025-10-17</v>
      </c>
      <c r="B10" t="str">
        <v>20263T-GIRBAU CAMP YASMINA-L:38-N:2-A:3003-POLLO AMARILLO MIXTO</v>
      </c>
      <c r="C10" t="str">
        <v>POLLO AMARILLO MIXTO</v>
      </c>
      <c r="D10">
        <v>3044</v>
      </c>
      <c r="E10" t="str">
        <v>Broiler Amarillo</v>
      </c>
      <c r="F10">
        <v>43</v>
      </c>
      <c r="G10">
        <v>0</v>
      </c>
      <c r="H10" t="str">
        <v>Abierto</v>
      </c>
      <c r="I10">
        <v>2.7250000000000001</v>
      </c>
      <c r="J10">
        <v>2.7078899999999999</v>
      </c>
      <c r="K10">
        <v>2.8450000000000002</v>
      </c>
      <c r="L10">
        <v>19000</v>
      </c>
      <c r="M10">
        <v>-15326</v>
      </c>
      <c r="N10">
        <v>622</v>
      </c>
      <c r="O10">
        <v>622</v>
      </c>
      <c r="P10">
        <v>3044</v>
      </c>
      <c r="Q10">
        <v>8294.9</v>
      </c>
      <c r="R10">
        <v>0.1522</v>
      </c>
      <c r="S10">
        <v>7.0058277027027023</v>
      </c>
      <c r="T10">
        <v>7.0058277027027023</v>
      </c>
      <c r="U10">
        <v>0.1522</v>
      </c>
      <c r="V10">
        <v>1184</v>
      </c>
      <c r="W10" t="str">
        <v>20263T-GIRBAU CAMP YASMINA</v>
      </c>
    </row>
    <row r="11" spans="1:23" x14ac:dyDescent="0.25">
      <c r="A11" t="str">
        <v>2025-10-17</v>
      </c>
      <c r="B11" t="str">
        <v>20364T-SEMEN AVIA (RIERETA)-L:39-N:1-A:3001-POLLO AMARILLO MACHO</v>
      </c>
      <c r="C11" t="str">
        <v>POLLO AMARILLO MACHO</v>
      </c>
      <c r="D11">
        <v>6751</v>
      </c>
      <c r="E11" t="str">
        <v>Broiler Amarillo</v>
      </c>
      <c r="F11">
        <v>39</v>
      </c>
      <c r="G11">
        <v>0</v>
      </c>
      <c r="H11" t="str">
        <v>Abierto</v>
      </c>
      <c r="I11">
        <v>2.7149999999999999</v>
      </c>
      <c r="J11">
        <v>2.7187800000000002</v>
      </c>
      <c r="K11">
        <v>2.6680000000000001</v>
      </c>
      <c r="L11">
        <v>15300</v>
      </c>
      <c r="M11">
        <v>-8111</v>
      </c>
      <c r="N11">
        <v>433</v>
      </c>
      <c r="O11">
        <v>438</v>
      </c>
      <c r="P11">
        <v>9542</v>
      </c>
      <c r="Q11">
        <v>25050.223000000002</v>
      </c>
      <c r="R11">
        <v>0.31806666666666666</v>
      </c>
      <c r="S11">
        <v>14.910847023809524</v>
      </c>
      <c r="T11">
        <v>14.910847023809524</v>
      </c>
      <c r="U11">
        <v>0.31807000000000002</v>
      </c>
      <c r="V11">
        <v>1680</v>
      </c>
      <c r="W11" t="str">
        <v>20364T-SEMEN AVIA (RIERETA)</v>
      </c>
    </row>
    <row r="12" spans="1:23" x14ac:dyDescent="0.25">
      <c r="A12" t="str">
        <v>2025-10-17</v>
      </c>
      <c r="B12" t="str">
        <v>20438T-GRANJA LA BORDELLA-L:16-N:1-A:3002-POLLO AMARILLO HEMBRAS</v>
      </c>
      <c r="C12" t="str">
        <v>POLLO AMARILLO HEMBRAS</v>
      </c>
      <c r="D12">
        <v>-1192</v>
      </c>
      <c r="E12" t="str">
        <v>Broiler Amarillo</v>
      </c>
      <c r="F12">
        <v>42</v>
      </c>
      <c r="G12">
        <v>0</v>
      </c>
      <c r="H12" t="str">
        <v>Abierto</v>
      </c>
      <c r="I12">
        <v>2.6295199999999999</v>
      </c>
      <c r="J12">
        <v>2.6452800000000001</v>
      </c>
      <c r="K12">
        <v>2.4929999999999999</v>
      </c>
      <c r="L12">
        <v>18000</v>
      </c>
      <c r="M12">
        <v>-18848</v>
      </c>
      <c r="N12">
        <v>344</v>
      </c>
      <c r="O12">
        <v>197</v>
      </c>
      <c r="P12">
        <v>10792</v>
      </c>
      <c r="Q12">
        <v>34563.082000000002</v>
      </c>
      <c r="R12">
        <v>0.30834285714285714</v>
      </c>
      <c r="S12">
        <v>18.345584925690023</v>
      </c>
      <c r="T12">
        <v>18.345584925690023</v>
      </c>
      <c r="U12">
        <v>0.30834</v>
      </c>
      <c r="V12">
        <v>1884</v>
      </c>
      <c r="W12" t="str">
        <v>20438T-GRANJA LA BORDELLA</v>
      </c>
    </row>
    <row r="13" spans="1:23" x14ac:dyDescent="0.25">
      <c r="A13" t="str">
        <v>2025-10-17</v>
      </c>
      <c r="B13" t="str">
        <v>20269T-GRANVOL SALA, SC (Sala Teixidor)-L:33-N:2-A:3001-POLLO AMARILLO MACHO</v>
      </c>
      <c r="C13" t="str">
        <v>POLLO AMARILLO MACHO</v>
      </c>
      <c r="D13">
        <v>11222</v>
      </c>
      <c r="E13" t="str">
        <v>Broiler Amarillo</v>
      </c>
      <c r="F13">
        <v>36</v>
      </c>
      <c r="G13">
        <v>0</v>
      </c>
      <c r="H13" t="str">
        <v>Abierto</v>
      </c>
      <c r="I13">
        <v>2.5</v>
      </c>
      <c r="J13">
        <v>2.5</v>
      </c>
      <c r="K13">
        <v>2.37</v>
      </c>
      <c r="L13">
        <v>11600</v>
      </c>
      <c r="M13">
        <v>0</v>
      </c>
      <c r="N13">
        <v>360</v>
      </c>
      <c r="O13">
        <v>360</v>
      </c>
      <c r="P13">
        <v>15201</v>
      </c>
      <c r="Q13">
        <v>36177.491999999998</v>
      </c>
      <c r="R13">
        <v>0.69095454545454549</v>
      </c>
      <c r="S13">
        <v>29.556774509803923</v>
      </c>
      <c r="T13">
        <v>29.556774509803923</v>
      </c>
      <c r="U13">
        <v>0.69094999999999995</v>
      </c>
      <c r="V13">
        <v>1224</v>
      </c>
      <c r="W13" t="str">
        <v>20269T-GRANVOL SALA, SC (Sala Teixidor)</v>
      </c>
    </row>
    <row r="14" spans="1:23" x14ac:dyDescent="0.25">
      <c r="A14" t="str">
        <v>2025-10-17</v>
      </c>
      <c r="B14" t="str">
        <v>20405T-VENDRELL-L:36-N:1-A:3002-POLLO AMARILLO HEMBRAS</v>
      </c>
      <c r="C14" t="str">
        <v>POLLO AMARILLO HEMBRAS</v>
      </c>
      <c r="D14">
        <v>-15684</v>
      </c>
      <c r="E14" t="str">
        <v>Broiler Amarillo</v>
      </c>
      <c r="F14">
        <v>42</v>
      </c>
      <c r="G14">
        <v>0</v>
      </c>
      <c r="H14" t="str">
        <v>Abierto</v>
      </c>
      <c r="I14">
        <v>2.4768599999999998</v>
      </c>
      <c r="J14">
        <v>2.4425300000000001</v>
      </c>
      <c r="K14">
        <v>2.4929999999999999</v>
      </c>
      <c r="L14">
        <v>18000</v>
      </c>
      <c r="M14">
        <v>-33136</v>
      </c>
      <c r="N14">
        <v>548</v>
      </c>
      <c r="O14">
        <v>578</v>
      </c>
      <c r="P14">
        <v>1379</v>
      </c>
      <c r="Q14">
        <v>12120.109</v>
      </c>
      <c r="R14">
        <v>3.9399999999999998E-2</v>
      </c>
      <c r="S14">
        <v>6.312556770833333</v>
      </c>
      <c r="T14">
        <v>6.312556770833333</v>
      </c>
      <c r="U14">
        <v>3.9399999999999998E-2</v>
      </c>
      <c r="V14">
        <v>1920</v>
      </c>
      <c r="W14" t="str">
        <v>20405T-VENDRELL</v>
      </c>
    </row>
    <row r="15" spans="1:23" x14ac:dyDescent="0.25">
      <c r="A15" t="str">
        <v>2025-10-17</v>
      </c>
      <c r="B15" t="str">
        <v>20364T-SEMEN AVIA (RIERETA)-L:39-N:1-A:3002-POLLO AMARILLO HEMBRAS</v>
      </c>
      <c r="C15" t="str">
        <v>POLLO AMARILLO HEMBRAS</v>
      </c>
      <c r="D15">
        <v>2791</v>
      </c>
      <c r="E15" t="str">
        <v>Broiler Amarillo</v>
      </c>
      <c r="F15">
        <v>39</v>
      </c>
      <c r="G15">
        <v>0</v>
      </c>
      <c r="H15" t="str">
        <v>Abierto</v>
      </c>
      <c r="I15">
        <v>2.4081899999999998</v>
      </c>
      <c r="J15">
        <v>2.42272</v>
      </c>
      <c r="K15">
        <v>2.2349999999999999</v>
      </c>
      <c r="L15">
        <v>15300</v>
      </c>
      <c r="M15">
        <v>-12480</v>
      </c>
      <c r="N15">
        <v>28</v>
      </c>
      <c r="O15">
        <v>28</v>
      </c>
      <c r="P15">
        <v>9542</v>
      </c>
      <c r="Q15">
        <v>25050.223000000002</v>
      </c>
      <c r="R15">
        <v>0.31806666666666666</v>
      </c>
      <c r="S15">
        <v>14.910847023809524</v>
      </c>
      <c r="T15">
        <v>14.910847023809524</v>
      </c>
      <c r="U15">
        <v>0.31807000000000002</v>
      </c>
      <c r="V15">
        <v>1680</v>
      </c>
      <c r="W15" t="str">
        <v>20364T-SEMEN AVIA (RIERETA)</v>
      </c>
    </row>
    <row r="16" spans="1:23" x14ac:dyDescent="0.25">
      <c r="A16" t="str">
        <v>2025-10-17</v>
      </c>
      <c r="B16" t="str">
        <v>20281T-EL PLA DE LES ALZINES naus 1,2 i 3-L:38-N:1-A:3001-POLLO AMARILLO MACHO</v>
      </c>
      <c r="C16" t="str">
        <v>POLLO AMARILLO MACHO</v>
      </c>
      <c r="D16">
        <v>9762</v>
      </c>
      <c r="E16" t="str">
        <v>Broiler Amarillo</v>
      </c>
      <c r="F16">
        <v>38</v>
      </c>
      <c r="G16">
        <v>0</v>
      </c>
      <c r="H16" t="str">
        <v>Abierto</v>
      </c>
      <c r="I16">
        <v>2.3809999999999998</v>
      </c>
      <c r="J16">
        <v>2.3563200000000002</v>
      </c>
      <c r="K16">
        <v>2.569</v>
      </c>
      <c r="L16">
        <v>10100</v>
      </c>
      <c r="M16">
        <v>0</v>
      </c>
      <c r="N16">
        <v>338</v>
      </c>
      <c r="O16">
        <v>338</v>
      </c>
      <c r="P16">
        <v>10601</v>
      </c>
      <c r="Q16">
        <v>24956.006000000001</v>
      </c>
      <c r="R16">
        <v>0.50480952380952382</v>
      </c>
      <c r="S16">
        <v>21.059920675105484</v>
      </c>
      <c r="T16">
        <v>21.059920675105484</v>
      </c>
      <c r="U16">
        <v>0.50480999999999998</v>
      </c>
      <c r="V16">
        <v>1185</v>
      </c>
      <c r="W16" t="str">
        <v>20281T-EL PLA DE LES ALZINES naus 1,2 i 3</v>
      </c>
    </row>
    <row r="17" spans="1:23" x14ac:dyDescent="0.25">
      <c r="A17" t="str">
        <v>2025-10-17</v>
      </c>
      <c r="B17" t="str">
        <v>20342T-LA RABAL-L:37-N:4-A:3001-POLLO AMARILLO MACHO</v>
      </c>
      <c r="C17" t="str">
        <v>POLLO AMARILLO MACHO</v>
      </c>
      <c r="D17">
        <v>7185</v>
      </c>
      <c r="E17" t="str">
        <v>Broiler Amarillo</v>
      </c>
      <c r="F17">
        <v>39</v>
      </c>
      <c r="G17">
        <v>0</v>
      </c>
      <c r="H17" t="str">
        <v>Abierto</v>
      </c>
      <c r="I17">
        <v>2.35995</v>
      </c>
      <c r="J17">
        <v>2.3480799999999999</v>
      </c>
      <c r="K17">
        <v>2.6680000000000001</v>
      </c>
      <c r="L17">
        <v>11700</v>
      </c>
      <c r="M17">
        <v>-4131</v>
      </c>
      <c r="N17">
        <v>371</v>
      </c>
      <c r="O17">
        <v>371</v>
      </c>
      <c r="P17">
        <v>7185</v>
      </c>
      <c r="Q17">
        <v>16956.241000000002</v>
      </c>
      <c r="R17">
        <v>0.57479999999999998</v>
      </c>
      <c r="S17">
        <v>21.935628719275549</v>
      </c>
      <c r="T17">
        <v>21.935628719275549</v>
      </c>
      <c r="U17">
        <v>0.57479999999999998</v>
      </c>
      <c r="V17">
        <v>773</v>
      </c>
      <c r="W17" t="str">
        <v>20342T-LA RABAL</v>
      </c>
    </row>
    <row r="18" spans="1:23" x14ac:dyDescent="0.25">
      <c r="A18" t="str">
        <v>2025-10-17</v>
      </c>
      <c r="B18" t="str">
        <v>20342T-LA RABAL-L:37-N:3-A:3001-POLLO AMARILLO MACHO</v>
      </c>
      <c r="C18" t="str">
        <v>POLLO AMARILLO MACHO</v>
      </c>
      <c r="D18">
        <v>8855</v>
      </c>
      <c r="E18" t="str">
        <v>Broiler Amarillo</v>
      </c>
      <c r="F18">
        <v>39</v>
      </c>
      <c r="G18">
        <v>0</v>
      </c>
      <c r="H18" t="str">
        <v>Abierto</v>
      </c>
      <c r="I18">
        <v>2.3122500000000001</v>
      </c>
      <c r="J18">
        <v>2.2675200000000002</v>
      </c>
      <c r="K18">
        <v>2.6680000000000001</v>
      </c>
      <c r="L18">
        <v>11700</v>
      </c>
      <c r="M18">
        <v>-2246</v>
      </c>
      <c r="N18">
        <v>371</v>
      </c>
      <c r="O18">
        <v>371</v>
      </c>
      <c r="P18">
        <v>8855</v>
      </c>
      <c r="Q18">
        <v>20474.973999999998</v>
      </c>
      <c r="R18">
        <v>0.70840000000000003</v>
      </c>
      <c r="S18">
        <v>26.4876765847348</v>
      </c>
      <c r="T18">
        <v>26.4876765847348</v>
      </c>
      <c r="U18">
        <v>0.70840000000000003</v>
      </c>
      <c r="V18">
        <v>773</v>
      </c>
      <c r="W18" t="str">
        <v>20342T-LA RABAL</v>
      </c>
    </row>
    <row r="19" spans="1:23" x14ac:dyDescent="0.25">
      <c r="A19" t="str">
        <v>2025-10-17</v>
      </c>
      <c r="B19" t="str">
        <v>20281T-EL PLA DE LES ALZINES naus 1,2 i 3-L:38-N:3-A:3001-POLLO AMARILLO MACHO</v>
      </c>
      <c r="C19" t="str">
        <v>POLLO AMARILLO MACHO</v>
      </c>
      <c r="D19">
        <v>19816</v>
      </c>
      <c r="E19" t="str">
        <v>Broiler Amarillo</v>
      </c>
      <c r="F19">
        <v>36</v>
      </c>
      <c r="G19">
        <v>0</v>
      </c>
      <c r="H19" t="str">
        <v>Abierto</v>
      </c>
      <c r="I19">
        <v>2.2999999999999998</v>
      </c>
      <c r="J19">
        <v>2.2999999999999998</v>
      </c>
      <c r="K19">
        <v>2.37</v>
      </c>
      <c r="L19">
        <v>20500</v>
      </c>
      <c r="M19">
        <v>0</v>
      </c>
      <c r="N19">
        <v>644</v>
      </c>
      <c r="O19">
        <v>644</v>
      </c>
      <c r="P19">
        <v>23716</v>
      </c>
      <c r="Q19">
        <v>53487.17</v>
      </c>
      <c r="R19">
        <v>0.71866666666666668</v>
      </c>
      <c r="S19">
        <v>30.459664009111616</v>
      </c>
      <c r="T19">
        <v>30.459664009111616</v>
      </c>
      <c r="U19">
        <v>0.71867000000000003</v>
      </c>
      <c r="V19">
        <v>1756</v>
      </c>
      <c r="W19" t="str">
        <v>20281T-EL PLA DE LES ALZINES naus 1,2 i 3</v>
      </c>
    </row>
    <row r="20" spans="1:23" x14ac:dyDescent="0.25">
      <c r="A20" t="str">
        <v>2025-10-17</v>
      </c>
      <c r="B20" t="str">
        <v>20250T-DANIBLAN S.C.-L:38-N:1-A:3003-POLLO AMARILLO MIXTO</v>
      </c>
      <c r="C20" t="str">
        <v>POLLO AMARILLO MIXTO</v>
      </c>
      <c r="D20">
        <v>15738</v>
      </c>
      <c r="E20" t="str">
        <v>Broiler Amarillo</v>
      </c>
      <c r="F20">
        <v>36</v>
      </c>
      <c r="G20">
        <v>0</v>
      </c>
      <c r="H20" t="str">
        <v>Abierto</v>
      </c>
      <c r="I20">
        <v>2.2618999999999998</v>
      </c>
      <c r="J20">
        <v>2.2636099999999999</v>
      </c>
      <c r="K20">
        <v>2.2210000000000001</v>
      </c>
      <c r="L20">
        <v>18700</v>
      </c>
      <c r="M20">
        <v>-2354</v>
      </c>
      <c r="N20">
        <v>593</v>
      </c>
      <c r="O20">
        <v>600</v>
      </c>
      <c r="P20">
        <v>15738</v>
      </c>
      <c r="Q20">
        <v>35597.781999999999</v>
      </c>
      <c r="R20">
        <v>0.8743333333333333</v>
      </c>
      <c r="S20">
        <v>35.175673913043475</v>
      </c>
      <c r="T20">
        <v>35.175673913043475</v>
      </c>
      <c r="U20">
        <v>0.87433000000000005</v>
      </c>
      <c r="V20">
        <v>1012</v>
      </c>
      <c r="W20" t="str">
        <v>20250T-DANIBLAN S.C.</v>
      </c>
    </row>
    <row r="21" spans="1:23" x14ac:dyDescent="0.25">
      <c r="A21" t="str">
        <v>2025-10-17</v>
      </c>
      <c r="B21" t="str">
        <v>20250T-DANIBLAN S.C.-L:38-N:2-A:3003-POLLO AMARILLO MIXTO</v>
      </c>
      <c r="C21" t="str">
        <v>POLLO AMARILLO MIXTO</v>
      </c>
      <c r="D21">
        <v>14772</v>
      </c>
      <c r="E21" t="str">
        <v>Broiler Amarillo</v>
      </c>
      <c r="F21">
        <v>36</v>
      </c>
      <c r="G21">
        <v>0</v>
      </c>
      <c r="H21" t="str">
        <v>Abierto</v>
      </c>
      <c r="I21">
        <v>2.26172</v>
      </c>
      <c r="J21">
        <v>2.26342</v>
      </c>
      <c r="K21">
        <v>2.2210000000000001</v>
      </c>
      <c r="L21">
        <v>17700</v>
      </c>
      <c r="M21">
        <v>-2368</v>
      </c>
      <c r="N21">
        <v>550</v>
      </c>
      <c r="O21">
        <v>556</v>
      </c>
      <c r="P21">
        <v>14772</v>
      </c>
      <c r="Q21">
        <v>33410.127999999997</v>
      </c>
      <c r="R21">
        <v>0.82066666666666666</v>
      </c>
      <c r="S21">
        <v>34.550287487073426</v>
      </c>
      <c r="T21">
        <v>34.550287487073426</v>
      </c>
      <c r="U21">
        <v>0.82067000000000001</v>
      </c>
      <c r="V21">
        <v>967</v>
      </c>
      <c r="W21" t="str">
        <v>20250T-DANIBLAN S.C.</v>
      </c>
    </row>
    <row r="22" spans="1:23" x14ac:dyDescent="0.25">
      <c r="A22" t="str">
        <v>2025-10-17</v>
      </c>
      <c r="B22" t="str">
        <v>20264T-ROS-SELVA S.C.P.-L:39-N:2-A:3001-POLLO AMARILLO MACHO</v>
      </c>
      <c r="C22" t="str">
        <v>POLLO AMARILLO MACHO</v>
      </c>
      <c r="D22">
        <v>15394</v>
      </c>
      <c r="E22" t="str">
        <v>Broiler Amarillo</v>
      </c>
      <c r="F22">
        <v>35</v>
      </c>
      <c r="G22">
        <v>0</v>
      </c>
      <c r="H22" t="str">
        <v>Abierto</v>
      </c>
      <c r="I22">
        <v>2.2029999999999998</v>
      </c>
      <c r="J22">
        <v>2.1929099999999999</v>
      </c>
      <c r="K22">
        <v>2.2709999999999999</v>
      </c>
      <c r="L22">
        <v>15900</v>
      </c>
      <c r="M22">
        <v>0</v>
      </c>
      <c r="N22">
        <v>506</v>
      </c>
      <c r="O22">
        <v>506</v>
      </c>
      <c r="P22">
        <v>15016</v>
      </c>
      <c r="Q22">
        <v>33222.110999999997</v>
      </c>
      <c r="R22">
        <v>0.47669841269841268</v>
      </c>
      <c r="S22">
        <v>20.134612727272728</v>
      </c>
      <c r="T22">
        <v>20.134612727272728</v>
      </c>
      <c r="U22">
        <v>0.47670000000000001</v>
      </c>
      <c r="V22">
        <v>1650</v>
      </c>
      <c r="W22" t="str">
        <v>20264T-ROS-SELVA S.C.P.</v>
      </c>
    </row>
    <row r="23" spans="1:23" x14ac:dyDescent="0.25">
      <c r="A23" t="str">
        <v>2025-10-17</v>
      </c>
      <c r="B23" t="str">
        <v>20281T-EL PLA DE LES ALZINES naus 1,2 i 3-L:38-N:2-A:3002-POLLO AMARILLO HEMBRAS</v>
      </c>
      <c r="C23" t="str">
        <v>POLLO AMARILLO HEMBRAS</v>
      </c>
      <c r="D23">
        <v>4726</v>
      </c>
      <c r="E23" t="str">
        <v>Broiler Amarillo</v>
      </c>
      <c r="F23">
        <v>38</v>
      </c>
      <c r="G23">
        <v>0</v>
      </c>
      <c r="H23" t="str">
        <v>Abierto</v>
      </c>
      <c r="I23">
        <v>2.1614</v>
      </c>
      <c r="J23">
        <v>2.1619600000000001</v>
      </c>
      <c r="K23">
        <v>2.1480000000000001</v>
      </c>
      <c r="L23">
        <v>10100</v>
      </c>
      <c r="M23">
        <v>-5040</v>
      </c>
      <c r="N23">
        <v>334</v>
      </c>
      <c r="O23">
        <v>338</v>
      </c>
      <c r="P23">
        <v>9402</v>
      </c>
      <c r="Q23">
        <v>15358.376</v>
      </c>
      <c r="R23">
        <v>0.44771428571428573</v>
      </c>
      <c r="S23">
        <v>12.960654852320674</v>
      </c>
      <c r="T23">
        <v>12.960654852320674</v>
      </c>
      <c r="U23">
        <v>0.44771</v>
      </c>
      <c r="V23">
        <v>1185</v>
      </c>
      <c r="W23" t="str">
        <v>20281T-EL PLA DE LES ALZINES naus 1,2 i 3</v>
      </c>
    </row>
    <row r="24" spans="1:23" x14ac:dyDescent="0.25">
      <c r="A24" t="str">
        <v>2025-10-17</v>
      </c>
      <c r="B24" t="str">
        <v>20269T-GRANVOL SALA, SC (Sala Teixidor)-L:33-N:2-A:3002-POLLO AMARILLO HEMBRAS</v>
      </c>
      <c r="C24" t="str">
        <v>POLLO AMARILLO HEMBRAS</v>
      </c>
      <c r="D24">
        <v>3979</v>
      </c>
      <c r="E24" t="str">
        <v>Broiler Amarillo</v>
      </c>
      <c r="F24">
        <v>36</v>
      </c>
      <c r="G24">
        <v>0</v>
      </c>
      <c r="H24" t="str">
        <v>Abierto</v>
      </c>
      <c r="I24">
        <v>2.0413399999999999</v>
      </c>
      <c r="J24">
        <v>2.03911</v>
      </c>
      <c r="K24">
        <v>1.978</v>
      </c>
      <c r="L24">
        <v>11600</v>
      </c>
      <c r="M24">
        <v>-7236</v>
      </c>
      <c r="N24">
        <v>360</v>
      </c>
      <c r="O24">
        <v>360</v>
      </c>
      <c r="P24">
        <v>15201</v>
      </c>
      <c r="Q24">
        <v>36177.491999999998</v>
      </c>
      <c r="R24">
        <v>0.69095454545454549</v>
      </c>
      <c r="S24">
        <v>29.556774509803923</v>
      </c>
      <c r="T24">
        <v>29.556774509803923</v>
      </c>
      <c r="U24">
        <v>0.69094999999999995</v>
      </c>
      <c r="V24">
        <v>1224</v>
      </c>
      <c r="W24" t="str">
        <v>20269T-GRANVOL SALA, SC (Sala Teixidor)</v>
      </c>
    </row>
    <row r="25" spans="1:23" x14ac:dyDescent="0.25">
      <c r="A25" t="str">
        <v>2025-10-17</v>
      </c>
      <c r="B25" t="str">
        <v>20281T-EL PLA DE LES ALZINES naus 1,2 i 3-L:38-N:1-A:3002-POLLO AMARILLO HEMBRAS</v>
      </c>
      <c r="C25" t="str">
        <v>POLLO AMARILLO HEMBRAS</v>
      </c>
      <c r="D25">
        <v>839</v>
      </c>
      <c r="E25" t="str">
        <v>Broiler Amarillo</v>
      </c>
      <c r="F25">
        <v>38</v>
      </c>
      <c r="G25">
        <v>0</v>
      </c>
      <c r="H25" t="str">
        <v>Abierto</v>
      </c>
      <c r="I25">
        <v>2.0413399999999999</v>
      </c>
      <c r="J25">
        <v>2.00867</v>
      </c>
      <c r="K25">
        <v>2.1480000000000001</v>
      </c>
      <c r="L25">
        <v>10200</v>
      </c>
      <c r="M25">
        <v>-9021</v>
      </c>
      <c r="N25">
        <v>340</v>
      </c>
      <c r="O25">
        <v>340</v>
      </c>
      <c r="P25">
        <v>10601</v>
      </c>
      <c r="Q25">
        <v>24956.006000000001</v>
      </c>
      <c r="R25">
        <v>0.50480952380952382</v>
      </c>
      <c r="S25">
        <v>21.059920675105484</v>
      </c>
      <c r="T25">
        <v>21.059920675105484</v>
      </c>
      <c r="U25">
        <v>0.50480999999999998</v>
      </c>
      <c r="V25">
        <v>1185</v>
      </c>
      <c r="W25" t="str">
        <v>20281T-EL PLA DE LES ALZINES naus 1,2 i 3</v>
      </c>
    </row>
    <row r="26" spans="1:23" x14ac:dyDescent="0.25">
      <c r="A26" t="str">
        <v>2025-10-17</v>
      </c>
      <c r="B26" t="str">
        <v>20281T-EL PLA DE LES ALZINES naus 1,2 i 3-L:38-N:3-A:3002-POLLO AMARILLO HEMBRAS</v>
      </c>
      <c r="C26" t="str">
        <v>POLLO AMARILLO HEMBRAS</v>
      </c>
      <c r="D26">
        <v>3900</v>
      </c>
      <c r="E26" t="str">
        <v>Broiler Amarillo</v>
      </c>
      <c r="F26">
        <v>36</v>
      </c>
      <c r="G26">
        <v>0</v>
      </c>
      <c r="H26" t="str">
        <v>Abierto</v>
      </c>
      <c r="I26">
        <v>2.0283000000000002</v>
      </c>
      <c r="J26">
        <v>2.02434</v>
      </c>
      <c r="K26">
        <v>1.978</v>
      </c>
      <c r="L26">
        <v>13000</v>
      </c>
      <c r="M26">
        <v>-8554</v>
      </c>
      <c r="N26">
        <v>420</v>
      </c>
      <c r="O26">
        <v>420</v>
      </c>
      <c r="P26">
        <v>23716</v>
      </c>
      <c r="Q26">
        <v>53487.17</v>
      </c>
      <c r="R26">
        <v>0.71866666666666668</v>
      </c>
      <c r="S26">
        <v>30.459664009111616</v>
      </c>
      <c r="T26">
        <v>30.459664009111616</v>
      </c>
      <c r="U26">
        <v>0.71867000000000003</v>
      </c>
      <c r="V26">
        <v>1756</v>
      </c>
      <c r="W26" t="str">
        <v>20281T-EL PLA DE LES ALZINES naus 1,2 i 3</v>
      </c>
    </row>
    <row r="27" spans="1:23" x14ac:dyDescent="0.25">
      <c r="A27" t="str">
        <v>2025-10-17</v>
      </c>
      <c r="B27" t="str">
        <v>20389T-AVICOLA JUBERT-L:40-N:1-A:3001-POLLO AMARILLO MACHO</v>
      </c>
      <c r="C27" t="str">
        <v>POLLO AMARILLO MACHO</v>
      </c>
      <c r="D27">
        <v>16790</v>
      </c>
      <c r="E27" t="str">
        <v>Broiler Amarillo</v>
      </c>
      <c r="F27">
        <v>31</v>
      </c>
      <c r="G27">
        <v>0</v>
      </c>
      <c r="H27" t="str">
        <v>Abierto</v>
      </c>
      <c r="I27">
        <v>1.8680000000000001</v>
      </c>
      <c r="J27">
        <v>1.86656</v>
      </c>
      <c r="K27">
        <v>1.881</v>
      </c>
      <c r="L27">
        <v>17300</v>
      </c>
      <c r="M27">
        <v>0</v>
      </c>
      <c r="N27">
        <v>510</v>
      </c>
      <c r="O27">
        <v>510</v>
      </c>
      <c r="P27">
        <v>33480</v>
      </c>
      <c r="Q27">
        <v>58268</v>
      </c>
      <c r="R27">
        <v>0.98470588235294121</v>
      </c>
      <c r="S27">
        <v>32.371111111111112</v>
      </c>
      <c r="T27">
        <v>32.371111111111112</v>
      </c>
      <c r="U27">
        <v>0.98470999999999997</v>
      </c>
      <c r="V27">
        <v>1800</v>
      </c>
      <c r="W27" t="str">
        <v>20389T-AVICOLA JUBERT</v>
      </c>
    </row>
    <row r="28" spans="1:23" x14ac:dyDescent="0.25">
      <c r="A28" t="str">
        <v>2025-10-17</v>
      </c>
      <c r="B28" t="str">
        <v>20264T-ROS-SELVA S.C.P.-L:39-N:2-A:3002-POLLO AMARILLO HEMBRAS</v>
      </c>
      <c r="C28" t="str">
        <v>POLLO AMARILLO HEMBRAS</v>
      </c>
      <c r="D28">
        <v>-378</v>
      </c>
      <c r="E28" t="str">
        <v>Broiler Amarillo</v>
      </c>
      <c r="F28">
        <v>35</v>
      </c>
      <c r="G28">
        <v>0</v>
      </c>
      <c r="H28" t="str">
        <v>Abierto</v>
      </c>
      <c r="I28">
        <v>1.8277000000000001</v>
      </c>
      <c r="J28">
        <v>1.8214399999999999</v>
      </c>
      <c r="K28">
        <v>1.8959999999999999</v>
      </c>
      <c r="L28">
        <v>16300</v>
      </c>
      <c r="M28">
        <v>-16167</v>
      </c>
      <c r="N28">
        <v>511</v>
      </c>
      <c r="O28">
        <v>517</v>
      </c>
      <c r="P28">
        <v>15016</v>
      </c>
      <c r="Q28">
        <v>33222.110999999997</v>
      </c>
      <c r="R28">
        <v>0.47669841269841268</v>
      </c>
      <c r="S28">
        <v>20.134612727272728</v>
      </c>
      <c r="T28">
        <v>20.134612727272728</v>
      </c>
      <c r="U28">
        <v>0.47670000000000001</v>
      </c>
      <c r="V28">
        <v>1650</v>
      </c>
      <c r="W28" t="str">
        <v>20264T-ROS-SELVA S.C.P.</v>
      </c>
    </row>
    <row r="29" spans="1:23" x14ac:dyDescent="0.25">
      <c r="A29" t="str">
        <v>2025-10-17</v>
      </c>
      <c r="B29" t="str">
        <v>20255T-LA RABAL-L:32-N:7-A:3001-POLLO AMARILLO MACHO</v>
      </c>
      <c r="C29" t="str">
        <v>POLLO AMARILLO MACHO</v>
      </c>
      <c r="D29">
        <v>9186</v>
      </c>
      <c r="E29" t="str">
        <v>Broiler Amarillo</v>
      </c>
      <c r="F29">
        <v>31</v>
      </c>
      <c r="G29">
        <v>0</v>
      </c>
      <c r="H29" t="str">
        <v>Abierto</v>
      </c>
      <c r="I29">
        <v>1.79</v>
      </c>
      <c r="J29">
        <v>1.78522</v>
      </c>
      <c r="K29">
        <v>1.881</v>
      </c>
      <c r="L29">
        <v>9300</v>
      </c>
      <c r="M29">
        <v>0</v>
      </c>
      <c r="N29">
        <v>101</v>
      </c>
      <c r="O29">
        <v>102</v>
      </c>
      <c r="P29">
        <v>21364</v>
      </c>
      <c r="Q29">
        <v>34015.794000000002</v>
      </c>
      <c r="R29">
        <v>1.0173333333333334</v>
      </c>
      <c r="S29">
        <v>26.389289371605894</v>
      </c>
      <c r="T29">
        <v>26.389289371605894</v>
      </c>
      <c r="U29">
        <v>1.0173300000000001</v>
      </c>
      <c r="V29">
        <v>1289</v>
      </c>
      <c r="W29" t="str">
        <v>20255T-LA RABAL</v>
      </c>
    </row>
    <row r="30" spans="1:23" x14ac:dyDescent="0.25">
      <c r="A30" t="str">
        <v>2025-10-17</v>
      </c>
      <c r="B30" t="str">
        <v>20380T-COMELLAS-L:39-N:2-A:3002-POLLO AMARILLO HEMBRAS</v>
      </c>
      <c r="C30" t="str">
        <v>POLLO AMARILLO HEMBRAS</v>
      </c>
      <c r="D30">
        <v>10047</v>
      </c>
      <c r="E30" t="str">
        <v>Broiler Amarillo</v>
      </c>
      <c r="F30">
        <v>32</v>
      </c>
      <c r="G30">
        <v>0</v>
      </c>
      <c r="H30" t="str">
        <v>Abierto</v>
      </c>
      <c r="I30">
        <v>1.7866200000000001</v>
      </c>
      <c r="J30">
        <v>1.7866200000000001</v>
      </c>
      <c r="K30">
        <v>1.7390000000000001</v>
      </c>
      <c r="L30">
        <v>16900</v>
      </c>
      <c r="M30">
        <v>-6336</v>
      </c>
      <c r="N30">
        <v>513</v>
      </c>
      <c r="O30">
        <v>513</v>
      </c>
      <c r="P30">
        <v>20958</v>
      </c>
      <c r="Q30">
        <v>28861.170999999998</v>
      </c>
      <c r="R30">
        <v>0.61641176470588233</v>
      </c>
      <c r="S30">
        <v>15.031859895833334</v>
      </c>
      <c r="T30">
        <v>15.031859895833334</v>
      </c>
      <c r="U30">
        <v>0.61641000000000001</v>
      </c>
      <c r="V30">
        <v>1920</v>
      </c>
      <c r="W30" t="str">
        <v>20380T-COMELLAS</v>
      </c>
    </row>
    <row r="31" spans="1:23" x14ac:dyDescent="0.25">
      <c r="A31" t="str">
        <v>2025-10-17</v>
      </c>
      <c r="B31" t="str">
        <v>20380T-COMELLAS-L:39-N:1-A:3002-POLLO AMARILLO HEMBRAS</v>
      </c>
      <c r="C31" t="str">
        <v>POLLO AMARILLO HEMBRAS</v>
      </c>
      <c r="D31">
        <v>9810</v>
      </c>
      <c r="E31" t="str">
        <v>Broiler Amarillo</v>
      </c>
      <c r="F31">
        <v>32</v>
      </c>
      <c r="G31">
        <v>0</v>
      </c>
      <c r="H31" t="str">
        <v>Abierto</v>
      </c>
      <c r="I31">
        <v>1.75505</v>
      </c>
      <c r="J31">
        <v>1.75505</v>
      </c>
      <c r="K31">
        <v>1.7390000000000001</v>
      </c>
      <c r="L31">
        <v>16300</v>
      </c>
      <c r="M31">
        <v>-6336</v>
      </c>
      <c r="N31">
        <v>150</v>
      </c>
      <c r="O31">
        <v>150</v>
      </c>
      <c r="P31">
        <v>19704</v>
      </c>
      <c r="Q31">
        <v>27111.041000000001</v>
      </c>
      <c r="R31">
        <v>0.61575000000000002</v>
      </c>
      <c r="S31">
        <v>15.061689444444445</v>
      </c>
      <c r="T31">
        <v>15.061689444444445</v>
      </c>
      <c r="U31">
        <v>0.61575000000000002</v>
      </c>
      <c r="V31">
        <v>1800</v>
      </c>
      <c r="W31" t="str">
        <v>20380T-COMELLAS</v>
      </c>
    </row>
    <row r="32" spans="1:23" x14ac:dyDescent="0.25">
      <c r="A32" t="str">
        <v>2025-10-17</v>
      </c>
      <c r="B32" t="str">
        <v>20381T-MELCIO POLLASTRES-L:39-N:1-A:3001-POLLO AMARILLO MACHO</v>
      </c>
      <c r="C32" t="str">
        <v>POLLO AMARILLO MACHO</v>
      </c>
      <c r="D32">
        <v>15937</v>
      </c>
      <c r="E32" t="str">
        <v>Broiler Amarillo</v>
      </c>
      <c r="F32">
        <v>31</v>
      </c>
      <c r="G32">
        <v>0</v>
      </c>
      <c r="H32" t="str">
        <v>Abierto</v>
      </c>
      <c r="I32">
        <v>1.7529999999999999</v>
      </c>
      <c r="J32">
        <v>1.73878</v>
      </c>
      <c r="K32">
        <v>1.881</v>
      </c>
      <c r="L32">
        <v>16500</v>
      </c>
      <c r="M32">
        <v>0</v>
      </c>
      <c r="N32">
        <v>493</v>
      </c>
      <c r="O32">
        <v>493</v>
      </c>
      <c r="P32">
        <v>33387</v>
      </c>
      <c r="Q32">
        <v>54636.061000000002</v>
      </c>
      <c r="R32">
        <v>0.99366071428571423</v>
      </c>
      <c r="S32">
        <v>30.353367222222221</v>
      </c>
      <c r="T32">
        <v>30.353367222222221</v>
      </c>
      <c r="U32">
        <v>0.99365999999999999</v>
      </c>
      <c r="V32">
        <v>1800</v>
      </c>
      <c r="W32" t="str">
        <v>20381T-MELCIO POLLASTRES</v>
      </c>
    </row>
    <row r="33" spans="1:23" x14ac:dyDescent="0.25">
      <c r="A33" t="str">
        <v>2025-10-17</v>
      </c>
      <c r="B33" t="str">
        <v>20436T-AGRIIS ROS, SL-L:15-N:2-A:3001-POLLO AMARILLO MACHO</v>
      </c>
      <c r="C33" t="str">
        <v>POLLO AMARILLO MACHO</v>
      </c>
      <c r="D33">
        <v>8640</v>
      </c>
      <c r="E33" t="str">
        <v>Broiler Amarillo</v>
      </c>
      <c r="F33">
        <v>29</v>
      </c>
      <c r="G33">
        <v>0</v>
      </c>
      <c r="H33" t="str">
        <v>Abierto</v>
      </c>
      <c r="I33">
        <v>1.7370000000000001</v>
      </c>
      <c r="J33">
        <v>1.73953</v>
      </c>
      <c r="K33">
        <v>1.6930000000000001</v>
      </c>
      <c r="L33">
        <v>8900</v>
      </c>
      <c r="M33">
        <v>0</v>
      </c>
      <c r="N33">
        <v>252</v>
      </c>
      <c r="O33">
        <v>255</v>
      </c>
      <c r="P33">
        <v>17186</v>
      </c>
      <c r="Q33">
        <v>28134.335999999999</v>
      </c>
      <c r="R33">
        <v>0.95477777777777773</v>
      </c>
      <c r="S33">
        <v>29.367782881002089</v>
      </c>
      <c r="T33">
        <v>29.367782881002089</v>
      </c>
      <c r="U33">
        <v>0.95477999999999996</v>
      </c>
      <c r="V33">
        <v>958</v>
      </c>
      <c r="W33" t="str">
        <v>20436T-AGRIIS ROS, SL</v>
      </c>
    </row>
    <row r="34" spans="1:23" x14ac:dyDescent="0.25">
      <c r="A34" t="str">
        <v>2025-10-17</v>
      </c>
      <c r="B34" t="str">
        <v>20436T-AGRIIS ROS, SL-L:15-N:1-A:3001-POLLO AMARILLO MACHO</v>
      </c>
      <c r="C34" t="str">
        <v>POLLO AMARILLO MACHO</v>
      </c>
      <c r="D34">
        <v>8571</v>
      </c>
      <c r="E34" t="str">
        <v>Broiler Amarillo</v>
      </c>
      <c r="F34">
        <v>29</v>
      </c>
      <c r="G34">
        <v>0</v>
      </c>
      <c r="H34" t="str">
        <v>Abierto</v>
      </c>
      <c r="I34">
        <v>1.7330000000000001</v>
      </c>
      <c r="J34">
        <v>1.7353000000000001</v>
      </c>
      <c r="K34">
        <v>1.6930000000000001</v>
      </c>
      <c r="L34">
        <v>8800</v>
      </c>
      <c r="M34">
        <v>0</v>
      </c>
      <c r="N34">
        <v>223</v>
      </c>
      <c r="O34">
        <v>226</v>
      </c>
      <c r="P34">
        <v>17124</v>
      </c>
      <c r="Q34">
        <v>27948.186000000002</v>
      </c>
      <c r="R34">
        <v>0.95133333333333336</v>
      </c>
      <c r="S34">
        <v>29.419143157894737</v>
      </c>
      <c r="T34">
        <v>29.419143157894737</v>
      </c>
      <c r="U34">
        <v>0.95133000000000001</v>
      </c>
      <c r="V34">
        <v>950</v>
      </c>
      <c r="W34" t="str">
        <v>20436T-AGRIIS ROS, SL</v>
      </c>
    </row>
    <row r="35" spans="1:23" x14ac:dyDescent="0.25">
      <c r="A35" t="str">
        <v>2025-10-17</v>
      </c>
      <c r="B35" t="str">
        <v>20342T-LA RABAL-L:37-N:6-A:3002-POLLO AMARILLO HEMBRAS</v>
      </c>
      <c r="C35" t="str">
        <v>POLLO AMARILLO HEMBRAS</v>
      </c>
      <c r="D35">
        <v>2547</v>
      </c>
      <c r="E35" t="str">
        <v>Broiler Amarillo</v>
      </c>
      <c r="F35">
        <v>39</v>
      </c>
      <c r="G35">
        <v>0</v>
      </c>
      <c r="H35" t="str">
        <v>Abierto</v>
      </c>
      <c r="I35">
        <v>1.7026399999999999</v>
      </c>
      <c r="J35">
        <v>1.6334900000000001</v>
      </c>
      <c r="K35">
        <v>2.2349999999999999</v>
      </c>
      <c r="L35">
        <v>11700</v>
      </c>
      <c r="M35">
        <v>-8702</v>
      </c>
      <c r="N35">
        <v>375</v>
      </c>
      <c r="O35">
        <v>375</v>
      </c>
      <c r="P35">
        <v>2547</v>
      </c>
      <c r="Q35">
        <v>4336.6239999999998</v>
      </c>
      <c r="R35">
        <v>0.25469999999999998</v>
      </c>
      <c r="S35">
        <v>5.6101216041397155</v>
      </c>
      <c r="T35">
        <v>5.6101216041397155</v>
      </c>
      <c r="U35">
        <v>0.25469999999999998</v>
      </c>
      <c r="V35">
        <v>773</v>
      </c>
      <c r="W35" t="str">
        <v>20342T-LA RABAL</v>
      </c>
    </row>
    <row r="36" spans="1:23" x14ac:dyDescent="0.25">
      <c r="A36" t="str">
        <v>2025-10-17</v>
      </c>
      <c r="B36" t="str">
        <v>20269T-GRANVOL SALA, SC (Sala Teixidor)-L:33-N:1-A:3003-POLLO AMARILLO MIXTO</v>
      </c>
      <c r="C36" t="str">
        <v>POLLO AMARILLO MIXTO</v>
      </c>
      <c r="D36">
        <v>26663</v>
      </c>
      <c r="E36" t="str">
        <v>Broiler Amarillo</v>
      </c>
      <c r="F36">
        <v>29</v>
      </c>
      <c r="G36">
        <v>0</v>
      </c>
      <c r="H36" t="str">
        <v>Abierto</v>
      </c>
      <c r="I36">
        <v>1.65</v>
      </c>
      <c r="J36">
        <v>1.65</v>
      </c>
      <c r="K36">
        <v>1.6060000000000001</v>
      </c>
      <c r="L36">
        <v>27500</v>
      </c>
      <c r="M36">
        <v>0</v>
      </c>
      <c r="N36">
        <v>807</v>
      </c>
      <c r="O36">
        <v>807</v>
      </c>
      <c r="P36">
        <v>26663</v>
      </c>
      <c r="Q36">
        <v>43993.95</v>
      </c>
      <c r="R36">
        <v>0.98751851851851857</v>
      </c>
      <c r="S36">
        <v>29.3293</v>
      </c>
      <c r="T36">
        <v>29.3293</v>
      </c>
      <c r="U36">
        <v>0.98751999999999995</v>
      </c>
      <c r="V36">
        <v>1500</v>
      </c>
      <c r="W36" t="str">
        <v>20269T-GRANVOL SALA, SC (Sala Teixidor)</v>
      </c>
    </row>
    <row r="37" spans="1:23" x14ac:dyDescent="0.25">
      <c r="A37" t="str">
        <v>2025-10-17</v>
      </c>
      <c r="B37" t="str">
        <v>20389T-AVICOLA JUBERT-L:40-N:1-A:3002-POLLO AMARILLO HEMBRAS</v>
      </c>
      <c r="C37" t="str">
        <v>POLLO AMARILLO HEMBRAS</v>
      </c>
      <c r="D37">
        <v>16690</v>
      </c>
      <c r="E37" t="str">
        <v>Broiler Amarillo</v>
      </c>
      <c r="F37">
        <v>31</v>
      </c>
      <c r="G37">
        <v>0</v>
      </c>
      <c r="H37" t="str">
        <v>Abierto</v>
      </c>
      <c r="I37">
        <v>1.6120000000000001</v>
      </c>
      <c r="J37">
        <v>1.6069599999999999</v>
      </c>
      <c r="K37">
        <v>1.6619999999999999</v>
      </c>
      <c r="L37">
        <v>17200</v>
      </c>
      <c r="M37">
        <v>0</v>
      </c>
      <c r="N37">
        <v>510</v>
      </c>
      <c r="O37">
        <v>510</v>
      </c>
      <c r="P37">
        <v>33480</v>
      </c>
      <c r="Q37">
        <v>58268</v>
      </c>
      <c r="R37">
        <v>0.98470588235294121</v>
      </c>
      <c r="S37">
        <v>32.371111111111112</v>
      </c>
      <c r="T37">
        <v>32.371111111111112</v>
      </c>
      <c r="U37">
        <v>0.98470999999999997</v>
      </c>
      <c r="V37">
        <v>1800</v>
      </c>
      <c r="W37" t="str">
        <v>20389T-AVICOLA JUBERT</v>
      </c>
    </row>
    <row r="38" spans="1:23" x14ac:dyDescent="0.25">
      <c r="A38" t="str">
        <v>2025-10-17</v>
      </c>
      <c r="B38" t="str">
        <v>20436T-AGRIIS ROS, SL-L:15-N:2-A:3002-POLLO AMARILLO HEMBRAS</v>
      </c>
      <c r="C38" t="str">
        <v>POLLO AMARILLO HEMBRAS</v>
      </c>
      <c r="D38">
        <v>8546</v>
      </c>
      <c r="E38" t="str">
        <v>Broiler Amarillo</v>
      </c>
      <c r="F38">
        <v>29</v>
      </c>
      <c r="G38">
        <v>0</v>
      </c>
      <c r="H38" t="str">
        <v>Abierto</v>
      </c>
      <c r="I38">
        <v>1.536</v>
      </c>
      <c r="J38">
        <v>1.5373600000000001</v>
      </c>
      <c r="K38">
        <v>1.51</v>
      </c>
      <c r="L38">
        <v>8800</v>
      </c>
      <c r="M38">
        <v>0</v>
      </c>
      <c r="N38">
        <v>249</v>
      </c>
      <c r="O38">
        <v>252</v>
      </c>
      <c r="P38">
        <v>17186</v>
      </c>
      <c r="Q38">
        <v>28134.335999999999</v>
      </c>
      <c r="R38">
        <v>0.95477777777777773</v>
      </c>
      <c r="S38">
        <v>29.367782881002089</v>
      </c>
      <c r="T38">
        <v>29.367782881002089</v>
      </c>
      <c r="U38">
        <v>0.95477999999999996</v>
      </c>
      <c r="V38">
        <v>958</v>
      </c>
      <c r="W38" t="str">
        <v>20436T-AGRIIS ROS, SL</v>
      </c>
    </row>
    <row r="39" spans="1:23" x14ac:dyDescent="0.25">
      <c r="A39" t="str">
        <v>2025-10-17</v>
      </c>
      <c r="B39" t="str">
        <v>20436T-AGRIIS ROS, SL-L:15-N:1-A:3002-POLLO AMARILLO HEMBRAS</v>
      </c>
      <c r="C39" t="str">
        <v>POLLO AMARILLO HEMBRAS</v>
      </c>
      <c r="D39">
        <v>8553</v>
      </c>
      <c r="E39" t="str">
        <v>Broiler Amarillo</v>
      </c>
      <c r="F39">
        <v>29</v>
      </c>
      <c r="G39">
        <v>0</v>
      </c>
      <c r="H39" t="str">
        <v>Abierto</v>
      </c>
      <c r="I39">
        <v>1.5309999999999999</v>
      </c>
      <c r="J39">
        <v>1.5321</v>
      </c>
      <c r="K39">
        <v>1.51</v>
      </c>
      <c r="L39">
        <v>8800</v>
      </c>
      <c r="M39">
        <v>0</v>
      </c>
      <c r="N39">
        <v>243</v>
      </c>
      <c r="O39">
        <v>246</v>
      </c>
      <c r="P39">
        <v>17124</v>
      </c>
      <c r="Q39">
        <v>27948.186000000002</v>
      </c>
      <c r="R39">
        <v>0.95133333333333336</v>
      </c>
      <c r="S39">
        <v>29.419143157894737</v>
      </c>
      <c r="T39">
        <v>29.419143157894737</v>
      </c>
      <c r="U39">
        <v>0.95133000000000001</v>
      </c>
      <c r="V39">
        <v>950</v>
      </c>
      <c r="W39" t="str">
        <v>20436T-AGRIIS ROS, SL</v>
      </c>
    </row>
    <row r="40" spans="1:23" x14ac:dyDescent="0.25">
      <c r="A40" t="str">
        <v>2025-10-17</v>
      </c>
      <c r="B40" t="str">
        <v>20381T-MELCIO POLLASTRES-L:39-N:1-A:3002-POLLO AMARILLO HEMBRAS</v>
      </c>
      <c r="C40" t="str">
        <v>POLLO AMARILLO HEMBRAS</v>
      </c>
      <c r="D40">
        <v>17450</v>
      </c>
      <c r="E40" t="str">
        <v>Broiler Amarillo</v>
      </c>
      <c r="F40">
        <v>31</v>
      </c>
      <c r="G40">
        <v>0</v>
      </c>
      <c r="H40" t="str">
        <v>Abierto</v>
      </c>
      <c r="I40">
        <v>1.53</v>
      </c>
      <c r="J40">
        <v>1.5167200000000001</v>
      </c>
      <c r="K40">
        <v>1.6619999999999999</v>
      </c>
      <c r="L40">
        <v>18000</v>
      </c>
      <c r="M40">
        <v>0</v>
      </c>
      <c r="N40">
        <v>530</v>
      </c>
      <c r="O40">
        <v>530</v>
      </c>
      <c r="P40">
        <v>33387</v>
      </c>
      <c r="Q40">
        <v>54636.061000000002</v>
      </c>
      <c r="R40">
        <v>0.99366071428571423</v>
      </c>
      <c r="S40">
        <v>30.353367222222221</v>
      </c>
      <c r="T40">
        <v>30.353367222222221</v>
      </c>
      <c r="U40">
        <v>0.99365999999999999</v>
      </c>
      <c r="V40">
        <v>1800</v>
      </c>
      <c r="W40" t="str">
        <v>20381T-MELCIO POLLASTRES</v>
      </c>
    </row>
    <row r="41" spans="1:23" x14ac:dyDescent="0.25">
      <c r="A41" t="str">
        <v>2025-10-17</v>
      </c>
      <c r="B41" t="str">
        <v>20318T-PUIGPINOS PURGIMON SCP-L:38-N:4-A:3001-POLLO AMARILLO MACHO</v>
      </c>
      <c r="C41" t="str">
        <v>POLLO AMARILLO MACHO</v>
      </c>
      <c r="D41">
        <v>24821</v>
      </c>
      <c r="E41" t="str">
        <v>Broiler Amarillo</v>
      </c>
      <c r="F41">
        <v>28</v>
      </c>
      <c r="G41">
        <v>0</v>
      </c>
      <c r="H41" t="str">
        <v>Abierto</v>
      </c>
      <c r="I41">
        <v>1.4910000000000001</v>
      </c>
      <c r="J41">
        <v>1.4770700000000001</v>
      </c>
      <c r="K41">
        <v>1.601</v>
      </c>
      <c r="L41">
        <v>25500</v>
      </c>
      <c r="M41">
        <v>0</v>
      </c>
      <c r="N41">
        <v>679</v>
      </c>
      <c r="O41">
        <v>735</v>
      </c>
      <c r="P41">
        <v>34019</v>
      </c>
      <c r="Q41">
        <v>49572.578999999998</v>
      </c>
      <c r="R41">
        <v>0.9719714285714286</v>
      </c>
      <c r="S41">
        <v>25.8190515625</v>
      </c>
      <c r="T41">
        <v>25.8190515625</v>
      </c>
      <c r="U41">
        <v>0.97197</v>
      </c>
      <c r="V41">
        <v>1920</v>
      </c>
      <c r="W41" t="str">
        <v>20318T-PUIGPINOS PURGIMON SCP</v>
      </c>
    </row>
    <row r="42" spans="1:23" x14ac:dyDescent="0.25">
      <c r="A42" t="str">
        <v>2025-10-17</v>
      </c>
      <c r="B42" t="str">
        <v>20255T-LA RABAL-L:32-N:1-A:3003-POLLO AMARILLO MIXTO</v>
      </c>
      <c r="C42" t="str">
        <v>POLLO AMARILLO MIXTO</v>
      </c>
      <c r="D42">
        <v>16286</v>
      </c>
      <c r="E42" t="str">
        <v>Broiler Amarillo</v>
      </c>
      <c r="F42">
        <v>29</v>
      </c>
      <c r="G42">
        <v>0</v>
      </c>
      <c r="H42" t="str">
        <v>Abierto</v>
      </c>
      <c r="I42">
        <v>1.47</v>
      </c>
      <c r="J42">
        <v>1.4624900000000001</v>
      </c>
      <c r="K42">
        <v>1.6060000000000001</v>
      </c>
      <c r="L42">
        <v>16650</v>
      </c>
      <c r="M42">
        <v>0</v>
      </c>
      <c r="N42">
        <v>350</v>
      </c>
      <c r="O42">
        <v>354</v>
      </c>
      <c r="P42">
        <v>16286</v>
      </c>
      <c r="Q42">
        <v>23940.42</v>
      </c>
      <c r="R42">
        <v>0.90477777777777779</v>
      </c>
      <c r="S42">
        <v>24.453953013278856</v>
      </c>
      <c r="T42">
        <v>24.453953013278856</v>
      </c>
      <c r="U42">
        <v>0.90478000000000003</v>
      </c>
      <c r="V42">
        <v>979</v>
      </c>
      <c r="W42" t="str">
        <v>20255T-LA RABAL</v>
      </c>
    </row>
    <row r="43" spans="1:23" x14ac:dyDescent="0.25">
      <c r="A43" t="str">
        <v>2025-10-17</v>
      </c>
      <c r="B43" t="str">
        <v>20318T-PUIGPINOS PURGIMON SCP-L:38-N:1-A:3001-POLLO AMARILLO MACHO</v>
      </c>
      <c r="C43" t="str">
        <v>POLLO AMARILLO MACHO</v>
      </c>
      <c r="D43">
        <v>16222</v>
      </c>
      <c r="E43" t="str">
        <v>Broiler Amarillo</v>
      </c>
      <c r="F43">
        <v>28</v>
      </c>
      <c r="G43">
        <v>0</v>
      </c>
      <c r="H43" t="str">
        <v>Abierto</v>
      </c>
      <c r="I43">
        <v>1.4670000000000001</v>
      </c>
      <c r="J43">
        <v>1.4500299999999999</v>
      </c>
      <c r="K43">
        <v>1.601</v>
      </c>
      <c r="L43">
        <v>16800</v>
      </c>
      <c r="M43">
        <v>0</v>
      </c>
      <c r="N43">
        <v>578</v>
      </c>
      <c r="O43">
        <v>486</v>
      </c>
      <c r="P43">
        <v>26709</v>
      </c>
      <c r="Q43">
        <v>37703.436000000002</v>
      </c>
      <c r="R43">
        <v>1.0272692307692308</v>
      </c>
      <c r="S43">
        <v>23.832766118836915</v>
      </c>
      <c r="T43">
        <v>23.832766118836915</v>
      </c>
      <c r="U43">
        <v>1.0272699999999999</v>
      </c>
      <c r="V43">
        <v>1582</v>
      </c>
      <c r="W43" t="str">
        <v>20318T-PUIGPINOS PURGIMON SCP</v>
      </c>
    </row>
    <row r="44" spans="1:23" x14ac:dyDescent="0.25">
      <c r="A44" t="str">
        <v>2025-10-17</v>
      </c>
      <c r="B44" t="str">
        <v>20255T-LA RABAL-L:32-N:7-A:3002-POLLO AMARILLO HEMBRAS</v>
      </c>
      <c r="C44" t="str">
        <v>POLLO AMARILLO HEMBRAS</v>
      </c>
      <c r="D44">
        <v>12178</v>
      </c>
      <c r="E44" t="str">
        <v>Broiler Amarillo</v>
      </c>
      <c r="F44">
        <v>31</v>
      </c>
      <c r="G44">
        <v>0</v>
      </c>
      <c r="H44" t="str">
        <v>Abierto</v>
      </c>
      <c r="I44">
        <v>1.4430000000000001</v>
      </c>
      <c r="J44">
        <v>1.4325000000000001</v>
      </c>
      <c r="K44">
        <v>1.6619999999999999</v>
      </c>
      <c r="L44">
        <v>12500</v>
      </c>
      <c r="M44">
        <v>0</v>
      </c>
      <c r="N44">
        <v>313</v>
      </c>
      <c r="O44">
        <v>317</v>
      </c>
      <c r="P44">
        <v>21364</v>
      </c>
      <c r="Q44">
        <v>34015.794000000002</v>
      </c>
      <c r="R44">
        <v>1.0173333333333334</v>
      </c>
      <c r="S44">
        <v>26.389289371605894</v>
      </c>
      <c r="T44">
        <v>26.389289371605894</v>
      </c>
      <c r="U44">
        <v>1.0173300000000001</v>
      </c>
      <c r="V44">
        <v>1289</v>
      </c>
      <c r="W44" t="str">
        <v>20255T-LA RABAL</v>
      </c>
    </row>
    <row r="45" spans="1:23" x14ac:dyDescent="0.25">
      <c r="A45" t="str">
        <v>2025-10-17</v>
      </c>
      <c r="B45" t="str">
        <v>20318T-PUIGPINOS PURGIMON SCP-L:38-N:2-A:3002-POLLO AMARILLO HEMBRAS</v>
      </c>
      <c r="C45" t="str">
        <v>POLLO AMARILLO HEMBRAS</v>
      </c>
      <c r="D45">
        <v>5768</v>
      </c>
      <c r="E45" t="str">
        <v>Broiler Amarillo</v>
      </c>
      <c r="F45">
        <v>28</v>
      </c>
      <c r="G45">
        <v>0</v>
      </c>
      <c r="H45" t="str">
        <v>Abierto</v>
      </c>
      <c r="I45">
        <v>1.3859999999999999</v>
      </c>
      <c r="J45">
        <v>1.38046</v>
      </c>
      <c r="K45">
        <v>1.4350000000000001</v>
      </c>
      <c r="L45">
        <v>5900</v>
      </c>
      <c r="M45">
        <v>0</v>
      </c>
      <c r="N45">
        <v>132</v>
      </c>
      <c r="O45">
        <v>166</v>
      </c>
      <c r="P45">
        <v>5768</v>
      </c>
      <c r="Q45">
        <v>7994.4480000000003</v>
      </c>
      <c r="R45">
        <v>1.1536</v>
      </c>
      <c r="S45">
        <v>19.98612</v>
      </c>
      <c r="T45">
        <v>19.98612</v>
      </c>
      <c r="U45">
        <v>1.1536</v>
      </c>
      <c r="V45">
        <v>400</v>
      </c>
      <c r="W45" t="str">
        <v>20318T-PUIGPINOS PURGIMON SCP</v>
      </c>
    </row>
    <row r="46" spans="1:23" x14ac:dyDescent="0.25">
      <c r="A46" t="str">
        <v>2025-10-17</v>
      </c>
      <c r="B46" t="str">
        <v>20318T-PUIGPINOS PURGIMON SCP-L:38-N:4-A:3002-POLLO AMARILLO HEMBRAS</v>
      </c>
      <c r="C46" t="str">
        <v>POLLO AMARILLO HEMBRAS</v>
      </c>
      <c r="D46">
        <v>9198</v>
      </c>
      <c r="E46" t="str">
        <v>Broiler Amarillo</v>
      </c>
      <c r="F46">
        <v>28</v>
      </c>
      <c r="G46">
        <v>0</v>
      </c>
      <c r="H46" t="str">
        <v>Abierto</v>
      </c>
      <c r="I46">
        <v>1.3660000000000001</v>
      </c>
      <c r="J46">
        <v>1.3581799999999999</v>
      </c>
      <c r="K46">
        <v>1.4350000000000001</v>
      </c>
      <c r="L46">
        <v>9400</v>
      </c>
      <c r="M46">
        <v>0</v>
      </c>
      <c r="N46">
        <v>202</v>
      </c>
      <c r="O46">
        <v>263</v>
      </c>
      <c r="P46">
        <v>34019</v>
      </c>
      <c r="Q46">
        <v>49572.578999999998</v>
      </c>
      <c r="R46">
        <v>0.9719714285714286</v>
      </c>
      <c r="S46">
        <v>25.8190515625</v>
      </c>
      <c r="T46">
        <v>25.8190515625</v>
      </c>
      <c r="U46">
        <v>0.97197</v>
      </c>
      <c r="V46">
        <v>1920</v>
      </c>
      <c r="W46" t="str">
        <v>20318T-PUIGPINOS PURGIMON SCP</v>
      </c>
    </row>
    <row r="47" spans="1:23" x14ac:dyDescent="0.25">
      <c r="A47" t="str">
        <v>2025-10-17</v>
      </c>
      <c r="B47" t="str">
        <v>20318T-PUIGPINOS PURGIMON SCP-L:38-N:3-A:3002-POLLO AMARILLO HEMBRAS</v>
      </c>
      <c r="C47" t="str">
        <v>POLLO AMARILLO HEMBRAS</v>
      </c>
      <c r="D47">
        <v>15270</v>
      </c>
      <c r="E47" t="str">
        <v>Broiler Amarillo</v>
      </c>
      <c r="F47">
        <v>28</v>
      </c>
      <c r="G47">
        <v>0</v>
      </c>
      <c r="H47" t="str">
        <v>Abierto</v>
      </c>
      <c r="I47">
        <v>1.347</v>
      </c>
      <c r="J47">
        <v>1.3370200000000001</v>
      </c>
      <c r="K47">
        <v>1.4350000000000001</v>
      </c>
      <c r="L47">
        <v>15700</v>
      </c>
      <c r="M47">
        <v>0</v>
      </c>
      <c r="N47">
        <v>430</v>
      </c>
      <c r="O47">
        <v>440</v>
      </c>
      <c r="P47">
        <v>15270</v>
      </c>
      <c r="Q47">
        <v>20568.689999999999</v>
      </c>
      <c r="R47">
        <v>0.84833333333333338</v>
      </c>
      <c r="S47">
        <v>23.373511363636364</v>
      </c>
      <c r="T47">
        <v>23.373511363636364</v>
      </c>
      <c r="U47">
        <v>0.84833000000000003</v>
      </c>
      <c r="V47">
        <v>880</v>
      </c>
      <c r="W47" t="str">
        <v>20318T-PUIGPINOS PURGIMON SCP</v>
      </c>
    </row>
    <row r="48" spans="1:23" x14ac:dyDescent="0.25">
      <c r="A48" t="str">
        <v>2025-10-17</v>
      </c>
      <c r="B48" t="str">
        <v>20211T-PUIG MIRALLES JOSEP M.-L:38-N:1-A:3001-POLLO AMARILLO MACHO</v>
      </c>
      <c r="C48" t="str">
        <v>POLLO AMARILLO MACHO</v>
      </c>
      <c r="D48">
        <v>13122</v>
      </c>
      <c r="E48" t="str">
        <v>Broiler Amarillo</v>
      </c>
      <c r="F48">
        <v>25</v>
      </c>
      <c r="G48">
        <v>0</v>
      </c>
      <c r="H48" t="str">
        <v>Abierto</v>
      </c>
      <c r="I48">
        <v>1.3340000000000001</v>
      </c>
      <c r="J48">
        <v>1.3340000000000001</v>
      </c>
      <c r="K48">
        <v>1.3340000000000001</v>
      </c>
      <c r="L48">
        <v>13500</v>
      </c>
      <c r="M48">
        <v>0</v>
      </c>
      <c r="N48">
        <v>378</v>
      </c>
      <c r="O48">
        <v>378</v>
      </c>
      <c r="P48">
        <v>26244</v>
      </c>
      <c r="Q48">
        <v>33474.222000000002</v>
      </c>
      <c r="R48">
        <v>0.92084210526315791</v>
      </c>
      <c r="S48">
        <v>22.316147999999998</v>
      </c>
      <c r="T48">
        <v>22.316147999999998</v>
      </c>
      <c r="U48">
        <v>0.92083999999999999</v>
      </c>
      <c r="V48">
        <v>1500</v>
      </c>
      <c r="W48" t="str">
        <v>20211T-PUIG MIRALLES JOSEP M.</v>
      </c>
    </row>
    <row r="49" spans="1:23" x14ac:dyDescent="0.25">
      <c r="A49" t="str">
        <v>2025-10-17</v>
      </c>
      <c r="B49" t="str">
        <v>20318T-PUIGPINOS PURGIMON SCP-L:38-N:1-A:3002-POLLO AMARILLO HEMBRAS</v>
      </c>
      <c r="C49" t="str">
        <v>POLLO AMARILLO HEMBRAS</v>
      </c>
      <c r="D49">
        <v>10487</v>
      </c>
      <c r="E49" t="str">
        <v>Broiler Amarillo</v>
      </c>
      <c r="F49">
        <v>28</v>
      </c>
      <c r="G49">
        <v>0</v>
      </c>
      <c r="H49" t="str">
        <v>Abierto</v>
      </c>
      <c r="I49">
        <v>1.3260000000000001</v>
      </c>
      <c r="J49">
        <v>1.3136399999999999</v>
      </c>
      <c r="K49">
        <v>1.4350000000000001</v>
      </c>
      <c r="L49">
        <v>10800</v>
      </c>
      <c r="M49">
        <v>0</v>
      </c>
      <c r="N49">
        <v>313</v>
      </c>
      <c r="O49">
        <v>311</v>
      </c>
      <c r="P49">
        <v>26709</v>
      </c>
      <c r="Q49">
        <v>37703.436000000002</v>
      </c>
      <c r="R49">
        <v>1.0272692307692308</v>
      </c>
      <c r="S49">
        <v>23.832766118836915</v>
      </c>
      <c r="T49">
        <v>23.832766118836915</v>
      </c>
      <c r="U49">
        <v>1.0272699999999999</v>
      </c>
      <c r="V49">
        <v>1582</v>
      </c>
      <c r="W49" t="str">
        <v>20318T-PUIGPINOS PURGIMON SCP</v>
      </c>
    </row>
    <row r="50" spans="1:23" x14ac:dyDescent="0.25">
      <c r="A50" t="str">
        <v>2025-10-17</v>
      </c>
      <c r="B50" t="str">
        <v>20435T-FINCA GOMA-L:21-N:2-A:3001-POLLO AMARILLO MACHO</v>
      </c>
      <c r="C50" t="str">
        <v>POLLO AMARILLO MACHO</v>
      </c>
      <c r="D50">
        <v>13411</v>
      </c>
      <c r="E50" t="str">
        <v>Broiler Amarillo</v>
      </c>
      <c r="F50">
        <v>24</v>
      </c>
      <c r="G50">
        <v>0</v>
      </c>
      <c r="H50" t="str">
        <v>Abierto</v>
      </c>
      <c r="I50">
        <v>1.2490000000000001</v>
      </c>
      <c r="J50">
        <v>1.2490000000000001</v>
      </c>
      <c r="K50">
        <v>1.2490000000000001</v>
      </c>
      <c r="L50">
        <v>13500</v>
      </c>
      <c r="M50">
        <v>0</v>
      </c>
      <c r="N50">
        <v>89</v>
      </c>
      <c r="O50">
        <v>89</v>
      </c>
      <c r="P50">
        <v>27551</v>
      </c>
      <c r="Q50">
        <v>32940.639000000003</v>
      </c>
      <c r="R50">
        <v>1.0018545454545456</v>
      </c>
      <c r="S50">
        <v>20.587899374999999</v>
      </c>
      <c r="T50">
        <v>20.587899374999999</v>
      </c>
      <c r="U50">
        <v>1.0018499999999999</v>
      </c>
      <c r="V50">
        <v>1600</v>
      </c>
      <c r="W50" t="str">
        <v>20435T-FINCA GOMA</v>
      </c>
    </row>
    <row r="51" spans="1:23" x14ac:dyDescent="0.25">
      <c r="A51" t="str">
        <v>2025-10-17</v>
      </c>
      <c r="B51" t="str">
        <v>20211T-PUIG MIRALLES JOSEP M.-L:38-N:2-A:3001-POLLO AMARILLO MACHO</v>
      </c>
      <c r="C51" t="str">
        <v>POLLO AMARILLO MACHO</v>
      </c>
      <c r="D51">
        <v>10988</v>
      </c>
      <c r="E51" t="str">
        <v>Broiler Amarillo</v>
      </c>
      <c r="F51">
        <v>24</v>
      </c>
      <c r="G51">
        <v>0</v>
      </c>
      <c r="H51" t="str">
        <v>Abierto</v>
      </c>
      <c r="I51">
        <v>1.2490000000000001</v>
      </c>
      <c r="J51">
        <v>1.2490000000000001</v>
      </c>
      <c r="K51">
        <v>1.2490000000000001</v>
      </c>
      <c r="L51">
        <v>11300</v>
      </c>
      <c r="M51">
        <v>0</v>
      </c>
      <c r="N51">
        <v>312</v>
      </c>
      <c r="O51">
        <v>312</v>
      </c>
      <c r="P51">
        <v>26009</v>
      </c>
      <c r="Q51">
        <v>30923.057000000001</v>
      </c>
      <c r="R51">
        <v>0.91259649122807018</v>
      </c>
      <c r="S51">
        <v>20.615371333333332</v>
      </c>
      <c r="T51">
        <v>20.615371333333332</v>
      </c>
      <c r="U51">
        <v>0.91259999999999997</v>
      </c>
      <c r="V51">
        <v>1500</v>
      </c>
      <c r="W51" t="str">
        <v>20211T-PUIG MIRALLES JOSEP M.</v>
      </c>
    </row>
    <row r="52" spans="1:23" x14ac:dyDescent="0.25">
      <c r="A52" t="str">
        <v>2025-10-17</v>
      </c>
      <c r="B52" t="str">
        <v>20211T-PUIG MIRALLES JOSEP M.-L:38-N:1-A:3002-POLLO AMARILLO HEMBRAS</v>
      </c>
      <c r="C52" t="str">
        <v>POLLO AMARILLO HEMBRAS</v>
      </c>
      <c r="D52">
        <v>13122</v>
      </c>
      <c r="E52" t="str">
        <v>Broiler Amarillo</v>
      </c>
      <c r="F52">
        <v>25</v>
      </c>
      <c r="G52">
        <v>0</v>
      </c>
      <c r="H52" t="str">
        <v>Abierto</v>
      </c>
      <c r="I52">
        <v>1.2170000000000001</v>
      </c>
      <c r="J52">
        <v>1.2170000000000001</v>
      </c>
      <c r="K52">
        <v>1.2170000000000001</v>
      </c>
      <c r="L52">
        <v>13500</v>
      </c>
      <c r="M52">
        <v>0</v>
      </c>
      <c r="N52">
        <v>378</v>
      </c>
      <c r="O52">
        <v>378</v>
      </c>
      <c r="P52">
        <v>26244</v>
      </c>
      <c r="Q52">
        <v>33474.222000000002</v>
      </c>
      <c r="R52">
        <v>0.92084210526315791</v>
      </c>
      <c r="S52">
        <v>22.316147999999998</v>
      </c>
      <c r="T52">
        <v>22.316147999999998</v>
      </c>
      <c r="U52">
        <v>0.92083999999999999</v>
      </c>
      <c r="V52">
        <v>1500</v>
      </c>
      <c r="W52" t="str">
        <v>20211T-PUIG MIRALLES JOSEP M.</v>
      </c>
    </row>
    <row r="53" spans="1:23" x14ac:dyDescent="0.25">
      <c r="A53" t="str">
        <v>2025-10-17</v>
      </c>
      <c r="B53" t="str">
        <v>20452T-GRANJA VALLS-L:1-N:1-A:3001-POLLO AMARILLO MACHO</v>
      </c>
      <c r="C53" t="str">
        <v>POLLO AMARILLO MACHO</v>
      </c>
      <c r="D53">
        <v>12635</v>
      </c>
      <c r="E53" t="str">
        <v>Broiler Amarillo</v>
      </c>
      <c r="F53">
        <v>25</v>
      </c>
      <c r="G53">
        <v>0</v>
      </c>
      <c r="H53" t="str">
        <v>Abierto</v>
      </c>
      <c r="I53">
        <v>1.2050000000000001</v>
      </c>
      <c r="J53">
        <v>1.1631100000000001</v>
      </c>
      <c r="K53">
        <v>1.3340000000000001</v>
      </c>
      <c r="L53">
        <v>13000</v>
      </c>
      <c r="M53">
        <v>0</v>
      </c>
      <c r="N53">
        <v>365</v>
      </c>
      <c r="O53">
        <v>365</v>
      </c>
      <c r="P53">
        <v>25270</v>
      </c>
      <c r="Q53">
        <v>29060.5</v>
      </c>
      <c r="R53">
        <v>0.97492283950617287</v>
      </c>
      <c r="S53">
        <v>20.450738916256157</v>
      </c>
      <c r="T53">
        <v>20.450738916256157</v>
      </c>
      <c r="U53">
        <v>0.97492000000000001</v>
      </c>
      <c r="V53">
        <v>1421</v>
      </c>
      <c r="W53" t="str">
        <v>20452T-GRANJA VALLS</v>
      </c>
    </row>
    <row r="54" spans="1:23" x14ac:dyDescent="0.25">
      <c r="A54" t="str">
        <v>2025-10-17</v>
      </c>
      <c r="B54" t="str">
        <v>20435T-FINCA GOMA-L:21-N:1-A:3001-POLLO AMARILLO MACHO</v>
      </c>
      <c r="C54" t="str">
        <v>POLLO AMARILLO MACHO</v>
      </c>
      <c r="D54">
        <v>13127</v>
      </c>
      <c r="E54" t="str">
        <v>Broiler Amarillo</v>
      </c>
      <c r="F54">
        <v>24</v>
      </c>
      <c r="G54">
        <v>0</v>
      </c>
      <c r="H54" t="str">
        <v>Abierto</v>
      </c>
      <c r="I54">
        <v>1.1890000000000001</v>
      </c>
      <c r="J54">
        <v>1.0932299999999999</v>
      </c>
      <c r="K54">
        <v>1.2490000000000001</v>
      </c>
      <c r="L54">
        <v>13500</v>
      </c>
      <c r="M54">
        <v>0</v>
      </c>
      <c r="N54">
        <v>373</v>
      </c>
      <c r="O54">
        <v>373</v>
      </c>
      <c r="P54">
        <v>27234</v>
      </c>
      <c r="Q54">
        <v>30617.850999999999</v>
      </c>
      <c r="R54">
        <v>0.99032727272727272</v>
      </c>
      <c r="S54">
        <v>19.136156875000001</v>
      </c>
      <c r="T54">
        <v>19.136156875000001</v>
      </c>
      <c r="U54">
        <v>0.99033000000000004</v>
      </c>
      <c r="V54">
        <v>1600</v>
      </c>
      <c r="W54" t="str">
        <v>20435T-FINCA GOMA</v>
      </c>
    </row>
    <row r="55" spans="1:23" x14ac:dyDescent="0.25">
      <c r="A55" t="str">
        <v>2025-10-17</v>
      </c>
      <c r="B55" t="str">
        <v>20452T-GRANJA VALLS-L:1-N:2-A:3003-POLLO AMARILLO MIXTO</v>
      </c>
      <c r="C55" t="str">
        <v>POLLO AMARILLO MIXTO</v>
      </c>
      <c r="D55">
        <v>21708</v>
      </c>
      <c r="E55" t="str">
        <v>Broiler Amarillo</v>
      </c>
      <c r="F55">
        <v>25</v>
      </c>
      <c r="G55">
        <v>0</v>
      </c>
      <c r="H55" t="str">
        <v>Abierto</v>
      </c>
      <c r="I55">
        <v>1.151</v>
      </c>
      <c r="J55">
        <v>1.11191</v>
      </c>
      <c r="K55">
        <v>1.276</v>
      </c>
      <c r="L55">
        <v>23000</v>
      </c>
      <c r="M55">
        <v>0</v>
      </c>
      <c r="N55">
        <v>632</v>
      </c>
      <c r="O55">
        <v>632</v>
      </c>
      <c r="P55">
        <v>21708</v>
      </c>
      <c r="Q55">
        <v>24985.907999999999</v>
      </c>
      <c r="R55">
        <v>0.94218749999999996</v>
      </c>
      <c r="S55">
        <v>19.581432601880877</v>
      </c>
      <c r="T55">
        <v>19.581432601880877</v>
      </c>
      <c r="U55">
        <v>0.94218999999999997</v>
      </c>
      <c r="V55">
        <v>1276</v>
      </c>
      <c r="W55" t="str">
        <v>20452T-GRANJA VALLS</v>
      </c>
    </row>
    <row r="56" spans="1:23" x14ac:dyDescent="0.25">
      <c r="A56" t="str">
        <v>2025-10-17</v>
      </c>
      <c r="B56" t="str">
        <v>20435T-FINCA GOMA-L:21-N:2-A:3002-POLLO AMARILLO HEMBRAS</v>
      </c>
      <c r="C56" t="str">
        <v>POLLO AMARILLO HEMBRAS</v>
      </c>
      <c r="D56">
        <v>14140</v>
      </c>
      <c r="E56" t="str">
        <v>Broiler Amarillo</v>
      </c>
      <c r="F56">
        <v>24</v>
      </c>
      <c r="G56">
        <v>0</v>
      </c>
      <c r="H56" t="str">
        <v>Abierto</v>
      </c>
      <c r="I56">
        <v>1.145</v>
      </c>
      <c r="J56">
        <v>1.145</v>
      </c>
      <c r="K56">
        <v>1.145</v>
      </c>
      <c r="L56">
        <v>14500</v>
      </c>
      <c r="M56">
        <v>0</v>
      </c>
      <c r="N56">
        <v>360</v>
      </c>
      <c r="O56">
        <v>360</v>
      </c>
      <c r="P56">
        <v>27551</v>
      </c>
      <c r="Q56">
        <v>32940.639000000003</v>
      </c>
      <c r="R56">
        <v>1.0018545454545456</v>
      </c>
      <c r="S56">
        <v>20.587899374999999</v>
      </c>
      <c r="T56">
        <v>20.587899374999999</v>
      </c>
      <c r="U56">
        <v>1.0018499999999999</v>
      </c>
      <c r="V56">
        <v>1600</v>
      </c>
      <c r="W56" t="str">
        <v>20435T-FINCA GOMA</v>
      </c>
    </row>
    <row r="57" spans="1:23" x14ac:dyDescent="0.25">
      <c r="A57" t="str">
        <v>2025-10-17</v>
      </c>
      <c r="B57" t="str">
        <v>20211T-PUIG MIRALLES JOSEP M.-L:38-N:2-A:3002-POLLO AMARILLO HEMBRAS</v>
      </c>
      <c r="C57" t="str">
        <v>POLLO AMARILLO HEMBRAS</v>
      </c>
      <c r="D57">
        <v>15021</v>
      </c>
      <c r="E57" t="str">
        <v>Broiler Amarillo</v>
      </c>
      <c r="F57">
        <v>24</v>
      </c>
      <c r="G57">
        <v>0</v>
      </c>
      <c r="H57" t="str">
        <v>Abierto</v>
      </c>
      <c r="I57">
        <v>1.145</v>
      </c>
      <c r="J57">
        <v>1.145</v>
      </c>
      <c r="K57">
        <v>1.145</v>
      </c>
      <c r="L57">
        <v>15400</v>
      </c>
      <c r="M57">
        <v>0</v>
      </c>
      <c r="N57">
        <v>379</v>
      </c>
      <c r="O57">
        <v>379</v>
      </c>
      <c r="P57">
        <v>26009</v>
      </c>
      <c r="Q57">
        <v>30923.057000000001</v>
      </c>
      <c r="R57">
        <v>0.91259649122807018</v>
      </c>
      <c r="S57">
        <v>20.615371333333332</v>
      </c>
      <c r="T57">
        <v>20.615371333333332</v>
      </c>
      <c r="U57">
        <v>0.91259999999999997</v>
      </c>
      <c r="V57">
        <v>1500</v>
      </c>
      <c r="W57" t="str">
        <v>20211T-PUIG MIRALLES JOSEP M.</v>
      </c>
    </row>
    <row r="58" spans="1:23" x14ac:dyDescent="0.25">
      <c r="A58" t="str">
        <v>2025-10-17</v>
      </c>
      <c r="B58" t="str">
        <v>20281T-EL PLA DE LES ALZINES naus 1,2 i 3-L:38-N:2-A:3001-POLLO AMARILLO MACHO</v>
      </c>
      <c r="C58" t="str">
        <v>POLLO AMARILLO MACHO</v>
      </c>
      <c r="D58">
        <v>4676</v>
      </c>
      <c r="E58" t="str">
        <v>Broiler Amarillo</v>
      </c>
      <c r="F58">
        <v>38</v>
      </c>
      <c r="G58">
        <v>0</v>
      </c>
      <c r="H58" t="str">
        <v>Abierto</v>
      </c>
      <c r="I58">
        <v>1.1000000000000001</v>
      </c>
      <c r="J58">
        <v>1.0405</v>
      </c>
      <c r="K58">
        <v>2.569</v>
      </c>
      <c r="L58">
        <v>10200</v>
      </c>
      <c r="M58">
        <v>-5184</v>
      </c>
      <c r="N58">
        <v>340</v>
      </c>
      <c r="O58">
        <v>340</v>
      </c>
      <c r="P58">
        <v>9402</v>
      </c>
      <c r="Q58">
        <v>15358.376</v>
      </c>
      <c r="R58">
        <v>0.44771428571428573</v>
      </c>
      <c r="S58">
        <v>12.960654852320674</v>
      </c>
      <c r="T58">
        <v>12.960654852320674</v>
      </c>
      <c r="U58">
        <v>0.44771</v>
      </c>
      <c r="V58">
        <v>1185</v>
      </c>
      <c r="W58" t="str">
        <v>20281T-EL PLA DE LES ALZINES naus 1,2 i 3</v>
      </c>
    </row>
    <row r="59" spans="1:23" x14ac:dyDescent="0.25">
      <c r="A59" t="str">
        <v>2025-10-17</v>
      </c>
      <c r="B59" t="str">
        <v>20452T-GRANJA VALLS-L:1-N:1-A:3002-POLLO AMARILLO HEMBRAS</v>
      </c>
      <c r="C59" t="str">
        <v>POLLO AMARILLO HEMBRAS</v>
      </c>
      <c r="D59">
        <v>12635</v>
      </c>
      <c r="E59" t="str">
        <v>Broiler Amarillo</v>
      </c>
      <c r="F59">
        <v>25</v>
      </c>
      <c r="G59">
        <v>0</v>
      </c>
      <c r="H59" t="str">
        <v>Abierto</v>
      </c>
      <c r="I59">
        <v>1.095</v>
      </c>
      <c r="J59">
        <v>1.0583899999999999</v>
      </c>
      <c r="K59">
        <v>1.2170000000000001</v>
      </c>
      <c r="L59">
        <v>13000</v>
      </c>
      <c r="M59">
        <v>0</v>
      </c>
      <c r="N59">
        <v>365</v>
      </c>
      <c r="O59">
        <v>365</v>
      </c>
      <c r="P59">
        <v>25270</v>
      </c>
      <c r="Q59">
        <v>29060.5</v>
      </c>
      <c r="R59">
        <v>0.97492283950617287</v>
      </c>
      <c r="S59">
        <v>20.450738916256157</v>
      </c>
      <c r="T59">
        <v>20.450738916256157</v>
      </c>
      <c r="U59">
        <v>0.97492000000000001</v>
      </c>
      <c r="V59">
        <v>1421</v>
      </c>
      <c r="W59" t="str">
        <v>20452T-GRANJA VALLS</v>
      </c>
    </row>
    <row r="60" spans="1:23" x14ac:dyDescent="0.25">
      <c r="A60" t="str">
        <v>2025-10-17</v>
      </c>
      <c r="B60" t="str">
        <v>20425T-AVICOLA SANT ISCLE-L:25-N:1-A:3001-POLLO AMARILLO MACHO</v>
      </c>
      <c r="C60" t="str">
        <v>POLLO AMARILLO MACHO</v>
      </c>
      <c r="D60">
        <v>21254</v>
      </c>
      <c r="E60" t="str">
        <v>Broiler Amarillo</v>
      </c>
      <c r="F60">
        <v>22</v>
      </c>
      <c r="G60">
        <v>0</v>
      </c>
      <c r="H60" t="str">
        <v>Abierto</v>
      </c>
      <c r="I60">
        <v>1.085</v>
      </c>
      <c r="J60">
        <v>1.085</v>
      </c>
      <c r="K60">
        <v>1.085</v>
      </c>
      <c r="L60">
        <v>21900</v>
      </c>
      <c r="M60">
        <v>0</v>
      </c>
      <c r="N60">
        <v>586</v>
      </c>
      <c r="O60">
        <v>586</v>
      </c>
      <c r="P60">
        <v>42532</v>
      </c>
      <c r="Q60">
        <v>44444.98</v>
      </c>
      <c r="R60">
        <v>0.9891162790697674</v>
      </c>
      <c r="S60">
        <v>18.753156118143458</v>
      </c>
      <c r="T60">
        <v>18.753156118143458</v>
      </c>
      <c r="U60">
        <v>0.98912</v>
      </c>
      <c r="V60">
        <v>2370</v>
      </c>
      <c r="W60" t="str">
        <v>20425T-AVICOLA SANT ISCLE</v>
      </c>
    </row>
    <row r="61" spans="1:23" x14ac:dyDescent="0.25">
      <c r="A61" t="str">
        <v>2025-10-17</v>
      </c>
      <c r="B61" t="str">
        <v>20365T-GRANJA LA COMA-L:39-N:1-A:3001-POLLO AMARILLO MACHO</v>
      </c>
      <c r="C61" t="str">
        <v>POLLO AMARILLO MACHO</v>
      </c>
      <c r="D61">
        <v>15700</v>
      </c>
      <c r="E61" t="str">
        <v>Broiler Amarillo</v>
      </c>
      <c r="F61">
        <v>22</v>
      </c>
      <c r="G61">
        <v>0</v>
      </c>
      <c r="H61" t="str">
        <v>Abierto</v>
      </c>
      <c r="I61">
        <v>1.085</v>
      </c>
      <c r="J61">
        <v>1.085</v>
      </c>
      <c r="K61">
        <v>1.085</v>
      </c>
      <c r="L61">
        <v>16300</v>
      </c>
      <c r="M61">
        <v>0</v>
      </c>
      <c r="N61">
        <v>600</v>
      </c>
      <c r="O61">
        <v>439</v>
      </c>
      <c r="P61">
        <v>31686</v>
      </c>
      <c r="Q61">
        <v>33100.43</v>
      </c>
      <c r="R61">
        <v>0.90531428571428574</v>
      </c>
      <c r="S61">
        <v>18.700807909604521</v>
      </c>
      <c r="T61">
        <v>18.700807909604521</v>
      </c>
      <c r="U61">
        <v>0.90530999999999995</v>
      </c>
      <c r="V61">
        <v>1770</v>
      </c>
      <c r="W61" t="str">
        <v>20365T-GRANJA LA COMA</v>
      </c>
    </row>
    <row r="62" spans="1:23" x14ac:dyDescent="0.25">
      <c r="A62" t="str">
        <v>2025-10-17</v>
      </c>
      <c r="B62" t="str">
        <v>20435T-FINCA GOMA-L:21-N:1-A:3002-POLLO AMARILLO HEMBRAS</v>
      </c>
      <c r="C62" t="str">
        <v>POLLO AMARILLO HEMBRAS</v>
      </c>
      <c r="D62">
        <v>14107</v>
      </c>
      <c r="E62" t="str">
        <v>Broiler Amarillo</v>
      </c>
      <c r="F62">
        <v>24</v>
      </c>
      <c r="G62">
        <v>0</v>
      </c>
      <c r="H62" t="str">
        <v>Abierto</v>
      </c>
      <c r="I62">
        <v>1.0640000000000001</v>
      </c>
      <c r="J62">
        <v>0.94645000000000001</v>
      </c>
      <c r="K62">
        <v>1.145</v>
      </c>
      <c r="L62">
        <v>14500</v>
      </c>
      <c r="M62">
        <v>0</v>
      </c>
      <c r="N62">
        <v>393</v>
      </c>
      <c r="O62">
        <v>393</v>
      </c>
      <c r="P62">
        <v>27234</v>
      </c>
      <c r="Q62">
        <v>30617.850999999999</v>
      </c>
      <c r="R62">
        <v>0.99032727272727272</v>
      </c>
      <c r="S62">
        <v>19.136156875000001</v>
      </c>
      <c r="T62">
        <v>19.136156875000001</v>
      </c>
      <c r="U62">
        <v>0.99033000000000004</v>
      </c>
      <c r="V62">
        <v>1600</v>
      </c>
      <c r="W62" t="str">
        <v>20435T-FINCA GOMA</v>
      </c>
    </row>
    <row r="63" spans="1:23" x14ac:dyDescent="0.25">
      <c r="A63" t="str">
        <v>2025-10-17</v>
      </c>
      <c r="B63" t="str">
        <v>20398T-AVICOLA BOSCH-L:39-N:1-A:3003-POLLO AMARILLO MIXTO</v>
      </c>
      <c r="C63" t="str">
        <v>POLLO AMARILLO MIXTO</v>
      </c>
      <c r="D63">
        <v>34798</v>
      </c>
      <c r="E63" t="str">
        <v>Broiler Amarillo</v>
      </c>
      <c r="F63">
        <v>22</v>
      </c>
      <c r="G63">
        <v>0</v>
      </c>
      <c r="H63" t="str">
        <v>Abierto</v>
      </c>
      <c r="I63">
        <v>1.0449999999999999</v>
      </c>
      <c r="J63">
        <v>1.0449999999999999</v>
      </c>
      <c r="K63">
        <v>1.0449999999999999</v>
      </c>
      <c r="L63">
        <v>36270</v>
      </c>
      <c r="M63">
        <v>0</v>
      </c>
      <c r="N63">
        <v>968</v>
      </c>
      <c r="O63">
        <v>968</v>
      </c>
      <c r="P63">
        <v>34798</v>
      </c>
      <c r="Q63">
        <v>36363.910000000003</v>
      </c>
      <c r="R63">
        <v>-1</v>
      </c>
      <c r="S63">
        <v>18.939536458333333</v>
      </c>
      <c r="T63">
        <v>18.939536458333333</v>
      </c>
      <c r="U63">
        <v>0</v>
      </c>
      <c r="V63">
        <v>1920</v>
      </c>
      <c r="W63" t="str">
        <v>20398T-AVICOLA BOSCH</v>
      </c>
    </row>
    <row r="64" spans="1:23" x14ac:dyDescent="0.25">
      <c r="A64" t="str">
        <v>2025-10-17</v>
      </c>
      <c r="B64" t="str">
        <v>20406T-JOAN CODINA MATEU-L:35-N:1-A:3001-POLLO AMARILLO MACHO</v>
      </c>
      <c r="C64" t="str">
        <v>POLLO AMARILLO MACHO</v>
      </c>
      <c r="D64">
        <v>9515</v>
      </c>
      <c r="E64" t="str">
        <v>Broiler Amarillo</v>
      </c>
      <c r="F64">
        <v>21</v>
      </c>
      <c r="G64">
        <v>0</v>
      </c>
      <c r="H64" t="str">
        <v>Abierto</v>
      </c>
      <c r="I64">
        <v>1.0069999999999999</v>
      </c>
      <c r="J64">
        <v>1.0069999999999999</v>
      </c>
      <c r="K64">
        <v>1.0069999999999999</v>
      </c>
      <c r="L64">
        <v>9800</v>
      </c>
      <c r="M64">
        <v>0</v>
      </c>
      <c r="N64">
        <v>253</v>
      </c>
      <c r="O64">
        <v>253</v>
      </c>
      <c r="P64">
        <v>19038</v>
      </c>
      <c r="Q64">
        <v>18495.133000000002</v>
      </c>
      <c r="R64">
        <v>1.002</v>
      </c>
      <c r="S64">
        <v>16.513511607142856</v>
      </c>
      <c r="T64">
        <v>16.513511607142856</v>
      </c>
      <c r="U64">
        <v>1.002</v>
      </c>
      <c r="V64">
        <v>1120</v>
      </c>
      <c r="W64" t="str">
        <v>20406T-JOAN CODINA MATEU</v>
      </c>
    </row>
    <row r="65" spans="1:23" x14ac:dyDescent="0.25">
      <c r="A65" t="str">
        <v>2025-10-17</v>
      </c>
      <c r="B65" t="str">
        <v>20291T-XARPELL DE LA COSTA-L:40-N:2-A:3001-POLLO AMARILLO MACHO</v>
      </c>
      <c r="C65" t="str">
        <v>POLLO AMARILLO MACHO</v>
      </c>
      <c r="D65">
        <v>13791</v>
      </c>
      <c r="E65" t="str">
        <v>Broiler Amarillo</v>
      </c>
      <c r="F65">
        <v>21</v>
      </c>
      <c r="G65">
        <v>0</v>
      </c>
      <c r="H65" t="str">
        <v>Abierto</v>
      </c>
      <c r="I65">
        <v>1.0069999999999999</v>
      </c>
      <c r="J65">
        <v>1.0069999999999999</v>
      </c>
      <c r="K65">
        <v>1.0069999999999999</v>
      </c>
      <c r="L65">
        <v>14400</v>
      </c>
      <c r="M65">
        <v>0</v>
      </c>
      <c r="N65">
        <v>375</v>
      </c>
      <c r="O65">
        <v>375</v>
      </c>
      <c r="P65">
        <v>27654</v>
      </c>
      <c r="Q65">
        <v>26863.305</v>
      </c>
      <c r="R65">
        <v>0.97031578947368424</v>
      </c>
      <c r="S65">
        <v>17.90887</v>
      </c>
      <c r="T65">
        <v>17.90887</v>
      </c>
      <c r="U65">
        <v>0.97031999999999996</v>
      </c>
      <c r="V65">
        <v>1500</v>
      </c>
      <c r="W65" t="str">
        <v>20291T-XARPELL DE LA COSTA</v>
      </c>
    </row>
    <row r="66" spans="1:23" x14ac:dyDescent="0.25">
      <c r="A66" t="str">
        <v>2025-10-17</v>
      </c>
      <c r="B66" t="str">
        <v>20365T-GRANJA LA COMA-L:39-N:1-A:3002-POLLO AMARILLO HEMBRAS</v>
      </c>
      <c r="C66" t="str">
        <v>POLLO AMARILLO HEMBRAS</v>
      </c>
      <c r="D66">
        <v>15986</v>
      </c>
      <c r="E66" t="str">
        <v>Broiler Amarillo</v>
      </c>
      <c r="F66">
        <v>22</v>
      </c>
      <c r="G66">
        <v>0</v>
      </c>
      <c r="H66" t="str">
        <v>Abierto</v>
      </c>
      <c r="I66">
        <v>1.0049999999999999</v>
      </c>
      <c r="J66">
        <v>1.0049999999999999</v>
      </c>
      <c r="K66">
        <v>1.0049999999999999</v>
      </c>
      <c r="L66">
        <v>16300</v>
      </c>
      <c r="M66">
        <v>0</v>
      </c>
      <c r="N66">
        <v>314</v>
      </c>
      <c r="O66">
        <v>439</v>
      </c>
      <c r="P66">
        <v>31686</v>
      </c>
      <c r="Q66">
        <v>33100.43</v>
      </c>
      <c r="R66">
        <v>0.90531428571428574</v>
      </c>
      <c r="S66">
        <v>18.700807909604521</v>
      </c>
      <c r="T66">
        <v>18.700807909604521</v>
      </c>
      <c r="U66">
        <v>0.90530999999999995</v>
      </c>
      <c r="V66">
        <v>1770</v>
      </c>
      <c r="W66" t="str">
        <v>20365T-GRANJA LA COMA</v>
      </c>
    </row>
    <row r="67" spans="1:23" x14ac:dyDescent="0.25">
      <c r="A67" t="str">
        <v>2025-10-17</v>
      </c>
      <c r="B67" t="str">
        <v>20425T-AVICOLA SANT ISCLE-L:25-N:1-A:3002-POLLO AMARILLO HEMBRAS</v>
      </c>
      <c r="C67" t="str">
        <v>POLLO AMARILLO HEMBRAS</v>
      </c>
      <c r="D67">
        <v>21278</v>
      </c>
      <c r="E67" t="str">
        <v>Broiler Amarillo</v>
      </c>
      <c r="F67">
        <v>22</v>
      </c>
      <c r="G67">
        <v>0</v>
      </c>
      <c r="H67" t="str">
        <v>Abierto</v>
      </c>
      <c r="I67">
        <v>1.0049999999999999</v>
      </c>
      <c r="J67">
        <v>1.0049999999999999</v>
      </c>
      <c r="K67">
        <v>1.0049999999999999</v>
      </c>
      <c r="L67">
        <v>21900</v>
      </c>
      <c r="M67">
        <v>0</v>
      </c>
      <c r="N67">
        <v>586</v>
      </c>
      <c r="O67">
        <v>586</v>
      </c>
      <c r="P67">
        <v>42532</v>
      </c>
      <c r="Q67">
        <v>44444.98</v>
      </c>
      <c r="R67">
        <v>0.9891162790697674</v>
      </c>
      <c r="S67">
        <v>18.753156118143458</v>
      </c>
      <c r="T67">
        <v>18.753156118143458</v>
      </c>
      <c r="U67">
        <v>0.98912</v>
      </c>
      <c r="V67">
        <v>2370</v>
      </c>
      <c r="W67" t="str">
        <v>20425T-AVICOLA SANT ISCLE</v>
      </c>
    </row>
    <row r="68" spans="1:23" x14ac:dyDescent="0.25">
      <c r="A68" t="str">
        <v>2025-10-17</v>
      </c>
      <c r="B68" t="str">
        <v>20380T-COMELLAS-L:39-N:2-A:3001-POLLO AMARILLO MACHO</v>
      </c>
      <c r="C68" t="str">
        <v>POLLO AMARILLO MACHO</v>
      </c>
      <c r="D68">
        <v>10911</v>
      </c>
      <c r="E68" t="str">
        <v>Broiler Amarillo</v>
      </c>
      <c r="F68">
        <v>32</v>
      </c>
      <c r="G68">
        <v>0</v>
      </c>
      <c r="H68" t="str">
        <v>Abierto</v>
      </c>
      <c r="I68">
        <v>1</v>
      </c>
      <c r="J68">
        <v>1</v>
      </c>
      <c r="K68">
        <v>1.978</v>
      </c>
      <c r="L68">
        <v>17600</v>
      </c>
      <c r="M68">
        <v>-6156</v>
      </c>
      <c r="N68">
        <v>527</v>
      </c>
      <c r="O68">
        <v>527</v>
      </c>
      <c r="P68">
        <v>20958</v>
      </c>
      <c r="Q68">
        <v>28861.170999999998</v>
      </c>
      <c r="R68">
        <v>0.61641176470588233</v>
      </c>
      <c r="S68">
        <v>15.031859895833334</v>
      </c>
      <c r="T68">
        <v>15.031859895833334</v>
      </c>
      <c r="U68">
        <v>0.61641000000000001</v>
      </c>
      <c r="V68">
        <v>1920</v>
      </c>
      <c r="W68" t="str">
        <v>20380T-COMELLAS</v>
      </c>
    </row>
    <row r="69" spans="1:23" x14ac:dyDescent="0.25">
      <c r="A69" t="str">
        <v>2025-10-17</v>
      </c>
      <c r="B69" t="str">
        <v>20380T-COMELLAS-L:39-N:1-A:3001-POLLO AMARILLO MACHO</v>
      </c>
      <c r="C69" t="str">
        <v>POLLO AMARILLO MACHO</v>
      </c>
      <c r="D69">
        <v>9894</v>
      </c>
      <c r="E69" t="str">
        <v>Broiler Amarillo</v>
      </c>
      <c r="F69">
        <v>32</v>
      </c>
      <c r="G69">
        <v>0</v>
      </c>
      <c r="H69" t="str">
        <v>Abierto</v>
      </c>
      <c r="I69">
        <v>1</v>
      </c>
      <c r="J69">
        <v>1</v>
      </c>
      <c r="K69">
        <v>1.978</v>
      </c>
      <c r="L69">
        <v>16200</v>
      </c>
      <c r="M69">
        <v>-6156</v>
      </c>
      <c r="N69">
        <v>144</v>
      </c>
      <c r="O69">
        <v>144</v>
      </c>
      <c r="P69">
        <v>19704</v>
      </c>
      <c r="Q69">
        <v>27111.041000000001</v>
      </c>
      <c r="R69">
        <v>0.61575000000000002</v>
      </c>
      <c r="S69">
        <v>15.061689444444445</v>
      </c>
      <c r="T69">
        <v>15.061689444444445</v>
      </c>
      <c r="U69">
        <v>0.61575000000000002</v>
      </c>
      <c r="V69">
        <v>1800</v>
      </c>
      <c r="W69" t="str">
        <v>20380T-COMELLAS</v>
      </c>
    </row>
    <row r="70" spans="1:23" x14ac:dyDescent="0.25">
      <c r="A70" t="str">
        <v>2025-10-17</v>
      </c>
      <c r="B70" t="str">
        <v>20291T-XARPELL DE LA COSTA-L:40-N:1-A:3003-POLLO AMARILLO MIXTO</v>
      </c>
      <c r="C70" t="str">
        <v>POLLO AMARILLO MIXTO</v>
      </c>
      <c r="D70">
        <v>21553</v>
      </c>
      <c r="E70" t="str">
        <v>Broiler Amarillo</v>
      </c>
      <c r="F70">
        <v>21</v>
      </c>
      <c r="G70">
        <v>0</v>
      </c>
      <c r="H70" t="str">
        <v>Abierto</v>
      </c>
      <c r="I70">
        <v>0.95699999999999996</v>
      </c>
      <c r="J70">
        <v>0.92845999999999995</v>
      </c>
      <c r="K70">
        <v>0.97199999999999998</v>
      </c>
      <c r="L70">
        <v>23700</v>
      </c>
      <c r="M70">
        <v>0</v>
      </c>
      <c r="N70">
        <v>617</v>
      </c>
      <c r="O70">
        <v>617</v>
      </c>
      <c r="P70">
        <v>21553</v>
      </c>
      <c r="Q70">
        <v>20626.221000000001</v>
      </c>
      <c r="R70">
        <v>0.93708695652173912</v>
      </c>
      <c r="S70">
        <v>13.750814</v>
      </c>
      <c r="T70">
        <v>13.750814</v>
      </c>
      <c r="U70">
        <v>0.93708999999999998</v>
      </c>
      <c r="V70">
        <v>1500</v>
      </c>
      <c r="W70" t="str">
        <v>20291T-XARPELL DE LA COSTA</v>
      </c>
    </row>
    <row r="71" spans="1:23" x14ac:dyDescent="0.25">
      <c r="A71" t="str">
        <v>2025-10-17</v>
      </c>
      <c r="B71" t="str">
        <v>20406T-JOAN CODINA MATEU-L:35-N:1-A:3002-POLLO AMARILLO HEMBRAS</v>
      </c>
      <c r="C71" t="str">
        <v>POLLO AMARILLO HEMBRAS</v>
      </c>
      <c r="D71">
        <v>9523</v>
      </c>
      <c r="E71" t="str">
        <v>Broiler Amarillo</v>
      </c>
      <c r="F71">
        <v>21</v>
      </c>
      <c r="G71">
        <v>0</v>
      </c>
      <c r="H71" t="str">
        <v>Abierto</v>
      </c>
      <c r="I71">
        <v>0.93600000000000005</v>
      </c>
      <c r="J71">
        <v>0.93600000000000005</v>
      </c>
      <c r="K71">
        <v>0.93600000000000005</v>
      </c>
      <c r="L71">
        <v>9800</v>
      </c>
      <c r="M71">
        <v>0</v>
      </c>
      <c r="N71">
        <v>253</v>
      </c>
      <c r="O71">
        <v>253</v>
      </c>
      <c r="P71">
        <v>19038</v>
      </c>
      <c r="Q71">
        <v>18495.133000000002</v>
      </c>
      <c r="R71">
        <v>1.002</v>
      </c>
      <c r="S71">
        <v>16.513511607142856</v>
      </c>
      <c r="T71">
        <v>16.513511607142856</v>
      </c>
      <c r="U71">
        <v>1.002</v>
      </c>
      <c r="V71">
        <v>1120</v>
      </c>
      <c r="W71" t="str">
        <v>20406T-JOAN CODINA MATEU</v>
      </c>
    </row>
    <row r="72" spans="1:23" x14ac:dyDescent="0.25">
      <c r="A72" t="str">
        <v>2025-10-17</v>
      </c>
      <c r="B72" t="str">
        <v>20291T-XARPELL DE LA COSTA-L:40-N:2-A:3002-POLLO AMARILLO HEMBRAS</v>
      </c>
      <c r="C72" t="str">
        <v>POLLO AMARILLO HEMBRAS</v>
      </c>
      <c r="D72">
        <v>13863</v>
      </c>
      <c r="E72" t="str">
        <v>Broiler Amarillo</v>
      </c>
      <c r="F72">
        <v>21</v>
      </c>
      <c r="G72">
        <v>0</v>
      </c>
      <c r="H72" t="str">
        <v>Abierto</v>
      </c>
      <c r="I72">
        <v>0.93600000000000005</v>
      </c>
      <c r="J72">
        <v>0.93600000000000005</v>
      </c>
      <c r="K72">
        <v>0.93600000000000005</v>
      </c>
      <c r="L72">
        <v>14400</v>
      </c>
      <c r="M72">
        <v>0</v>
      </c>
      <c r="N72">
        <v>375</v>
      </c>
      <c r="O72">
        <v>375</v>
      </c>
      <c r="P72">
        <v>27654</v>
      </c>
      <c r="Q72">
        <v>26863.305</v>
      </c>
      <c r="R72">
        <v>0.97031578947368424</v>
      </c>
      <c r="S72">
        <v>17.90887</v>
      </c>
      <c r="T72">
        <v>17.90887</v>
      </c>
      <c r="U72">
        <v>0.97031999999999996</v>
      </c>
      <c r="V72">
        <v>1500</v>
      </c>
      <c r="W72" t="str">
        <v>20291T-XARPELL DE LA COSTA</v>
      </c>
    </row>
    <row r="73" spans="1:23" x14ac:dyDescent="0.25">
      <c r="A73" t="str">
        <v>2025-10-17</v>
      </c>
      <c r="B73" t="str">
        <v>20449T-GRANJA CASAS nau 3-L:5-N:3-A:3001-POLLO AMARILLO MACHO</v>
      </c>
      <c r="C73" t="str">
        <v>POLLO AMARILLO MACHO</v>
      </c>
      <c r="D73">
        <v>12968</v>
      </c>
      <c r="E73" t="str">
        <v>Broiler Amarillo</v>
      </c>
      <c r="F73">
        <v>18</v>
      </c>
      <c r="G73">
        <v>0</v>
      </c>
      <c r="H73" t="str">
        <v>Abierto</v>
      </c>
      <c r="I73">
        <v>0.78800000000000003</v>
      </c>
      <c r="J73">
        <v>0.78800000000000003</v>
      </c>
      <c r="K73">
        <v>0.78800000000000003</v>
      </c>
      <c r="L73">
        <v>13200</v>
      </c>
      <c r="M73">
        <v>0</v>
      </c>
      <c r="N73">
        <v>232</v>
      </c>
      <c r="O73">
        <v>332</v>
      </c>
      <c r="P73">
        <v>26010</v>
      </c>
      <c r="Q73">
        <v>19922.031999999999</v>
      </c>
      <c r="R73">
        <v>0.92892857142857144</v>
      </c>
      <c r="S73">
        <v>12.373932919254658</v>
      </c>
      <c r="T73">
        <v>12.373932919254658</v>
      </c>
      <c r="U73">
        <v>0.92893000000000003</v>
      </c>
      <c r="V73">
        <v>1610</v>
      </c>
      <c r="W73" t="str">
        <v>20449T-GRANJA CASAS nau 3</v>
      </c>
    </row>
    <row r="74" spans="1:23" x14ac:dyDescent="0.25">
      <c r="A74" t="str">
        <v>2025-10-17</v>
      </c>
      <c r="B74" t="str">
        <v>20366T-GRANJA CASAS nau 1-L:38-N:1-A:3001-POLLO AMARILLO MACHO</v>
      </c>
      <c r="C74" t="str">
        <v>POLLO AMARILLO MACHO</v>
      </c>
      <c r="D74">
        <v>14991</v>
      </c>
      <c r="E74" t="str">
        <v>Broiler Amarillo</v>
      </c>
      <c r="F74">
        <v>18</v>
      </c>
      <c r="G74">
        <v>0</v>
      </c>
      <c r="H74" t="str">
        <v>Abierto</v>
      </c>
      <c r="I74">
        <v>0.78800000000000003</v>
      </c>
      <c r="J74">
        <v>0.78800000000000003</v>
      </c>
      <c r="K74">
        <v>0.78800000000000003</v>
      </c>
      <c r="L74">
        <v>15300</v>
      </c>
      <c r="M74">
        <v>0</v>
      </c>
      <c r="N74">
        <v>309</v>
      </c>
      <c r="O74">
        <v>382</v>
      </c>
      <c r="P74">
        <v>29882</v>
      </c>
      <c r="Q74">
        <v>22891.812000000002</v>
      </c>
      <c r="R74">
        <v>0.99606666666666666</v>
      </c>
      <c r="S74">
        <v>12.387344155844156</v>
      </c>
      <c r="T74">
        <v>12.387344155844156</v>
      </c>
      <c r="U74">
        <v>0.99607000000000001</v>
      </c>
      <c r="V74">
        <v>1848</v>
      </c>
      <c r="W74" t="str">
        <v>20366T-GRANJA CASAS nau 1</v>
      </c>
    </row>
    <row r="75" spans="1:23" x14ac:dyDescent="0.25">
      <c r="A75" t="str">
        <v>2025-10-17</v>
      </c>
      <c r="B75" t="str">
        <v>20353T-GRANJA CASAS nau 2-L:38-N:2-A:3001-POLLO AMARILLO MACHO</v>
      </c>
      <c r="C75" t="str">
        <v>POLLO AMARILLO MACHO</v>
      </c>
      <c r="D75">
        <v>13065</v>
      </c>
      <c r="E75" t="str">
        <v>Broiler Amarillo</v>
      </c>
      <c r="F75">
        <v>18</v>
      </c>
      <c r="G75">
        <v>0</v>
      </c>
      <c r="H75" t="str">
        <v>Abierto</v>
      </c>
      <c r="I75">
        <v>0.78800000000000003</v>
      </c>
      <c r="J75">
        <v>0.78800000000000003</v>
      </c>
      <c r="K75">
        <v>0.78800000000000003</v>
      </c>
      <c r="L75">
        <v>13300</v>
      </c>
      <c r="M75">
        <v>0</v>
      </c>
      <c r="N75">
        <v>235</v>
      </c>
      <c r="O75">
        <v>338</v>
      </c>
      <c r="P75">
        <v>26033</v>
      </c>
      <c r="Q75">
        <v>19943.412</v>
      </c>
      <c r="R75">
        <v>0.92974999999999997</v>
      </c>
      <c r="S75">
        <v>12.387212422360248</v>
      </c>
      <c r="T75">
        <v>12.387212422360248</v>
      </c>
      <c r="U75">
        <v>0.92974999999999997</v>
      </c>
      <c r="V75">
        <v>1610</v>
      </c>
      <c r="W75" t="str">
        <v>20353T-GRANJA CASAS nau 2</v>
      </c>
    </row>
    <row r="76" spans="1:23" x14ac:dyDescent="0.25">
      <c r="A76" t="str">
        <v>2025-10-17</v>
      </c>
      <c r="B76" t="str">
        <v>20449T-GRANJA CASAS nau 3-L:5-N:3-A:3002-POLLO AMARILLO HEMBRAS</v>
      </c>
      <c r="C76" t="str">
        <v>POLLO AMARILLO HEMBRAS</v>
      </c>
      <c r="D76">
        <v>13042</v>
      </c>
      <c r="E76" t="str">
        <v>Broiler Amarillo</v>
      </c>
      <c r="F76">
        <v>18</v>
      </c>
      <c r="G76">
        <v>0</v>
      </c>
      <c r="H76" t="str">
        <v>Abierto</v>
      </c>
      <c r="I76">
        <v>0.74399999999999999</v>
      </c>
      <c r="J76">
        <v>0.74399999999999999</v>
      </c>
      <c r="K76">
        <v>0.74399999999999999</v>
      </c>
      <c r="L76">
        <v>13300</v>
      </c>
      <c r="M76">
        <v>0</v>
      </c>
      <c r="N76">
        <v>258</v>
      </c>
      <c r="O76">
        <v>338</v>
      </c>
      <c r="P76">
        <v>26010</v>
      </c>
      <c r="Q76">
        <v>19922.031999999999</v>
      </c>
      <c r="R76">
        <v>0.92892857142857144</v>
      </c>
      <c r="S76">
        <v>12.373932919254658</v>
      </c>
      <c r="T76">
        <v>12.373932919254658</v>
      </c>
      <c r="U76">
        <v>0.92893000000000003</v>
      </c>
      <c r="V76">
        <v>1610</v>
      </c>
      <c r="W76" t="str">
        <v>20449T-GRANJA CASAS nau 3</v>
      </c>
    </row>
    <row r="77" spans="1:23" x14ac:dyDescent="0.25">
      <c r="A77" t="str">
        <v>2025-10-17</v>
      </c>
      <c r="B77" t="str">
        <v>20353T-GRANJA CASAS nau 2-L:38-N:2-A:3002-POLLO AMARILLO HEMBRAS</v>
      </c>
      <c r="C77" t="str">
        <v>POLLO AMARILLO HEMBRAS</v>
      </c>
      <c r="D77">
        <v>12968</v>
      </c>
      <c r="E77" t="str">
        <v>Broiler Amarillo</v>
      </c>
      <c r="F77">
        <v>18</v>
      </c>
      <c r="G77">
        <v>0</v>
      </c>
      <c r="H77" t="str">
        <v>Abierto</v>
      </c>
      <c r="I77">
        <v>0.74399999999999999</v>
      </c>
      <c r="J77">
        <v>0.74399999999999999</v>
      </c>
      <c r="K77">
        <v>0.74399999999999999</v>
      </c>
      <c r="L77">
        <v>13200</v>
      </c>
      <c r="M77">
        <v>0</v>
      </c>
      <c r="N77">
        <v>232</v>
      </c>
      <c r="O77">
        <v>332</v>
      </c>
      <c r="P77">
        <v>26033</v>
      </c>
      <c r="Q77">
        <v>19943.412</v>
      </c>
      <c r="R77">
        <v>0.92974999999999997</v>
      </c>
      <c r="S77">
        <v>12.387212422360248</v>
      </c>
      <c r="T77">
        <v>12.387212422360248</v>
      </c>
      <c r="U77">
        <v>0.92974999999999997</v>
      </c>
      <c r="V77">
        <v>1610</v>
      </c>
      <c r="W77" t="str">
        <v>20353T-GRANJA CASAS nau 2</v>
      </c>
    </row>
    <row r="78" spans="1:23" x14ac:dyDescent="0.25">
      <c r="A78" t="str">
        <v>2025-10-17</v>
      </c>
      <c r="B78" t="str">
        <v>20366T-GRANJA CASAS nau 1-L:38-N:1-A:3002-POLLO AMARILLO HEMBRAS</v>
      </c>
      <c r="C78" t="str">
        <v>POLLO AMARILLO HEMBRAS</v>
      </c>
      <c r="D78">
        <v>14891</v>
      </c>
      <c r="E78" t="str">
        <v>Broiler Amarillo</v>
      </c>
      <c r="F78">
        <v>18</v>
      </c>
      <c r="G78">
        <v>0</v>
      </c>
      <c r="H78" t="str">
        <v>Abierto</v>
      </c>
      <c r="I78">
        <v>0.74399999999999999</v>
      </c>
      <c r="J78">
        <v>0.74399999999999999</v>
      </c>
      <c r="K78">
        <v>0.74399999999999999</v>
      </c>
      <c r="L78">
        <v>15300</v>
      </c>
      <c r="M78">
        <v>0</v>
      </c>
      <c r="N78">
        <v>409</v>
      </c>
      <c r="O78">
        <v>382</v>
      </c>
      <c r="P78">
        <v>29882</v>
      </c>
      <c r="Q78">
        <v>22891.812000000002</v>
      </c>
      <c r="R78">
        <v>0.99606666666666666</v>
      </c>
      <c r="S78">
        <v>12.387344155844156</v>
      </c>
      <c r="T78">
        <v>12.387344155844156</v>
      </c>
      <c r="U78">
        <v>0.99607000000000001</v>
      </c>
      <c r="V78">
        <v>1848</v>
      </c>
      <c r="W78" t="str">
        <v>20366T-GRANJA CASAS nau 1</v>
      </c>
    </row>
    <row r="79" spans="1:23" x14ac:dyDescent="0.25">
      <c r="A79" t="str">
        <v>2025-10-17</v>
      </c>
      <c r="B79" t="str">
        <v>20446T-CAN MARCO naus 4,5,6 i 7-L:13-N:5-A:3001-POLLO AMARILLO MACHO</v>
      </c>
      <c r="C79" t="str">
        <v>POLLO AMARILLO MACHO</v>
      </c>
      <c r="D79">
        <v>16027</v>
      </c>
      <c r="E79" t="str">
        <v>Broiler Amarillo</v>
      </c>
      <c r="F79">
        <v>17</v>
      </c>
      <c r="G79">
        <v>0</v>
      </c>
      <c r="H79" t="str">
        <v>Abierto</v>
      </c>
      <c r="I79">
        <v>0.72</v>
      </c>
      <c r="J79">
        <v>0.72</v>
      </c>
      <c r="K79">
        <v>0.72</v>
      </c>
      <c r="L79">
        <v>16500</v>
      </c>
      <c r="M79">
        <v>0</v>
      </c>
      <c r="N79">
        <v>385</v>
      </c>
      <c r="O79">
        <v>385</v>
      </c>
      <c r="P79">
        <v>32733</v>
      </c>
      <c r="Q79">
        <v>22966.344000000001</v>
      </c>
      <c r="R79">
        <v>0.99190909090909096</v>
      </c>
      <c r="S79">
        <v>12.887959595959597</v>
      </c>
      <c r="T79">
        <v>12.887959595959597</v>
      </c>
      <c r="U79">
        <v>0.99190999999999996</v>
      </c>
      <c r="V79">
        <v>1782</v>
      </c>
      <c r="W79" t="str">
        <v>20446T-CAN MARCO naus 4,5,6 i 7</v>
      </c>
    </row>
    <row r="80" spans="1:23" x14ac:dyDescent="0.25">
      <c r="A80" t="str">
        <v>2025-10-17</v>
      </c>
      <c r="B80" t="str">
        <v>20446T-CAN MARCO naus 4,5,6 i 7-L:13-N:4-A:3001-POLLO AMARILLO MACHO</v>
      </c>
      <c r="C80" t="str">
        <v>POLLO AMARILLO MACHO</v>
      </c>
      <c r="D80">
        <v>15899</v>
      </c>
      <c r="E80" t="str">
        <v>Broiler Amarillo</v>
      </c>
      <c r="F80">
        <v>17</v>
      </c>
      <c r="G80">
        <v>0</v>
      </c>
      <c r="H80" t="str">
        <v>Abierto</v>
      </c>
      <c r="I80">
        <v>0.7</v>
      </c>
      <c r="J80">
        <v>0.56174999999999997</v>
      </c>
      <c r="K80">
        <v>0.72</v>
      </c>
      <c r="L80">
        <v>16500</v>
      </c>
      <c r="M80">
        <v>0</v>
      </c>
      <c r="N80">
        <v>409</v>
      </c>
      <c r="O80">
        <v>409</v>
      </c>
      <c r="P80">
        <v>32159</v>
      </c>
      <c r="Q80">
        <v>21909.68</v>
      </c>
      <c r="R80">
        <v>0.97451515151515156</v>
      </c>
      <c r="S80">
        <v>12.294994388327721</v>
      </c>
      <c r="T80">
        <v>12.294994388327721</v>
      </c>
      <c r="U80">
        <v>0.97452000000000005</v>
      </c>
      <c r="V80">
        <v>1782</v>
      </c>
      <c r="W80" t="str">
        <v>20446T-CAN MARCO naus 4,5,6 i 7</v>
      </c>
    </row>
    <row r="81" spans="1:23" x14ac:dyDescent="0.25">
      <c r="A81" t="str">
        <v>2025-10-17</v>
      </c>
      <c r="B81" t="str">
        <v>20446T-CAN MARCO naus 4,5,6 i 7-L:13-N:5-A:3002-POLLO AMARILLO HEMBRAS</v>
      </c>
      <c r="C81" t="str">
        <v>POLLO AMARILLO HEMBRAS</v>
      </c>
      <c r="D81">
        <v>16706</v>
      </c>
      <c r="E81" t="str">
        <v>Broiler Amarillo</v>
      </c>
      <c r="F81">
        <v>17</v>
      </c>
      <c r="G81">
        <v>0</v>
      </c>
      <c r="H81" t="str">
        <v>Abierto</v>
      </c>
      <c r="I81">
        <v>0.68400000000000005</v>
      </c>
      <c r="J81">
        <v>0.68400000000000005</v>
      </c>
      <c r="K81">
        <v>0.68400000000000005</v>
      </c>
      <c r="L81">
        <v>16800</v>
      </c>
      <c r="M81">
        <v>0</v>
      </c>
      <c r="N81">
        <v>30</v>
      </c>
      <c r="O81">
        <v>30</v>
      </c>
      <c r="P81">
        <v>32733</v>
      </c>
      <c r="Q81">
        <v>22966.344000000001</v>
      </c>
      <c r="R81">
        <v>0.99190909090909096</v>
      </c>
      <c r="S81">
        <v>12.887959595959597</v>
      </c>
      <c r="T81">
        <v>12.887959595959597</v>
      </c>
      <c r="U81">
        <v>0.99190999999999996</v>
      </c>
      <c r="V81">
        <v>1782</v>
      </c>
      <c r="W81" t="str">
        <v>20446T-CAN MARCO naus 4,5,6 i 7</v>
      </c>
    </row>
    <row r="82" spans="1:23" x14ac:dyDescent="0.25">
      <c r="A82" t="str">
        <v>2025-10-17</v>
      </c>
      <c r="B82" t="str">
        <v>20446T-CAN MARCO naus 4,5,6 i 7-L:13-N:4-A:3002-POLLO AMARILLO HEMBRAS</v>
      </c>
      <c r="C82" t="str">
        <v>POLLO AMARILLO HEMBRAS</v>
      </c>
      <c r="D82">
        <v>16260</v>
      </c>
      <c r="E82" t="str">
        <v>Broiler Amarillo</v>
      </c>
      <c r="F82">
        <v>17</v>
      </c>
      <c r="G82">
        <v>0</v>
      </c>
      <c r="H82" t="str">
        <v>Abierto</v>
      </c>
      <c r="I82">
        <v>0.66300000000000003</v>
      </c>
      <c r="J82">
        <v>0.52612999999999999</v>
      </c>
      <c r="K82">
        <v>0.68400000000000005</v>
      </c>
      <c r="L82">
        <v>16800</v>
      </c>
      <c r="M82">
        <v>0</v>
      </c>
      <c r="N82">
        <v>420</v>
      </c>
      <c r="O82">
        <v>420</v>
      </c>
      <c r="P82">
        <v>32159</v>
      </c>
      <c r="Q82">
        <v>21909.68</v>
      </c>
      <c r="R82">
        <v>0.97451515151515156</v>
      </c>
      <c r="S82">
        <v>12.294994388327721</v>
      </c>
      <c r="T82">
        <v>12.294994388327721</v>
      </c>
      <c r="U82">
        <v>0.97452000000000005</v>
      </c>
      <c r="V82">
        <v>1782</v>
      </c>
      <c r="W82" t="str">
        <v>20446T-CAN MARCO naus 4,5,6 i 7</v>
      </c>
    </row>
    <row r="83" spans="1:23" x14ac:dyDescent="0.25">
      <c r="A83" t="str">
        <v>2025-10-17</v>
      </c>
      <c r="B83" t="str">
        <v>20406T-JOAN CODINA MATEU-L:35-N:2-A:3003-POLLO AMARILLO MIXTO</v>
      </c>
      <c r="C83" t="str">
        <v>POLLO AMARILLO MIXTO</v>
      </c>
      <c r="D83">
        <v>23364</v>
      </c>
      <c r="E83" t="str">
        <v>Broiler Amarillo</v>
      </c>
      <c r="F83">
        <v>15</v>
      </c>
      <c r="G83">
        <v>0</v>
      </c>
      <c r="H83" t="str">
        <v>Abierto</v>
      </c>
      <c r="I83">
        <v>0.58299999999999996</v>
      </c>
      <c r="J83">
        <v>0.58299999999999996</v>
      </c>
      <c r="K83">
        <v>0.58299999999999996</v>
      </c>
      <c r="L83">
        <v>24000</v>
      </c>
      <c r="M83">
        <v>0</v>
      </c>
      <c r="N83">
        <v>580</v>
      </c>
      <c r="O83">
        <v>580</v>
      </c>
      <c r="P83">
        <v>23364</v>
      </c>
      <c r="Q83">
        <v>13621.212</v>
      </c>
      <c r="R83">
        <v>0.97350000000000003</v>
      </c>
      <c r="S83">
        <v>9.7294371428571438</v>
      </c>
      <c r="T83">
        <v>9.7294371428571438</v>
      </c>
      <c r="U83">
        <v>0.97350000000000003</v>
      </c>
      <c r="V83">
        <v>1400</v>
      </c>
      <c r="W83" t="str">
        <v>20406T-JOAN CODINA MATEU</v>
      </c>
    </row>
    <row r="84" spans="1:23" x14ac:dyDescent="0.25">
      <c r="A84" t="str">
        <v>2025-10-17</v>
      </c>
      <c r="B84" t="str">
        <v>20265T-AVICOTRANS GUIXERAS, S.L.U.-L:39-N:4-A:3001-POLLO AMARILLO MACHO</v>
      </c>
      <c r="C84" t="str">
        <v>POLLO AMARILLO MACHO</v>
      </c>
      <c r="D84">
        <v>17747</v>
      </c>
      <c r="E84" t="str">
        <v>Broiler Amarillo</v>
      </c>
      <c r="F84">
        <v>15</v>
      </c>
      <c r="G84">
        <v>0</v>
      </c>
      <c r="H84" t="str">
        <v>Abierto</v>
      </c>
      <c r="I84">
        <v>0.54200000000000004</v>
      </c>
      <c r="J84">
        <v>0.45295999999999997</v>
      </c>
      <c r="K84">
        <v>0.59499999999999997</v>
      </c>
      <c r="L84">
        <v>18200</v>
      </c>
      <c r="M84">
        <v>0</v>
      </c>
      <c r="N84">
        <v>437</v>
      </c>
      <c r="O84">
        <v>437</v>
      </c>
      <c r="P84">
        <v>35502</v>
      </c>
      <c r="Q84">
        <v>18709.434000000001</v>
      </c>
      <c r="R84">
        <v>1.0143428571428572</v>
      </c>
      <c r="S84">
        <v>9.7444968749999994</v>
      </c>
      <c r="T84">
        <v>9.7444968749999994</v>
      </c>
      <c r="U84">
        <v>1.01434</v>
      </c>
      <c r="V84">
        <v>1920</v>
      </c>
      <c r="W84" t="str">
        <v>20265T-AVICOTRANS GUIXERAS, S.L.U.</v>
      </c>
    </row>
    <row r="85" spans="1:23" x14ac:dyDescent="0.25">
      <c r="A85" t="str">
        <v>2025-10-17</v>
      </c>
      <c r="B85" t="str">
        <v>20442T-GRANJA COSTABLANCA AVICOLA-L:16-N:1-A:3001-POLLO AMARILLO MACHO</v>
      </c>
      <c r="C85" t="str">
        <v>POLLO AMARILLO MACHO</v>
      </c>
      <c r="D85">
        <v>14731</v>
      </c>
      <c r="E85" t="str">
        <v>Broiler Amarillo</v>
      </c>
      <c r="F85">
        <v>14</v>
      </c>
      <c r="G85">
        <v>0</v>
      </c>
      <c r="H85" t="str">
        <v>Abierto</v>
      </c>
      <c r="I85">
        <v>0.53700000000000003</v>
      </c>
      <c r="J85">
        <v>0.53700000000000003</v>
      </c>
      <c r="K85">
        <v>0.53700000000000003</v>
      </c>
      <c r="L85">
        <v>15000</v>
      </c>
      <c r="M85">
        <v>0</v>
      </c>
      <c r="N85">
        <v>269</v>
      </c>
      <c r="O85">
        <v>152</v>
      </c>
      <c r="P85">
        <v>29653</v>
      </c>
      <c r="Q85">
        <v>15625.221</v>
      </c>
      <c r="R85">
        <v>0.9413650793650794</v>
      </c>
      <c r="S85">
        <v>9.0950064027939472</v>
      </c>
      <c r="T85">
        <v>9.0950064027939472</v>
      </c>
      <c r="U85">
        <v>0.94137000000000004</v>
      </c>
      <c r="V85">
        <v>1718</v>
      </c>
      <c r="W85" t="str">
        <v>20442T-GRANJA COSTABLANCA AVICOLA</v>
      </c>
    </row>
    <row r="86" spans="1:23" x14ac:dyDescent="0.25">
      <c r="A86" t="str">
        <v>2025-10-17</v>
      </c>
      <c r="B86" t="str">
        <v>20196T-GENESCA SITJES JOSEP M.-L:36-N:1-A:3001-POLLO AMARILLO MACHO</v>
      </c>
      <c r="C86" t="str">
        <v>POLLO AMARILLO MACHO</v>
      </c>
      <c r="D86">
        <v>10341</v>
      </c>
      <c r="E86" t="str">
        <v>Broiler Amarillo</v>
      </c>
      <c r="F86">
        <v>14</v>
      </c>
      <c r="G86">
        <v>0</v>
      </c>
      <c r="H86" t="str">
        <v>Abierto</v>
      </c>
      <c r="I86">
        <v>0.53700000000000003</v>
      </c>
      <c r="J86">
        <v>0.53700000000000003</v>
      </c>
      <c r="K86">
        <v>0.53700000000000003</v>
      </c>
      <c r="L86">
        <v>10700</v>
      </c>
      <c r="M86">
        <v>0</v>
      </c>
      <c r="N86">
        <v>359</v>
      </c>
      <c r="O86">
        <v>255</v>
      </c>
      <c r="P86">
        <v>20418</v>
      </c>
      <c r="Q86">
        <v>10138.152</v>
      </c>
      <c r="R86">
        <v>1.0208999999999999</v>
      </c>
      <c r="S86">
        <v>8.4484600000000007</v>
      </c>
      <c r="T86">
        <v>8.4484600000000007</v>
      </c>
      <c r="U86">
        <v>1.0208999999999999</v>
      </c>
      <c r="V86">
        <v>1200</v>
      </c>
      <c r="W86" t="str">
        <v>20196T-GENESCA SITJES JOSEP M.</v>
      </c>
    </row>
    <row r="87" spans="1:23" x14ac:dyDescent="0.25">
      <c r="A87" t="str">
        <v>2025-10-17</v>
      </c>
      <c r="B87" t="str">
        <v>20196T-GENESCA SITJES JOSEP M.-L:36-N:2-A:3001-POLLO AMARILLO MACHO</v>
      </c>
      <c r="C87" t="str">
        <v>POLLO AMARILLO MACHO</v>
      </c>
      <c r="D87">
        <v>10066</v>
      </c>
      <c r="E87" t="str">
        <v>Broiler Amarillo</v>
      </c>
      <c r="F87">
        <v>14</v>
      </c>
      <c r="G87">
        <v>0</v>
      </c>
      <c r="H87" t="str">
        <v>Abierto</v>
      </c>
      <c r="I87">
        <v>0.53700000000000003</v>
      </c>
      <c r="J87">
        <v>0.53700000000000003</v>
      </c>
      <c r="K87">
        <v>0.53700000000000003</v>
      </c>
      <c r="L87">
        <v>10600</v>
      </c>
      <c r="M87">
        <v>0</v>
      </c>
      <c r="N87">
        <v>534</v>
      </c>
      <c r="O87">
        <v>57</v>
      </c>
      <c r="P87">
        <v>20403</v>
      </c>
      <c r="Q87">
        <v>10108.777</v>
      </c>
      <c r="R87">
        <v>1.0201499999999999</v>
      </c>
      <c r="S87">
        <v>8.4239808333333333</v>
      </c>
      <c r="T87">
        <v>8.4239808333333333</v>
      </c>
      <c r="U87">
        <v>1.0201499999999999</v>
      </c>
      <c r="V87">
        <v>1200</v>
      </c>
      <c r="W87" t="str">
        <v>20196T-GENESCA SITJES JOSEP M.</v>
      </c>
    </row>
    <row r="88" spans="1:23" x14ac:dyDescent="0.25">
      <c r="A88" t="str">
        <v>2025-10-17</v>
      </c>
      <c r="B88" t="str">
        <v>20265T-AVICOTRANS GUIXERAS, S.L.U.-L:39-N:3-A:3001-POLLO AMARILLO MACHO</v>
      </c>
      <c r="C88" t="str">
        <v>POLLO AMARILLO MACHO</v>
      </c>
      <c r="D88">
        <v>11409</v>
      </c>
      <c r="E88" t="str">
        <v>Broiler Amarillo</v>
      </c>
      <c r="F88">
        <v>15</v>
      </c>
      <c r="G88">
        <v>0</v>
      </c>
      <c r="H88" t="str">
        <v>Abierto</v>
      </c>
      <c r="I88">
        <v>0.53100000000000003</v>
      </c>
      <c r="J88">
        <v>0.42348000000000002</v>
      </c>
      <c r="K88">
        <v>0.59499999999999997</v>
      </c>
      <c r="L88">
        <v>11700</v>
      </c>
      <c r="M88">
        <v>0</v>
      </c>
      <c r="N88">
        <v>279</v>
      </c>
      <c r="O88">
        <v>279</v>
      </c>
      <c r="P88">
        <v>22822</v>
      </c>
      <c r="Q88">
        <v>11855.983</v>
      </c>
      <c r="R88">
        <v>1.0143111111111112</v>
      </c>
      <c r="S88">
        <v>9.5689935431799835</v>
      </c>
      <c r="T88">
        <v>9.5689935431799835</v>
      </c>
      <c r="U88">
        <v>1.01431</v>
      </c>
      <c r="V88">
        <v>1239</v>
      </c>
      <c r="W88" t="str">
        <v>20265T-AVICOTRANS GUIXERAS, S.L.U.</v>
      </c>
    </row>
    <row r="89" spans="1:23" x14ac:dyDescent="0.25">
      <c r="A89" t="str">
        <v>2025-10-17</v>
      </c>
      <c r="B89" t="str">
        <v>20442T-GRANJA COSTABLANCA AVICOLA-L:16-N:1-A:3002-POLLO AMARILLO HEMBRAS</v>
      </c>
      <c r="C89" t="str">
        <v>POLLO AMARILLO HEMBRAS</v>
      </c>
      <c r="D89">
        <v>14922</v>
      </c>
      <c r="E89" t="str">
        <v>Broiler Amarillo</v>
      </c>
      <c r="F89">
        <v>14</v>
      </c>
      <c r="G89">
        <v>0</v>
      </c>
      <c r="H89" t="str">
        <v>Abierto</v>
      </c>
      <c r="I89">
        <v>0.51700000000000002</v>
      </c>
      <c r="J89">
        <v>0.51700000000000002</v>
      </c>
      <c r="K89">
        <v>0.51700000000000002</v>
      </c>
      <c r="L89">
        <v>15200</v>
      </c>
      <c r="M89">
        <v>0</v>
      </c>
      <c r="N89">
        <v>278</v>
      </c>
      <c r="O89">
        <v>184</v>
      </c>
      <c r="P89">
        <v>29653</v>
      </c>
      <c r="Q89">
        <v>15625.221</v>
      </c>
      <c r="R89">
        <v>0.9413650793650794</v>
      </c>
      <c r="S89">
        <v>9.0950064027939472</v>
      </c>
      <c r="T89">
        <v>9.0950064027939472</v>
      </c>
      <c r="U89">
        <v>0.94137000000000004</v>
      </c>
      <c r="V89">
        <v>1718</v>
      </c>
      <c r="W89" t="str">
        <v>20442T-GRANJA COSTABLANCA AVICOLA</v>
      </c>
    </row>
    <row r="90" spans="1:23" x14ac:dyDescent="0.25">
      <c r="A90" t="str">
        <v>2025-10-17</v>
      </c>
      <c r="B90" t="str">
        <v>20265T-AVICOTRANS GUIXERAS, S.L.U.-L:39-N:4-A:3002-POLLO AMARILLO HEMBRAS</v>
      </c>
      <c r="C90" t="str">
        <v>POLLO AMARILLO HEMBRAS</v>
      </c>
      <c r="D90">
        <v>17755</v>
      </c>
      <c r="E90" t="str">
        <v>Broiler Amarillo</v>
      </c>
      <c r="F90">
        <v>15</v>
      </c>
      <c r="G90">
        <v>0</v>
      </c>
      <c r="H90" t="str">
        <v>Abierto</v>
      </c>
      <c r="I90">
        <v>0.51200000000000001</v>
      </c>
      <c r="J90">
        <v>0.42107</v>
      </c>
      <c r="K90">
        <v>0.56999999999999995</v>
      </c>
      <c r="L90">
        <v>18200</v>
      </c>
      <c r="M90">
        <v>0</v>
      </c>
      <c r="N90">
        <v>437</v>
      </c>
      <c r="O90">
        <v>437</v>
      </c>
      <c r="P90">
        <v>35502</v>
      </c>
      <c r="Q90">
        <v>18709.434000000001</v>
      </c>
      <c r="R90">
        <v>1.0143428571428572</v>
      </c>
      <c r="S90">
        <v>9.7444968749999994</v>
      </c>
      <c r="T90">
        <v>9.7444968749999994</v>
      </c>
      <c r="U90">
        <v>1.01434</v>
      </c>
      <c r="V90">
        <v>1920</v>
      </c>
      <c r="W90" t="str">
        <v>20265T-AVICOTRANS GUIXERAS, S.L.U.</v>
      </c>
    </row>
    <row r="91" spans="1:23" x14ac:dyDescent="0.25">
      <c r="A91" t="str">
        <v>2025-10-17</v>
      </c>
      <c r="B91" t="str">
        <v>20265T-AVICOTRANS GUIXERAS, S.L.U.-L:39-N:3-A:3002-POLLO AMARILLO HEMBRAS</v>
      </c>
      <c r="C91" t="str">
        <v>POLLO AMARILLO HEMBRAS</v>
      </c>
      <c r="D91">
        <v>11413</v>
      </c>
      <c r="E91" t="str">
        <v>Broiler Amarillo</v>
      </c>
      <c r="F91">
        <v>15</v>
      </c>
      <c r="G91">
        <v>0</v>
      </c>
      <c r="H91" t="str">
        <v>Abierto</v>
      </c>
      <c r="I91">
        <v>0.50800000000000001</v>
      </c>
      <c r="J91">
        <v>0.41081000000000001</v>
      </c>
      <c r="K91">
        <v>0.56999999999999995</v>
      </c>
      <c r="L91">
        <v>11700</v>
      </c>
      <c r="M91">
        <v>0</v>
      </c>
      <c r="N91">
        <v>279</v>
      </c>
      <c r="O91">
        <v>279</v>
      </c>
      <c r="P91">
        <v>22822</v>
      </c>
      <c r="Q91">
        <v>11855.983</v>
      </c>
      <c r="R91">
        <v>1.0143111111111112</v>
      </c>
      <c r="S91">
        <v>9.5689935431799835</v>
      </c>
      <c r="T91">
        <v>9.5689935431799835</v>
      </c>
      <c r="U91">
        <v>1.01431</v>
      </c>
      <c r="V91">
        <v>1239</v>
      </c>
      <c r="W91" t="str">
        <v>20265T-AVICOTRANS GUIXERAS, S.L.U.</v>
      </c>
    </row>
    <row r="92" spans="1:23" x14ac:dyDescent="0.25">
      <c r="A92" t="str">
        <v>2025-10-17</v>
      </c>
      <c r="B92" t="str">
        <v>20383T-SANTA MARIA-L:40-N:1-A:3001-POLLO AMARILLO MACHO</v>
      </c>
      <c r="C92" t="str">
        <v>POLLO AMARILLO MACHO</v>
      </c>
      <c r="D92">
        <v>15230</v>
      </c>
      <c r="E92" t="str">
        <v>Broiler Amarillo</v>
      </c>
      <c r="F92">
        <v>14</v>
      </c>
      <c r="G92">
        <v>0</v>
      </c>
      <c r="H92" t="str">
        <v>Abierto</v>
      </c>
      <c r="I92">
        <v>0.45800000000000002</v>
      </c>
      <c r="J92">
        <v>0.43834000000000001</v>
      </c>
      <c r="K92">
        <v>0.53700000000000003</v>
      </c>
      <c r="L92">
        <v>15600</v>
      </c>
      <c r="M92">
        <v>0</v>
      </c>
      <c r="N92">
        <v>370</v>
      </c>
      <c r="O92">
        <v>370</v>
      </c>
      <c r="P92">
        <v>30460</v>
      </c>
      <c r="Q92">
        <v>13569.93</v>
      </c>
      <c r="R92">
        <v>1.0153333333333334</v>
      </c>
      <c r="S92">
        <v>8.0773392857142863</v>
      </c>
      <c r="T92">
        <v>8.0773392857142863</v>
      </c>
      <c r="U92">
        <v>1.0153300000000001</v>
      </c>
      <c r="V92">
        <v>1680</v>
      </c>
      <c r="W92" t="str">
        <v>20383T-SANTA MARIA</v>
      </c>
    </row>
    <row r="93" spans="1:23" x14ac:dyDescent="0.25">
      <c r="A93" t="str">
        <v>2025-10-17</v>
      </c>
      <c r="B93" t="str">
        <v>20196T-GENESCA SITJES JOSEP M.-L:36-N:2-A:3002-POLLO AMARILLO HEMBRAS</v>
      </c>
      <c r="C93" t="str">
        <v>POLLO AMARILLO HEMBRAS</v>
      </c>
      <c r="D93">
        <v>10337</v>
      </c>
      <c r="E93" t="str">
        <v>Broiler Amarillo</v>
      </c>
      <c r="F93">
        <v>14</v>
      </c>
      <c r="G93">
        <v>0</v>
      </c>
      <c r="H93" t="str">
        <v>Abierto</v>
      </c>
      <c r="I93">
        <v>0.45500000000000002</v>
      </c>
      <c r="J93">
        <v>0.37261</v>
      </c>
      <c r="K93">
        <v>0.51700000000000002</v>
      </c>
      <c r="L93">
        <v>10700</v>
      </c>
      <c r="M93">
        <v>0</v>
      </c>
      <c r="N93">
        <v>363</v>
      </c>
      <c r="O93">
        <v>204</v>
      </c>
      <c r="P93">
        <v>20403</v>
      </c>
      <c r="Q93">
        <v>10108.777</v>
      </c>
      <c r="R93">
        <v>1.0201499999999999</v>
      </c>
      <c r="S93">
        <v>8.4239808333333333</v>
      </c>
      <c r="T93">
        <v>8.4239808333333333</v>
      </c>
      <c r="U93">
        <v>1.0201499999999999</v>
      </c>
      <c r="V93">
        <v>1200</v>
      </c>
      <c r="W93" t="str">
        <v>20196T-GENESCA SITJES JOSEP M.</v>
      </c>
    </row>
    <row r="94" spans="1:23" x14ac:dyDescent="0.25">
      <c r="A94" t="str">
        <v>2025-10-17</v>
      </c>
      <c r="B94" t="str">
        <v>20196T-GENESCA SITJES JOSEP M.-L:36-N:1-A:3002-POLLO AMARILLO HEMBRAS</v>
      </c>
      <c r="C94" t="str">
        <v>POLLO AMARILLO HEMBRAS</v>
      </c>
      <c r="D94">
        <v>10077</v>
      </c>
      <c r="E94" t="str">
        <v>Broiler Amarillo</v>
      </c>
      <c r="F94">
        <v>14</v>
      </c>
      <c r="G94">
        <v>0</v>
      </c>
      <c r="H94" t="str">
        <v>Abierto</v>
      </c>
      <c r="I94">
        <v>0.45500000000000002</v>
      </c>
      <c r="J94">
        <v>0.37261</v>
      </c>
      <c r="K94">
        <v>0.51700000000000002</v>
      </c>
      <c r="L94">
        <v>10600</v>
      </c>
      <c r="M94">
        <v>0</v>
      </c>
      <c r="N94">
        <v>523</v>
      </c>
      <c r="O94">
        <v>255</v>
      </c>
      <c r="P94">
        <v>20418</v>
      </c>
      <c r="Q94">
        <v>10138.152</v>
      </c>
      <c r="R94">
        <v>1.0208999999999999</v>
      </c>
      <c r="S94">
        <v>8.4484600000000007</v>
      </c>
      <c r="T94">
        <v>8.4484600000000007</v>
      </c>
      <c r="U94">
        <v>1.0208999999999999</v>
      </c>
      <c r="V94">
        <v>1200</v>
      </c>
      <c r="W94" t="str">
        <v>20196T-GENESCA SITJES JOSEP M.</v>
      </c>
    </row>
    <row r="95" spans="1:23" x14ac:dyDescent="0.25">
      <c r="A95" t="str">
        <v>2025-10-17</v>
      </c>
      <c r="B95" t="str">
        <v>20383T-SANTA MARIA-L:40-N:1-A:3002-POLLO AMARILLO HEMBRAS</v>
      </c>
      <c r="C95" t="str">
        <v>POLLO AMARILLO HEMBRAS</v>
      </c>
      <c r="D95">
        <v>15230</v>
      </c>
      <c r="E95" t="str">
        <v>Broiler Amarillo</v>
      </c>
      <c r="F95">
        <v>14</v>
      </c>
      <c r="G95">
        <v>0</v>
      </c>
      <c r="H95" t="str">
        <v>Abierto</v>
      </c>
      <c r="I95">
        <v>0.433</v>
      </c>
      <c r="J95">
        <v>0.41336000000000001</v>
      </c>
      <c r="K95">
        <v>0.51700000000000002</v>
      </c>
      <c r="L95">
        <v>15600</v>
      </c>
      <c r="M95">
        <v>0</v>
      </c>
      <c r="N95">
        <v>370</v>
      </c>
      <c r="O95">
        <v>370</v>
      </c>
      <c r="P95">
        <v>30460</v>
      </c>
      <c r="Q95">
        <v>13569.93</v>
      </c>
      <c r="R95">
        <v>1.0153333333333334</v>
      </c>
      <c r="S95">
        <v>8.0773392857142863</v>
      </c>
      <c r="T95">
        <v>8.0773392857142863</v>
      </c>
      <c r="U95">
        <v>1.0153300000000001</v>
      </c>
      <c r="V95">
        <v>1680</v>
      </c>
      <c r="W95" t="str">
        <v>20383T-SANTA MARIA</v>
      </c>
    </row>
    <row r="96" spans="1:23" x14ac:dyDescent="0.25">
      <c r="A96" t="str">
        <v>2025-10-17</v>
      </c>
      <c r="B96" t="str">
        <v>20446T-CAN MARCO naus 4,5,6 i 7-L:13-N:7-A:3001-POLLO AMARILLO MACHO</v>
      </c>
      <c r="C96" t="str">
        <v>POLLO AMARILLO MACHO</v>
      </c>
      <c r="D96">
        <v>20424</v>
      </c>
      <c r="E96" t="str">
        <v>Broiler Amarillo</v>
      </c>
      <c r="F96">
        <v>11</v>
      </c>
      <c r="G96">
        <v>0</v>
      </c>
      <c r="H96" t="str">
        <v>Abierto</v>
      </c>
      <c r="I96">
        <v>0.38200000000000001</v>
      </c>
      <c r="J96">
        <v>0.38200000000000001</v>
      </c>
      <c r="K96">
        <v>0.38200000000000001</v>
      </c>
      <c r="L96">
        <v>20500</v>
      </c>
      <c r="M96">
        <v>0</v>
      </c>
      <c r="N96">
        <v>76</v>
      </c>
      <c r="O96">
        <v>76</v>
      </c>
      <c r="P96">
        <v>33439</v>
      </c>
      <c r="Q96">
        <v>12682.593000000001</v>
      </c>
      <c r="R96">
        <v>1.0133030303030304</v>
      </c>
      <c r="S96">
        <v>7.0458850000000002</v>
      </c>
      <c r="T96">
        <v>7.0458850000000002</v>
      </c>
      <c r="U96">
        <v>1.0133000000000001</v>
      </c>
      <c r="V96">
        <v>1800</v>
      </c>
      <c r="W96" t="str">
        <v>20446T-CAN MARCO naus 4,5,6 i 7</v>
      </c>
    </row>
    <row r="97" spans="1:23" x14ac:dyDescent="0.25">
      <c r="A97" t="str">
        <v>2025-10-17</v>
      </c>
      <c r="B97" t="str">
        <v>20446T-CAN MARCO naus 4,5,6 i 7-L:13-N:6-A:3001-POLLO AMARILLO MACHO</v>
      </c>
      <c r="C97" t="str">
        <v>POLLO AMARILLO MACHO</v>
      </c>
      <c r="D97">
        <v>16537</v>
      </c>
      <c r="E97" t="str">
        <v>Broiler Amarillo</v>
      </c>
      <c r="F97">
        <v>11</v>
      </c>
      <c r="G97">
        <v>0</v>
      </c>
      <c r="H97" t="str">
        <v>Abierto</v>
      </c>
      <c r="I97">
        <v>0.38200000000000001</v>
      </c>
      <c r="J97">
        <v>0.38200000000000001</v>
      </c>
      <c r="K97">
        <v>0.38200000000000001</v>
      </c>
      <c r="L97">
        <v>16900</v>
      </c>
      <c r="M97">
        <v>0</v>
      </c>
      <c r="N97">
        <v>363</v>
      </c>
      <c r="O97">
        <v>363</v>
      </c>
      <c r="P97">
        <v>33074</v>
      </c>
      <c r="Q97">
        <v>12518.509</v>
      </c>
      <c r="R97">
        <v>1.0022424242424242</v>
      </c>
      <c r="S97">
        <v>6.9547272222222221</v>
      </c>
      <c r="T97">
        <v>6.9547272222222221</v>
      </c>
      <c r="U97">
        <v>1.00224</v>
      </c>
      <c r="V97">
        <v>1800</v>
      </c>
      <c r="W97" t="str">
        <v>20446T-CAN MARCO naus 4,5,6 i 7</v>
      </c>
    </row>
    <row r="98" spans="1:23" x14ac:dyDescent="0.25">
      <c r="A98" t="str">
        <v>2025-10-17</v>
      </c>
      <c r="B98" t="str">
        <v>20446T-CAN MARCO naus 4,5,6 i 7-L:13-N:6-A:3002-POLLO AMARILLO HEMBRAS</v>
      </c>
      <c r="C98" t="str">
        <v>POLLO AMARILLO HEMBRAS</v>
      </c>
      <c r="D98">
        <v>16537</v>
      </c>
      <c r="E98" t="str">
        <v>Broiler Amarillo</v>
      </c>
      <c r="F98">
        <v>11</v>
      </c>
      <c r="G98">
        <v>0</v>
      </c>
      <c r="H98" t="str">
        <v>Abierto</v>
      </c>
      <c r="I98">
        <v>0.375</v>
      </c>
      <c r="J98">
        <v>0.375</v>
      </c>
      <c r="K98">
        <v>0.375</v>
      </c>
      <c r="L98">
        <v>16900</v>
      </c>
      <c r="M98">
        <v>0</v>
      </c>
      <c r="N98">
        <v>363</v>
      </c>
      <c r="O98">
        <v>363</v>
      </c>
      <c r="P98">
        <v>33074</v>
      </c>
      <c r="Q98">
        <v>12518.509</v>
      </c>
      <c r="R98">
        <v>1.0022424242424242</v>
      </c>
      <c r="S98">
        <v>6.9547272222222221</v>
      </c>
      <c r="T98">
        <v>6.9547272222222221</v>
      </c>
      <c r="U98">
        <v>1.00224</v>
      </c>
      <c r="V98">
        <v>1800</v>
      </c>
      <c r="W98" t="str">
        <v>20446T-CAN MARCO naus 4,5,6 i 7</v>
      </c>
    </row>
    <row r="99" spans="1:23" x14ac:dyDescent="0.25">
      <c r="A99" t="str">
        <v>2025-10-17</v>
      </c>
      <c r="B99" t="str">
        <v>20446T-CAN MARCO naus 4,5,6 i 7-L:13-N:7-A:3002-POLLO AMARILLO HEMBRAS</v>
      </c>
      <c r="C99" t="str">
        <v>POLLO AMARILLO HEMBRAS</v>
      </c>
      <c r="D99">
        <v>13015</v>
      </c>
      <c r="E99" t="str">
        <v>Broiler Amarillo</v>
      </c>
      <c r="F99">
        <v>11</v>
      </c>
      <c r="G99">
        <v>0</v>
      </c>
      <c r="H99" t="str">
        <v>Abierto</v>
      </c>
      <c r="I99">
        <v>0.375</v>
      </c>
      <c r="J99">
        <v>0.375</v>
      </c>
      <c r="K99">
        <v>0.375</v>
      </c>
      <c r="L99">
        <v>13300</v>
      </c>
      <c r="M99">
        <v>0</v>
      </c>
      <c r="N99">
        <v>285</v>
      </c>
      <c r="O99">
        <v>285</v>
      </c>
      <c r="P99">
        <v>33439</v>
      </c>
      <c r="Q99">
        <v>12682.593000000001</v>
      </c>
      <c r="R99">
        <v>1.0133030303030304</v>
      </c>
      <c r="S99">
        <v>7.0458850000000002</v>
      </c>
      <c r="T99">
        <v>7.0458850000000002</v>
      </c>
      <c r="U99">
        <v>1.0133000000000001</v>
      </c>
      <c r="V99">
        <v>1800</v>
      </c>
      <c r="W99" t="str">
        <v>20446T-CAN MARCO naus 4,5,6 i 7</v>
      </c>
    </row>
    <row r="100" spans="1:23" x14ac:dyDescent="0.25">
      <c r="A100" t="str">
        <v>2025-10-17</v>
      </c>
      <c r="B100" t="str">
        <v>20415T-LES PLANES II-L:31-N:1-A:3001-POLLO AMARILLO MACHO</v>
      </c>
      <c r="C100" t="str">
        <v>POLLO AMARILLO MACHO</v>
      </c>
      <c r="D100">
        <v>22436</v>
      </c>
      <c r="E100" t="str">
        <v>Broiler Amarillo</v>
      </c>
      <c r="F100">
        <v>10</v>
      </c>
      <c r="G100">
        <v>0</v>
      </c>
      <c r="H100" t="str">
        <v>Abierto</v>
      </c>
      <c r="I100">
        <v>0.33700000000000002</v>
      </c>
      <c r="J100">
        <v>0.33700000000000002</v>
      </c>
      <c r="K100">
        <v>0.33700000000000002</v>
      </c>
      <c r="L100">
        <v>22900</v>
      </c>
      <c r="M100">
        <v>0</v>
      </c>
      <c r="N100">
        <v>464</v>
      </c>
      <c r="O100">
        <v>464</v>
      </c>
      <c r="P100">
        <v>44872</v>
      </c>
      <c r="Q100">
        <v>15009.683999999999</v>
      </c>
      <c r="R100">
        <v>0.97547826086956524</v>
      </c>
      <c r="S100">
        <v>6.254035</v>
      </c>
      <c r="T100">
        <v>6.254035</v>
      </c>
      <c r="U100">
        <v>0.97548000000000001</v>
      </c>
      <c r="V100">
        <v>2400</v>
      </c>
      <c r="W100" t="str">
        <v>20415T-LES PLANES II</v>
      </c>
    </row>
    <row r="101" spans="1:23" x14ac:dyDescent="0.25">
      <c r="A101" t="str">
        <v>2025-10-17</v>
      </c>
      <c r="B101" t="str">
        <v>20415T-LES PLANES II-L:31-N:1-A:3002-POLLO AMARILLO HEMBRAS</v>
      </c>
      <c r="C101" t="str">
        <v>POLLO AMARILLO HEMBRAS</v>
      </c>
      <c r="D101">
        <v>22436</v>
      </c>
      <c r="E101" t="str">
        <v>Broiler Amarillo</v>
      </c>
      <c r="F101">
        <v>10</v>
      </c>
      <c r="G101">
        <v>0</v>
      </c>
      <c r="H101" t="str">
        <v>Abierto</v>
      </c>
      <c r="I101">
        <v>0.33200000000000002</v>
      </c>
      <c r="J101">
        <v>0.33200000000000002</v>
      </c>
      <c r="K101">
        <v>0.33200000000000002</v>
      </c>
      <c r="L101">
        <v>22900</v>
      </c>
      <c r="M101">
        <v>0</v>
      </c>
      <c r="N101">
        <v>464</v>
      </c>
      <c r="O101">
        <v>464</v>
      </c>
      <c r="P101">
        <v>44872</v>
      </c>
      <c r="Q101">
        <v>15009.683999999999</v>
      </c>
      <c r="R101">
        <v>0.97547826086956524</v>
      </c>
      <c r="S101">
        <v>6.254035</v>
      </c>
      <c r="T101">
        <v>6.254035</v>
      </c>
      <c r="U101">
        <v>0.97548000000000001</v>
      </c>
      <c r="V101">
        <v>2400</v>
      </c>
      <c r="W101" t="str">
        <v>20415T-LES PLANES II</v>
      </c>
    </row>
    <row r="102" spans="1:23" x14ac:dyDescent="0.25">
      <c r="A102" t="str">
        <v>2025-10-17</v>
      </c>
      <c r="B102" t="str">
        <v>20265T-AVICOTRANS GUIXERAS, S.L.U.-L:39-N:2-A:3001-POLLO AMARILLO MACHO</v>
      </c>
      <c r="C102" t="str">
        <v>POLLO AMARILLO MACHO</v>
      </c>
      <c r="D102">
        <v>12087</v>
      </c>
      <c r="E102" t="str">
        <v>Broiler Amarillo</v>
      </c>
      <c r="F102">
        <v>10</v>
      </c>
      <c r="G102">
        <v>0</v>
      </c>
      <c r="H102" t="str">
        <v>Abierto</v>
      </c>
      <c r="I102">
        <v>0.29899999999999999</v>
      </c>
      <c r="J102">
        <v>0.27931</v>
      </c>
      <c r="K102">
        <v>0.33700000000000002</v>
      </c>
      <c r="L102">
        <v>12200</v>
      </c>
      <c r="M102">
        <v>0</v>
      </c>
      <c r="N102">
        <v>105</v>
      </c>
      <c r="O102">
        <v>105</v>
      </c>
      <c r="P102">
        <v>24100</v>
      </c>
      <c r="Q102">
        <v>7037.7179999999998</v>
      </c>
      <c r="R102">
        <v>1.0255319148936171</v>
      </c>
      <c r="S102">
        <v>5.4555953488372095</v>
      </c>
      <c r="T102">
        <v>5.4555953488372095</v>
      </c>
      <c r="U102">
        <v>1.0255300000000001</v>
      </c>
      <c r="V102">
        <v>1290</v>
      </c>
      <c r="W102" t="str">
        <v>20265T-AVICOTRANS GUIXERAS, S.L.U.</v>
      </c>
    </row>
    <row r="103" spans="1:23" x14ac:dyDescent="0.25">
      <c r="A103" t="str">
        <v>2025-10-17</v>
      </c>
      <c r="B103" t="str">
        <v>20265T-AVICOTRANS GUIXERAS, S.L.U.-L:39-N:2-A:3002-POLLO AMARILLO HEMBRAS</v>
      </c>
      <c r="C103" t="str">
        <v>POLLO AMARILLO HEMBRAS</v>
      </c>
      <c r="D103">
        <v>12013</v>
      </c>
      <c r="E103" t="str">
        <v>Broiler Amarillo</v>
      </c>
      <c r="F103">
        <v>10</v>
      </c>
      <c r="G103">
        <v>0</v>
      </c>
      <c r="H103" t="str">
        <v>Abierto</v>
      </c>
      <c r="I103">
        <v>0.28499999999999998</v>
      </c>
      <c r="J103">
        <v>0.26171</v>
      </c>
      <c r="K103">
        <v>0.33200000000000002</v>
      </c>
      <c r="L103">
        <v>12200</v>
      </c>
      <c r="M103">
        <v>0</v>
      </c>
      <c r="N103">
        <v>171</v>
      </c>
      <c r="O103">
        <v>171</v>
      </c>
      <c r="P103">
        <v>24100</v>
      </c>
      <c r="Q103">
        <v>7037.7179999999998</v>
      </c>
      <c r="R103">
        <v>1.0255319148936171</v>
      </c>
      <c r="S103">
        <v>5.4555953488372095</v>
      </c>
      <c r="T103">
        <v>5.4555953488372095</v>
      </c>
      <c r="U103">
        <v>1.0255300000000001</v>
      </c>
      <c r="V103">
        <v>1290</v>
      </c>
      <c r="W103" t="str">
        <v>20265T-AVICOTRANS GUIXERAS, S.L.U.</v>
      </c>
    </row>
    <row r="104" spans="1:23" x14ac:dyDescent="0.25">
      <c r="A104" t="str">
        <v>2025-10-17</v>
      </c>
      <c r="B104" t="str">
        <v>20265T-AVICOTRANS GUIXERAS, S.L.U.-L:39-N:1-A:3001-POLLO AMARILLO MACHO</v>
      </c>
      <c r="C104" t="str">
        <v>POLLO AMARILLO MACHO</v>
      </c>
      <c r="D104">
        <v>11240</v>
      </c>
      <c r="E104" t="str">
        <v>Broiler Amarillo</v>
      </c>
      <c r="F104">
        <v>10</v>
      </c>
      <c r="G104">
        <v>0</v>
      </c>
      <c r="H104" t="str">
        <v>Abierto</v>
      </c>
      <c r="I104">
        <v>0.28299999999999997</v>
      </c>
      <c r="J104">
        <v>0.25503999999999999</v>
      </c>
      <c r="K104">
        <v>0.33700000000000002</v>
      </c>
      <c r="L104">
        <v>11500</v>
      </c>
      <c r="M104">
        <v>0</v>
      </c>
      <c r="N104">
        <v>232</v>
      </c>
      <c r="O104">
        <v>232</v>
      </c>
      <c r="P104">
        <v>22396</v>
      </c>
      <c r="Q104">
        <v>6193.04</v>
      </c>
      <c r="R104">
        <v>1.0416744186046512</v>
      </c>
      <c r="S104">
        <v>5.2483389830508473</v>
      </c>
      <c r="T104">
        <v>5.2483389830508473</v>
      </c>
      <c r="U104">
        <v>1.0416700000000001</v>
      </c>
      <c r="V104">
        <v>1180</v>
      </c>
      <c r="W104" t="str">
        <v>20265T-AVICOTRANS GUIXERAS, S.L.U.</v>
      </c>
    </row>
    <row r="105" spans="1:23" x14ac:dyDescent="0.25">
      <c r="A105" t="str">
        <v>2025-10-17</v>
      </c>
      <c r="B105" t="str">
        <v>20265T-AVICOTRANS GUIXERAS, S.L.U.-L:39-N:1-A:3002-POLLO AMARILLO HEMBRAS</v>
      </c>
      <c r="C105" t="str">
        <v>POLLO AMARILLO HEMBRAS</v>
      </c>
      <c r="D105">
        <v>11156</v>
      </c>
      <c r="E105" t="str">
        <v>Broiler Amarillo</v>
      </c>
      <c r="F105">
        <v>10</v>
      </c>
      <c r="G105">
        <v>0</v>
      </c>
      <c r="H105" t="str">
        <v>Abierto</v>
      </c>
      <c r="I105">
        <v>0.27</v>
      </c>
      <c r="J105">
        <v>0.23927999999999999</v>
      </c>
      <c r="K105">
        <v>0.33200000000000002</v>
      </c>
      <c r="L105">
        <v>11400</v>
      </c>
      <c r="M105">
        <v>0</v>
      </c>
      <c r="N105">
        <v>232</v>
      </c>
      <c r="O105">
        <v>232</v>
      </c>
      <c r="P105">
        <v>22396</v>
      </c>
      <c r="Q105">
        <v>6193.04</v>
      </c>
      <c r="R105">
        <v>1.0416744186046512</v>
      </c>
      <c r="S105">
        <v>5.2483389830508473</v>
      </c>
      <c r="T105">
        <v>5.2483389830508473</v>
      </c>
      <c r="U105">
        <v>1.0416700000000001</v>
      </c>
      <c r="V105">
        <v>1180</v>
      </c>
      <c r="W105" t="str">
        <v>20265T-AVICOTRANS GUIXERAS, S.L.U.</v>
      </c>
    </row>
    <row r="106" spans="1:23" x14ac:dyDescent="0.25">
      <c r="A106" t="str">
        <v>2025-10-17</v>
      </c>
      <c r="B106" t="str">
        <v>20378T-AVICOJESLO S.L. naus 4,5-L:39-N:4-A:3001-POLLO AMARILLO MACHO</v>
      </c>
      <c r="C106" t="str">
        <v>POLLO AMARILLO MACHO</v>
      </c>
      <c r="D106">
        <v>15229</v>
      </c>
      <c r="E106" t="str">
        <v>Broiler Amarillo</v>
      </c>
      <c r="F106">
        <v>8</v>
      </c>
      <c r="G106">
        <v>0</v>
      </c>
      <c r="H106" t="str">
        <v>Abierto</v>
      </c>
      <c r="I106">
        <v>0.25600000000000001</v>
      </c>
      <c r="J106">
        <v>0.25600000000000001</v>
      </c>
      <c r="K106">
        <v>0.25600000000000001</v>
      </c>
      <c r="L106">
        <v>15500</v>
      </c>
      <c r="M106">
        <v>0</v>
      </c>
      <c r="N106">
        <v>271</v>
      </c>
      <c r="O106">
        <v>271</v>
      </c>
      <c r="P106">
        <v>30458</v>
      </c>
      <c r="Q106">
        <v>7782.0190000000002</v>
      </c>
      <c r="R106">
        <v>1.0152666666666668</v>
      </c>
      <c r="S106">
        <v>4.7078154869933453</v>
      </c>
      <c r="T106">
        <v>4.7078154869933453</v>
      </c>
      <c r="U106">
        <v>1.0152699999999999</v>
      </c>
      <c r="V106">
        <v>1653</v>
      </c>
      <c r="W106" t="str">
        <v>20378T-AVICOJESLO S.L. naus 4,5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22EDF-921C-468E-ADC5-27B22B2D5F29}">
  <sheetPr codeName="Hoja5"/>
  <dimension ref="A1:W106"/>
  <sheetViews>
    <sheetView workbookViewId="0">
      <selection activeCell="H8" sqref="H8"/>
    </sheetView>
  </sheetViews>
  <sheetFormatPr baseColWidth="10" defaultRowHeight="15" x14ac:dyDescent="0.25"/>
  <cols>
    <col min="2" max="2" width="14.7109375" customWidth="1"/>
    <col min="4" max="4" width="10.42578125" bestFit="1" customWidth="1"/>
    <col min="9" max="9" width="11.7109375" bestFit="1" customWidth="1"/>
    <col min="12" max="12" width="15.42578125" customWidth="1"/>
    <col min="13" max="13" width="18.85546875" bestFit="1" customWidth="1"/>
  </cols>
  <sheetData>
    <row r="1" spans="1:23" ht="30.75" thickBot="1" x14ac:dyDescent="0.3">
      <c r="A1" s="21"/>
      <c r="B1" s="22" t="s">
        <v>64</v>
      </c>
      <c r="C1" s="22" t="s">
        <v>65</v>
      </c>
      <c r="D1" s="22" t="s">
        <v>66</v>
      </c>
      <c r="E1" s="22" t="s">
        <v>67</v>
      </c>
      <c r="F1" s="22" t="s">
        <v>68</v>
      </c>
      <c r="G1" s="22" t="s">
        <v>69</v>
      </c>
      <c r="H1" s="22" t="s">
        <v>70</v>
      </c>
      <c r="I1" s="22" t="s">
        <v>71</v>
      </c>
      <c r="J1" s="22" t="s">
        <v>72</v>
      </c>
      <c r="K1" s="22" t="s">
        <v>62</v>
      </c>
      <c r="L1" s="22" t="s">
        <v>5</v>
      </c>
    </row>
    <row r="2" spans="1:23" ht="15.75" thickTop="1" x14ac:dyDescent="0.25">
      <c r="A2" s="23" t="s">
        <v>0</v>
      </c>
      <c r="B2" s="24" t="s">
        <v>74</v>
      </c>
      <c r="C2" s="24" t="s">
        <v>1</v>
      </c>
      <c r="D2" s="25"/>
      <c r="E2" s="25">
        <v>45931</v>
      </c>
      <c r="F2" s="25">
        <v>45940</v>
      </c>
      <c r="G2" s="24">
        <v>0</v>
      </c>
      <c r="H2" s="24">
        <v>999</v>
      </c>
      <c r="I2" s="24">
        <v>0</v>
      </c>
      <c r="J2" s="24">
        <v>9.9990000000000006</v>
      </c>
      <c r="K2" s="24"/>
      <c r="L2" s="24" t="s">
        <v>44</v>
      </c>
    </row>
    <row r="5" spans="1:23" x14ac:dyDescent="0.25">
      <c r="A5" t="str" cm="1">
        <f t="array" ref="A5:W106">GetSetSalidasAvi(A2,B2,C2,E2,F2,G2,H2,I2,J2)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cantidad_entrada</v>
      </c>
      <c r="M5" t="str">
        <v>ventas_acumuladas</v>
      </c>
      <c r="N5" t="str">
        <v>bajas_acumuladas</v>
      </c>
      <c r="O5" t="str">
        <v>bajas_teoricas</v>
      </c>
      <c r="P5" t="str">
        <v>stock_nave</v>
      </c>
      <c r="Q5" t="str">
        <v>kilos_nave</v>
      </c>
      <c r="R5" t="str">
        <v>capacidad_nave</v>
      </c>
      <c r="S5" t="str">
        <v>densidad_nave</v>
      </c>
      <c r="T5" t="str">
        <v>kgm2_nave</v>
      </c>
      <c r="U5" t="str">
        <v>capacidad_nave</v>
      </c>
      <c r="V5" t="str">
        <v>m2_nave</v>
      </c>
      <c r="W5" t="str">
        <v>granja</v>
      </c>
    </row>
    <row r="6" spans="1:23" x14ac:dyDescent="0.25">
      <c r="A6" t="str">
        <v>2025-10-17</v>
      </c>
      <c r="B6" t="str">
        <v>36026-TOMAS AURO SEBASTIAN-L:025-N:1-A:A15-POLLO AMARILLO MIXTO</v>
      </c>
      <c r="C6" t="str">
        <v>POLLO AMARILLO MIXTO</v>
      </c>
      <c r="D6">
        <v>1050</v>
      </c>
      <c r="E6" t="str">
        <v>Broiler Amarillo</v>
      </c>
      <c r="F6">
        <v>60</v>
      </c>
      <c r="G6">
        <v>0</v>
      </c>
      <c r="H6" t="str">
        <v>Abierto</v>
      </c>
      <c r="I6">
        <v>3.964</v>
      </c>
      <c r="J6">
        <v>4.0827799999999996</v>
      </c>
      <c r="K6">
        <v>3.5990000000000002</v>
      </c>
      <c r="L6">
        <v>21960</v>
      </c>
      <c r="M6">
        <v>-20671</v>
      </c>
      <c r="N6">
        <v>182</v>
      </c>
      <c r="O6">
        <v>182</v>
      </c>
      <c r="P6">
        <v>1050</v>
      </c>
      <c r="Q6">
        <v>4162.2</v>
      </c>
      <c r="R6">
        <v>4.7653626214032858E-2</v>
      </c>
      <c r="S6">
        <v>3.2016923076923076</v>
      </c>
      <c r="T6">
        <v>3.2016923076923076</v>
      </c>
      <c r="U6">
        <v>4.7649999999999998E-2</v>
      </c>
      <c r="V6">
        <v>1300</v>
      </c>
      <c r="W6" t="str">
        <v>36026-TOMAS AURO SEBASTIAN</v>
      </c>
    </row>
    <row r="7" spans="1:23" x14ac:dyDescent="0.25">
      <c r="A7" t="str">
        <v>2025-10-17</v>
      </c>
      <c r="B7" t="str">
        <v>36001-RIERA CONDAL, JOSEP-L:031-N:1-A:A13-POLLO AMARILLO MACHO</v>
      </c>
      <c r="C7" t="str">
        <v>POLLO AMARILLO MACHO</v>
      </c>
      <c r="D7">
        <v>11053</v>
      </c>
      <c r="E7" t="str">
        <v>Broiler Amarillo</v>
      </c>
      <c r="F7">
        <v>46</v>
      </c>
      <c r="G7">
        <v>0</v>
      </c>
      <c r="H7" t="str">
        <v>Abierto</v>
      </c>
      <c r="I7">
        <v>3.016</v>
      </c>
      <c r="J7">
        <v>3.016</v>
      </c>
      <c r="K7">
        <v>3.016</v>
      </c>
      <c r="L7">
        <v>18000</v>
      </c>
      <c r="M7">
        <v>-6292</v>
      </c>
      <c r="N7">
        <v>622</v>
      </c>
      <c r="O7">
        <v>622</v>
      </c>
      <c r="P7">
        <v>10946</v>
      </c>
      <c r="Q7">
        <v>33061.821000000004</v>
      </c>
      <c r="R7">
        <v>0.33270516717325227</v>
      </c>
      <c r="S7">
        <v>16.206775</v>
      </c>
      <c r="T7">
        <v>16.206775</v>
      </c>
      <c r="U7">
        <v>0.33271000000000001</v>
      </c>
      <c r="V7">
        <v>2040</v>
      </c>
      <c r="W7" t="str">
        <v>36001-RIERA CONDAL, JOSEP</v>
      </c>
    </row>
    <row r="8" spans="1:23" x14ac:dyDescent="0.25">
      <c r="A8" t="str">
        <v>2025-10-17</v>
      </c>
      <c r="B8" t="str">
        <v>36865-LA TORRETA PECUARIA SLU-L:074-N:6-A:A13-POLLO AMARILLO MACHO</v>
      </c>
      <c r="C8" t="str">
        <v>POLLO AMARILLO MACHO</v>
      </c>
      <c r="D8">
        <v>8022</v>
      </c>
      <c r="E8" t="str">
        <v>Broiler Amarillo</v>
      </c>
      <c r="F8">
        <v>42</v>
      </c>
      <c r="G8">
        <v>0</v>
      </c>
      <c r="H8" t="str">
        <v>Abierto</v>
      </c>
      <c r="I8">
        <v>2.87</v>
      </c>
      <c r="J8">
        <v>2.9190200000000002</v>
      </c>
      <c r="K8">
        <v>2.6760000000000002</v>
      </c>
      <c r="L8">
        <v>16700</v>
      </c>
      <c r="M8">
        <v>-8069</v>
      </c>
      <c r="N8">
        <v>588</v>
      </c>
      <c r="O8">
        <v>588</v>
      </c>
      <c r="P8">
        <v>24113</v>
      </c>
      <c r="Q8">
        <v>64006.917000000001</v>
      </c>
      <c r="R8">
        <v>0.73222799186177157</v>
      </c>
      <c r="S8">
        <v>35.559398333333334</v>
      </c>
      <c r="T8">
        <v>35.559398333333334</v>
      </c>
      <c r="U8">
        <v>0.73223000000000005</v>
      </c>
      <c r="V8">
        <v>1800</v>
      </c>
      <c r="W8" t="str">
        <v>36865-LA TORRETA PECUARIA SLU</v>
      </c>
    </row>
    <row r="9" spans="1:23" x14ac:dyDescent="0.25">
      <c r="A9" t="str">
        <v>2025-10-17</v>
      </c>
      <c r="B9" t="str">
        <v>36865-LA TORRETA PECUARIA SLU-L:074-N:5-A:A13-POLLO AMARILLO MACHO</v>
      </c>
      <c r="C9" t="str">
        <v>POLLO AMARILLO MACHO</v>
      </c>
      <c r="D9">
        <v>8166</v>
      </c>
      <c r="E9" t="str">
        <v>Broiler Amarillo</v>
      </c>
      <c r="F9">
        <v>42</v>
      </c>
      <c r="G9">
        <v>0</v>
      </c>
      <c r="H9" t="str">
        <v>Abierto</v>
      </c>
      <c r="I9">
        <v>2.85</v>
      </c>
      <c r="J9">
        <v>2.8940199999999998</v>
      </c>
      <c r="K9">
        <v>2.6760000000000002</v>
      </c>
      <c r="L9">
        <v>16700</v>
      </c>
      <c r="M9">
        <v>-7925</v>
      </c>
      <c r="N9">
        <v>588</v>
      </c>
      <c r="O9">
        <v>588</v>
      </c>
      <c r="P9">
        <v>17399</v>
      </c>
      <c r="Q9">
        <v>46697.220999999998</v>
      </c>
      <c r="R9">
        <v>0.52834715010172784</v>
      </c>
      <c r="S9">
        <v>25.942900555555557</v>
      </c>
      <c r="T9">
        <v>25.942900555555557</v>
      </c>
      <c r="U9">
        <v>0.52834999999999999</v>
      </c>
      <c r="V9">
        <v>1800</v>
      </c>
      <c r="W9" t="str">
        <v>36865-LA TORRETA PECUARIA SLU</v>
      </c>
    </row>
    <row r="10" spans="1:23" x14ac:dyDescent="0.25">
      <c r="A10" t="str">
        <v>2025-10-17</v>
      </c>
      <c r="B10" t="str">
        <v>36015-GJA BAIGET - MATEU JOVE, LLUIS-1-L:030-N:1-A:A13-POLLO AMARILLO MACHO</v>
      </c>
      <c r="C10" t="str">
        <v>POLLO AMARILLO MACHO</v>
      </c>
      <c r="D10">
        <v>9279</v>
      </c>
      <c r="E10" t="str">
        <v>Broiler Amarillo</v>
      </c>
      <c r="F10">
        <v>38</v>
      </c>
      <c r="G10">
        <v>0</v>
      </c>
      <c r="H10" t="str">
        <v>Abierto</v>
      </c>
      <c r="I10">
        <v>2.806</v>
      </c>
      <c r="J10">
        <v>2.9252099999999999</v>
      </c>
      <c r="K10">
        <v>2.319</v>
      </c>
      <c r="L10">
        <v>11600</v>
      </c>
      <c r="M10">
        <v>-1924</v>
      </c>
      <c r="N10">
        <v>395</v>
      </c>
      <c r="O10">
        <v>217</v>
      </c>
      <c r="P10">
        <v>14811</v>
      </c>
      <c r="Q10">
        <v>39236.226000000002</v>
      </c>
      <c r="R10">
        <v>0.59243999999999997</v>
      </c>
      <c r="S10">
        <v>28.025875714285714</v>
      </c>
      <c r="T10">
        <v>28.025875714285714</v>
      </c>
      <c r="U10">
        <v>0.59243999999999997</v>
      </c>
      <c r="V10">
        <v>1400</v>
      </c>
      <c r="W10" t="str">
        <v>36015-GJA BAIGET - MATEU JOVE, LLUIS-1</v>
      </c>
    </row>
    <row r="11" spans="1:23" x14ac:dyDescent="0.25">
      <c r="A11" t="str">
        <v>2025-10-17</v>
      </c>
      <c r="B11" t="str">
        <v>36865-LA TORRETA PECUARIA SLU-L:074-N:4-A:A13-POLLO AMARILLO MACHO</v>
      </c>
      <c r="C11" t="str">
        <v>POLLO AMARILLO MACHO</v>
      </c>
      <c r="D11">
        <v>0</v>
      </c>
      <c r="E11" t="str">
        <v>Broiler Amarillo</v>
      </c>
      <c r="F11">
        <v>43</v>
      </c>
      <c r="G11">
        <v>0</v>
      </c>
      <c r="H11" t="str">
        <v>Abierto</v>
      </c>
      <c r="I11">
        <v>2.7749999999999999</v>
      </c>
      <c r="J11">
        <v>2.8782000000000001</v>
      </c>
      <c r="K11">
        <v>2.7629999999999999</v>
      </c>
      <c r="L11">
        <v>16300</v>
      </c>
      <c r="M11">
        <v>0</v>
      </c>
      <c r="N11">
        <v>418</v>
      </c>
      <c r="O11">
        <v>418</v>
      </c>
      <c r="P11">
        <v>15969</v>
      </c>
      <c r="Q11">
        <v>37766.684999999998</v>
      </c>
      <c r="R11">
        <v>0.48492302086180195</v>
      </c>
      <c r="S11">
        <v>20.981491666666667</v>
      </c>
      <c r="T11">
        <v>20.981491666666667</v>
      </c>
      <c r="U11">
        <v>0.48492000000000002</v>
      </c>
      <c r="V11">
        <v>1800</v>
      </c>
      <c r="W11" t="str">
        <v>36865-LA TORRETA PECUARIA SLU</v>
      </c>
    </row>
    <row r="12" spans="1:23" x14ac:dyDescent="0.25">
      <c r="A12" t="str">
        <v>2025-10-17</v>
      </c>
      <c r="B12" t="str">
        <v>36029-CAMÍ DE FLIX - MATEU JOVE LLUIS-2-L:029-N:1-A:A13-POLLO AMARILLO MACHO</v>
      </c>
      <c r="C12" t="str">
        <v>POLLO AMARILLO MACHO</v>
      </c>
      <c r="D12">
        <v>8775</v>
      </c>
      <c r="E12" t="str">
        <v>Broiler Amarillo</v>
      </c>
      <c r="F12">
        <v>38</v>
      </c>
      <c r="G12">
        <v>0</v>
      </c>
      <c r="H12" t="str">
        <v>Abierto</v>
      </c>
      <c r="I12">
        <v>2.6560000000000001</v>
      </c>
      <c r="J12">
        <v>2.73848</v>
      </c>
      <c r="K12">
        <v>2.319</v>
      </c>
      <c r="L12">
        <v>8800</v>
      </c>
      <c r="M12">
        <v>0</v>
      </c>
      <c r="N12">
        <v>7</v>
      </c>
      <c r="O12">
        <v>7</v>
      </c>
      <c r="P12">
        <v>10159</v>
      </c>
      <c r="Q12">
        <v>26095.16</v>
      </c>
      <c r="R12">
        <v>0.56438888888888894</v>
      </c>
      <c r="S12">
        <v>24.852533333333334</v>
      </c>
      <c r="T12">
        <v>24.852533333333334</v>
      </c>
      <c r="U12">
        <v>0.56438999999999995</v>
      </c>
      <c r="V12">
        <v>1050</v>
      </c>
      <c r="W12" t="str">
        <v>36029-CAMÍ DE FLIX - MATEU JOVE LLUIS-2</v>
      </c>
    </row>
    <row r="13" spans="1:23" x14ac:dyDescent="0.25">
      <c r="A13" t="str">
        <v>2025-10-17</v>
      </c>
      <c r="B13" t="str">
        <v>36001-RIERA CONDAL, JOSEP-L:031-N:1-A:A14-POLLO AMARILLO HEMBRAS</v>
      </c>
      <c r="C13" t="str">
        <v>POLLO AMARILLO HEMBRAS</v>
      </c>
      <c r="D13">
        <v>-107</v>
      </c>
      <c r="E13" t="str">
        <v>Broiler Amarillo</v>
      </c>
      <c r="F13">
        <v>46</v>
      </c>
      <c r="G13">
        <v>0</v>
      </c>
      <c r="H13" t="str">
        <v>Abierto</v>
      </c>
      <c r="I13">
        <v>2.5609999999999999</v>
      </c>
      <c r="J13">
        <v>2.5609999999999999</v>
      </c>
      <c r="K13">
        <v>2.5609999999999999</v>
      </c>
      <c r="L13">
        <v>18000</v>
      </c>
      <c r="M13">
        <v>-17485</v>
      </c>
      <c r="N13">
        <v>622</v>
      </c>
      <c r="O13">
        <v>622</v>
      </c>
      <c r="P13">
        <v>10946</v>
      </c>
      <c r="Q13">
        <v>33061.821000000004</v>
      </c>
      <c r="R13">
        <v>0.33270516717325227</v>
      </c>
      <c r="S13">
        <v>16.206775</v>
      </c>
      <c r="T13">
        <v>16.206775</v>
      </c>
      <c r="U13">
        <v>0.33271000000000001</v>
      </c>
      <c r="V13">
        <v>2040</v>
      </c>
      <c r="W13" t="str">
        <v>36001-RIERA CONDAL, JOSEP</v>
      </c>
    </row>
    <row r="14" spans="1:23" x14ac:dyDescent="0.25">
      <c r="A14" t="str">
        <v>2025-10-17</v>
      </c>
      <c r="B14" t="str">
        <v>36865-LA TORRETA PECUARIA SLU-L:074-N:6-A:A14-POLLO AMARILLO HEMBRAS</v>
      </c>
      <c r="C14" t="str">
        <v>POLLO AMARILLO HEMBRAS</v>
      </c>
      <c r="D14">
        <v>16091</v>
      </c>
      <c r="E14" t="str">
        <v>Broiler Amarillo</v>
      </c>
      <c r="F14">
        <v>42</v>
      </c>
      <c r="G14">
        <v>0</v>
      </c>
      <c r="H14" t="str">
        <v>Abierto</v>
      </c>
      <c r="I14">
        <v>2.5470000000000002</v>
      </c>
      <c r="J14">
        <v>2.6040999999999999</v>
      </c>
      <c r="K14">
        <v>2.2970000000000002</v>
      </c>
      <c r="L14">
        <v>16700</v>
      </c>
      <c r="M14">
        <v>0</v>
      </c>
      <c r="N14">
        <v>588</v>
      </c>
      <c r="O14">
        <v>588</v>
      </c>
      <c r="P14">
        <v>24113</v>
      </c>
      <c r="Q14">
        <v>64006.917000000001</v>
      </c>
      <c r="R14">
        <v>0.73222799186177157</v>
      </c>
      <c r="S14">
        <v>35.559398333333334</v>
      </c>
      <c r="T14">
        <v>35.559398333333334</v>
      </c>
      <c r="U14">
        <v>0.73223000000000005</v>
      </c>
      <c r="V14">
        <v>1800</v>
      </c>
      <c r="W14" t="str">
        <v>36865-LA TORRETA PECUARIA SLU</v>
      </c>
    </row>
    <row r="15" spans="1:23" x14ac:dyDescent="0.25">
      <c r="A15" t="str">
        <v>2025-10-17</v>
      </c>
      <c r="B15" t="str">
        <v>36865-LA TORRETA PECUARIA SLU-L:074-N:5-A:A14-POLLO AMARILLO HEMBRAS</v>
      </c>
      <c r="C15" t="str">
        <v>POLLO AMARILLO HEMBRAS</v>
      </c>
      <c r="D15">
        <v>9233</v>
      </c>
      <c r="E15" t="str">
        <v>Broiler Amarillo</v>
      </c>
      <c r="F15">
        <v>42</v>
      </c>
      <c r="G15">
        <v>0</v>
      </c>
      <c r="H15" t="str">
        <v>Abierto</v>
      </c>
      <c r="I15">
        <v>2.5369999999999999</v>
      </c>
      <c r="J15">
        <v>2.59179</v>
      </c>
      <c r="K15">
        <v>2.2970000000000002</v>
      </c>
      <c r="L15">
        <v>16700</v>
      </c>
      <c r="M15">
        <v>-6858</v>
      </c>
      <c r="N15">
        <v>588</v>
      </c>
      <c r="O15">
        <v>588</v>
      </c>
      <c r="P15">
        <v>17399</v>
      </c>
      <c r="Q15">
        <v>46697.220999999998</v>
      </c>
      <c r="R15">
        <v>0.52834715010172784</v>
      </c>
      <c r="S15">
        <v>25.942900555555557</v>
      </c>
      <c r="T15">
        <v>25.942900555555557</v>
      </c>
      <c r="U15">
        <v>0.52834999999999999</v>
      </c>
      <c r="V15">
        <v>1800</v>
      </c>
      <c r="W15" t="str">
        <v>36865-LA TORRETA PECUARIA SLU</v>
      </c>
    </row>
    <row r="16" spans="1:23" x14ac:dyDescent="0.25">
      <c r="A16" t="str">
        <v>2025-10-17</v>
      </c>
      <c r="B16" t="str">
        <v>36786-BONFILL SABATE JOAQUIN-L:089-N:2-A:A13-POLLO AMARILLO MACHO</v>
      </c>
      <c r="C16" t="str">
        <v>POLLO AMARILLO MACHO</v>
      </c>
      <c r="D16">
        <v>20863</v>
      </c>
      <c r="E16" t="str">
        <v>Broiler Amarillo</v>
      </c>
      <c r="F16">
        <v>39</v>
      </c>
      <c r="G16">
        <v>0</v>
      </c>
      <c r="H16" t="str">
        <v>Abierto</v>
      </c>
      <c r="I16">
        <v>2.4689999999999999</v>
      </c>
      <c r="J16">
        <v>2.5050599999999998</v>
      </c>
      <c r="K16">
        <v>2.4089999999999998</v>
      </c>
      <c r="L16">
        <v>21000</v>
      </c>
      <c r="M16">
        <v>0</v>
      </c>
      <c r="N16">
        <v>93</v>
      </c>
      <c r="O16">
        <v>93</v>
      </c>
      <c r="P16">
        <v>41682</v>
      </c>
      <c r="Q16">
        <v>96896.167000000001</v>
      </c>
      <c r="R16">
        <v>3.308095238095238</v>
      </c>
      <c r="S16">
        <v>120.51762064676618</v>
      </c>
      <c r="T16">
        <v>120.51762064676618</v>
      </c>
      <c r="U16">
        <v>3.3081</v>
      </c>
      <c r="V16">
        <v>804</v>
      </c>
      <c r="W16" t="str">
        <v>36786-BONFILL SABATE JOAQUIN</v>
      </c>
    </row>
    <row r="17" spans="1:23" x14ac:dyDescent="0.25">
      <c r="A17" t="str">
        <v>2025-10-17</v>
      </c>
      <c r="B17" t="str">
        <v>36786-BONFILL SABATE JOAQUIN-L:089-N:1-A:A13-POLLO AMARILLO MACHO</v>
      </c>
      <c r="C17" t="str">
        <v>POLLO AMARILLO MACHO</v>
      </c>
      <c r="D17">
        <v>6215</v>
      </c>
      <c r="E17" t="str">
        <v>Broiler Amarillo</v>
      </c>
      <c r="F17">
        <v>39</v>
      </c>
      <c r="G17">
        <v>0</v>
      </c>
      <c r="H17" t="str">
        <v>Abierto</v>
      </c>
      <c r="I17">
        <v>2.4540000000000002</v>
      </c>
      <c r="J17">
        <v>2.48102</v>
      </c>
      <c r="K17">
        <v>2.4089999999999998</v>
      </c>
      <c r="L17">
        <v>6500</v>
      </c>
      <c r="M17">
        <v>0</v>
      </c>
      <c r="N17">
        <v>219</v>
      </c>
      <c r="O17">
        <v>219</v>
      </c>
      <c r="P17">
        <v>12496</v>
      </c>
      <c r="Q17">
        <v>28881.38</v>
      </c>
      <c r="R17">
        <v>0.29541371158392438</v>
      </c>
      <c r="S17">
        <v>10.696807407407407</v>
      </c>
      <c r="T17">
        <v>10.696807407407407</v>
      </c>
      <c r="U17">
        <v>0.29541000000000001</v>
      </c>
      <c r="V17">
        <v>2700</v>
      </c>
      <c r="W17" t="str">
        <v>36786-BONFILL SABATE JOAQUIN</v>
      </c>
    </row>
    <row r="18" spans="1:23" x14ac:dyDescent="0.25">
      <c r="A18" t="str">
        <v>2025-10-17</v>
      </c>
      <c r="B18" t="str">
        <v>36843-ESPINET SOLE, JOSEP MARIA-L:081-N:3-A:A13-POLLO AMARILLO MACHO</v>
      </c>
      <c r="C18" t="str">
        <v>POLLO AMARILLO MACHO</v>
      </c>
      <c r="D18">
        <v>6863</v>
      </c>
      <c r="E18" t="str">
        <v>Broiler Amarillo</v>
      </c>
      <c r="F18">
        <v>39</v>
      </c>
      <c r="G18">
        <v>0</v>
      </c>
      <c r="H18" t="str">
        <v>Abierto</v>
      </c>
      <c r="I18">
        <v>2.4039999999999999</v>
      </c>
      <c r="J18">
        <v>2.4010199999999999</v>
      </c>
      <c r="K18">
        <v>2.4089999999999998</v>
      </c>
      <c r="L18">
        <v>7000</v>
      </c>
      <c r="M18">
        <v>0</v>
      </c>
      <c r="N18">
        <v>93</v>
      </c>
      <c r="O18">
        <v>93</v>
      </c>
      <c r="P18">
        <v>9698</v>
      </c>
      <c r="Q18">
        <v>22412.462</v>
      </c>
      <c r="R18">
        <v>0.71736075153487688</v>
      </c>
      <c r="S18">
        <v>24.629079120879123</v>
      </c>
      <c r="T18">
        <v>24.629079120879123</v>
      </c>
      <c r="U18">
        <v>0.71736</v>
      </c>
      <c r="V18">
        <v>910</v>
      </c>
      <c r="W18" t="str">
        <v>36843-ESPINET SOLE, JOSEP MARIA</v>
      </c>
    </row>
    <row r="19" spans="1:23" x14ac:dyDescent="0.25">
      <c r="A19" t="str">
        <v>2025-10-17</v>
      </c>
      <c r="B19" t="str">
        <v>36843-ESPINET SOLE, JOSEP MARIA-L:081-N:2-A:A13-POLLO AMARILLO MACHO</v>
      </c>
      <c r="C19" t="str">
        <v>POLLO AMARILLO MACHO</v>
      </c>
      <c r="D19">
        <v>7320</v>
      </c>
      <c r="E19" t="str">
        <v>Broiler Amarillo</v>
      </c>
      <c r="F19">
        <v>39</v>
      </c>
      <c r="G19">
        <v>0</v>
      </c>
      <c r="H19" t="str">
        <v>Abierto</v>
      </c>
      <c r="I19">
        <v>2.4039999999999999</v>
      </c>
      <c r="J19">
        <v>2.4010199999999999</v>
      </c>
      <c r="K19">
        <v>2.4089999999999998</v>
      </c>
      <c r="L19">
        <v>7500</v>
      </c>
      <c r="M19">
        <v>0</v>
      </c>
      <c r="N19">
        <v>125</v>
      </c>
      <c r="O19">
        <v>125</v>
      </c>
      <c r="P19">
        <v>10663</v>
      </c>
      <c r="Q19">
        <v>24570.777999999998</v>
      </c>
      <c r="R19">
        <v>0.74770352710188626</v>
      </c>
      <c r="S19">
        <v>25.594560416666667</v>
      </c>
      <c r="T19">
        <v>25.594560416666667</v>
      </c>
      <c r="U19">
        <v>0.74770000000000003</v>
      </c>
      <c r="V19">
        <v>960</v>
      </c>
      <c r="W19" t="str">
        <v>36843-ESPINET SOLE, JOSEP MARIA</v>
      </c>
    </row>
    <row r="20" spans="1:23" x14ac:dyDescent="0.25">
      <c r="A20" t="str">
        <v>2025-10-17</v>
      </c>
      <c r="B20" t="str">
        <v>36843-ESPINET SOLE, JOSEP MARIA-L:081-N:1-A:A13-POLLO AMARILLO MACHO</v>
      </c>
      <c r="C20" t="str">
        <v>POLLO AMARILLO MACHO</v>
      </c>
      <c r="D20">
        <v>6711</v>
      </c>
      <c r="E20" t="str">
        <v>Broiler Amarillo</v>
      </c>
      <c r="F20">
        <v>39</v>
      </c>
      <c r="G20">
        <v>0</v>
      </c>
      <c r="H20" t="str">
        <v>Abierto</v>
      </c>
      <c r="I20">
        <v>2.4039999999999999</v>
      </c>
      <c r="J20">
        <v>2.4010199999999999</v>
      </c>
      <c r="K20">
        <v>2.4089999999999998</v>
      </c>
      <c r="L20">
        <v>7000</v>
      </c>
      <c r="M20">
        <v>0</v>
      </c>
      <c r="N20">
        <v>234</v>
      </c>
      <c r="O20">
        <v>234</v>
      </c>
      <c r="P20">
        <v>9405</v>
      </c>
      <c r="Q20">
        <v>21752.928</v>
      </c>
      <c r="R20">
        <v>0.69563609467455623</v>
      </c>
      <c r="S20">
        <v>23.904316483516485</v>
      </c>
      <c r="T20">
        <v>23.904316483516485</v>
      </c>
      <c r="U20">
        <v>0.69564000000000004</v>
      </c>
      <c r="V20">
        <v>910</v>
      </c>
      <c r="W20" t="str">
        <v>36843-ESPINET SOLE, JOSEP MARIA</v>
      </c>
    </row>
    <row r="21" spans="1:23" x14ac:dyDescent="0.25">
      <c r="A21" t="str">
        <v>2025-10-17</v>
      </c>
      <c r="B21" t="str">
        <v>36843-ESPINET SOLE, JOSEP MARIA-L:081-N:4-A:A13-POLLO AMARILLO MACHO</v>
      </c>
      <c r="C21" t="str">
        <v>POLLO AMARILLO MACHO</v>
      </c>
      <c r="D21">
        <v>7193</v>
      </c>
      <c r="E21" t="str">
        <v>Broiler Amarillo</v>
      </c>
      <c r="F21">
        <v>39</v>
      </c>
      <c r="G21">
        <v>0</v>
      </c>
      <c r="H21" t="str">
        <v>Abierto</v>
      </c>
      <c r="I21">
        <v>2.4039999999999999</v>
      </c>
      <c r="J21">
        <v>2.4010199999999999</v>
      </c>
      <c r="K21">
        <v>2.4089999999999998</v>
      </c>
      <c r="L21">
        <v>7500</v>
      </c>
      <c r="M21">
        <v>0</v>
      </c>
      <c r="N21">
        <v>274</v>
      </c>
      <c r="O21">
        <v>274</v>
      </c>
      <c r="P21">
        <v>10325</v>
      </c>
      <c r="Q21">
        <v>23825.324000000001</v>
      </c>
      <c r="R21">
        <v>0.71951219512195119</v>
      </c>
      <c r="S21">
        <v>24.663896480331264</v>
      </c>
      <c r="T21">
        <v>24.663896480331264</v>
      </c>
      <c r="U21">
        <v>0.71950999999999998</v>
      </c>
      <c r="V21">
        <v>966</v>
      </c>
      <c r="W21" t="str">
        <v>36843-ESPINET SOLE, JOSEP MARIA</v>
      </c>
    </row>
    <row r="22" spans="1:23" x14ac:dyDescent="0.25">
      <c r="A22" t="str">
        <v>2025-10-17</v>
      </c>
      <c r="B22" t="str">
        <v>36967-BLAI PONS COLL (Culleré)-L:037-N:3-A:A13-POLLO AMARILLO MACHO</v>
      </c>
      <c r="C22" t="str">
        <v>POLLO AMARILLO MACHO</v>
      </c>
      <c r="D22">
        <v>15063</v>
      </c>
      <c r="E22" t="str">
        <v>Broiler Amarillo</v>
      </c>
      <c r="F22">
        <v>35</v>
      </c>
      <c r="G22">
        <v>0</v>
      </c>
      <c r="H22" t="str">
        <v>Abierto</v>
      </c>
      <c r="I22">
        <v>2.3919999999999999</v>
      </c>
      <c r="J22">
        <v>2.49044</v>
      </c>
      <c r="K22">
        <v>2.0449999999999999</v>
      </c>
      <c r="L22">
        <v>15400</v>
      </c>
      <c r="M22">
        <v>0</v>
      </c>
      <c r="N22">
        <v>319</v>
      </c>
      <c r="O22">
        <v>319</v>
      </c>
      <c r="P22">
        <v>30149</v>
      </c>
      <c r="Q22">
        <v>63140.237999999998</v>
      </c>
      <c r="R22">
        <v>0.94215625000000003</v>
      </c>
      <c r="S22">
        <v>35.077910000000003</v>
      </c>
      <c r="T22">
        <v>35.077910000000003</v>
      </c>
      <c r="U22">
        <v>0.94216</v>
      </c>
      <c r="V22">
        <v>1800</v>
      </c>
      <c r="W22" t="str">
        <v>36967-BLAI PONS COLL (Culleré)</v>
      </c>
    </row>
    <row r="23" spans="1:23" x14ac:dyDescent="0.25">
      <c r="A23" t="str">
        <v>2025-10-17</v>
      </c>
      <c r="B23" t="str">
        <v>36015-GJA BAIGET - MATEU JOVE, LLUIS-1-L:030-N:1-A:A14-POLLO AMARILLO HEMBRAS</v>
      </c>
      <c r="C23" t="str">
        <v>POLLO AMARILLO HEMBRAS</v>
      </c>
      <c r="D23">
        <v>5532</v>
      </c>
      <c r="E23" t="str">
        <v>Broiler Amarillo</v>
      </c>
      <c r="F23">
        <v>38</v>
      </c>
      <c r="G23">
        <v>0</v>
      </c>
      <c r="H23" t="str">
        <v>Abierto</v>
      </c>
      <c r="I23">
        <v>2.3860000000000001</v>
      </c>
      <c r="J23">
        <v>2.4683700000000002</v>
      </c>
      <c r="K23">
        <v>2.0150000000000001</v>
      </c>
      <c r="L23">
        <v>11700</v>
      </c>
      <c r="M23">
        <v>-5867</v>
      </c>
      <c r="N23">
        <v>300</v>
      </c>
      <c r="O23">
        <v>365</v>
      </c>
      <c r="P23">
        <v>14811</v>
      </c>
      <c r="Q23">
        <v>39236.226000000002</v>
      </c>
      <c r="R23">
        <v>0.59243999999999997</v>
      </c>
      <c r="S23">
        <v>28.025875714285714</v>
      </c>
      <c r="T23">
        <v>28.025875714285714</v>
      </c>
      <c r="U23">
        <v>0.59243999999999997</v>
      </c>
      <c r="V23">
        <v>1400</v>
      </c>
      <c r="W23" t="str">
        <v>36015-GJA BAIGET - MATEU JOVE, LLUIS-1</v>
      </c>
    </row>
    <row r="24" spans="1:23" x14ac:dyDescent="0.25">
      <c r="A24" t="str">
        <v>2025-10-17</v>
      </c>
      <c r="B24" t="str">
        <v>36865-LA TORRETA PECUARIA SLU-L:074-N:4-A:A14-POLLO AMARILLO HEMBRAS</v>
      </c>
      <c r="C24" t="str">
        <v>POLLO AMARILLO HEMBRAS</v>
      </c>
      <c r="D24">
        <v>15969</v>
      </c>
      <c r="E24" t="str">
        <v>Broiler Amarillo</v>
      </c>
      <c r="F24">
        <v>43</v>
      </c>
      <c r="G24">
        <v>0</v>
      </c>
      <c r="H24" t="str">
        <v>Abierto</v>
      </c>
      <c r="I24">
        <v>2.3650000000000002</v>
      </c>
      <c r="J24">
        <v>2.3650000000000002</v>
      </c>
      <c r="K24">
        <v>2.3650000000000002</v>
      </c>
      <c r="L24">
        <v>16300</v>
      </c>
      <c r="M24">
        <v>0</v>
      </c>
      <c r="N24">
        <v>331</v>
      </c>
      <c r="O24">
        <v>331</v>
      </c>
      <c r="P24">
        <v>15969</v>
      </c>
      <c r="Q24">
        <v>37766.684999999998</v>
      </c>
      <c r="R24">
        <v>0.48492302086180195</v>
      </c>
      <c r="S24">
        <v>20.981491666666667</v>
      </c>
      <c r="T24">
        <v>20.981491666666667</v>
      </c>
      <c r="U24">
        <v>0.48492000000000002</v>
      </c>
      <c r="V24">
        <v>1800</v>
      </c>
      <c r="W24" t="str">
        <v>36865-LA TORRETA PECUARIA SLU</v>
      </c>
    </row>
    <row r="25" spans="1:23" x14ac:dyDescent="0.25">
      <c r="A25" t="str">
        <v>2025-10-17</v>
      </c>
      <c r="B25" t="str">
        <v>36990-SOLER SURIOL SCP-2-L:034-N:2-A:A13-POLLO AMARILLO MACHO</v>
      </c>
      <c r="C25" t="str">
        <v>POLLO AMARILLO MACHO</v>
      </c>
      <c r="D25">
        <v>12900</v>
      </c>
      <c r="E25" t="str">
        <v>Broiler Amarillo</v>
      </c>
      <c r="F25">
        <v>35</v>
      </c>
      <c r="G25">
        <v>0</v>
      </c>
      <c r="H25" t="str">
        <v>Abierto</v>
      </c>
      <c r="I25">
        <v>2.222</v>
      </c>
      <c r="J25">
        <v>2.2722199999999999</v>
      </c>
      <c r="K25">
        <v>2.0449999999999999</v>
      </c>
      <c r="L25">
        <v>13400</v>
      </c>
      <c r="M25">
        <v>0</v>
      </c>
      <c r="N25">
        <v>458</v>
      </c>
      <c r="O25">
        <v>458</v>
      </c>
      <c r="P25">
        <v>25721</v>
      </c>
      <c r="Q25">
        <v>53126.267999999996</v>
      </c>
      <c r="R25">
        <v>0.88540447504302922</v>
      </c>
      <c r="S25">
        <v>36.140318367346936</v>
      </c>
      <c r="T25">
        <v>36.140318367346936</v>
      </c>
      <c r="U25">
        <v>0.88539999999999996</v>
      </c>
      <c r="V25">
        <v>1470</v>
      </c>
      <c r="W25" t="str">
        <v>36990-SOLER SURIOL SCP-2</v>
      </c>
    </row>
    <row r="26" spans="1:23" x14ac:dyDescent="0.25">
      <c r="A26" t="str">
        <v>2025-10-17</v>
      </c>
      <c r="B26" t="str">
        <v>36990-SOLER SURIOL SCP-2-L:034-N:1-A:A13-POLLO AMARILLO MACHO</v>
      </c>
      <c r="C26" t="str">
        <v>POLLO AMARILLO MACHO</v>
      </c>
      <c r="D26">
        <v>6459</v>
      </c>
      <c r="E26" t="str">
        <v>Broiler Amarillo</v>
      </c>
      <c r="F26">
        <v>35</v>
      </c>
      <c r="G26">
        <v>0</v>
      </c>
      <c r="H26" t="str">
        <v>Abierto</v>
      </c>
      <c r="I26">
        <v>2.222</v>
      </c>
      <c r="J26">
        <v>2.2722199999999999</v>
      </c>
      <c r="K26">
        <v>2.0449999999999999</v>
      </c>
      <c r="L26">
        <v>6700</v>
      </c>
      <c r="M26">
        <v>0</v>
      </c>
      <c r="N26">
        <v>217</v>
      </c>
      <c r="O26">
        <v>217</v>
      </c>
      <c r="P26">
        <v>12930</v>
      </c>
      <c r="Q26">
        <v>26633.856</v>
      </c>
      <c r="R26">
        <v>0.93424855491329484</v>
      </c>
      <c r="S26">
        <v>38.048365714285715</v>
      </c>
      <c r="T26">
        <v>38.048365714285715</v>
      </c>
      <c r="U26">
        <v>0.93425000000000002</v>
      </c>
      <c r="V26">
        <v>700</v>
      </c>
      <c r="W26" t="str">
        <v>36990-SOLER SURIOL SCP-2</v>
      </c>
    </row>
    <row r="27" spans="1:23" x14ac:dyDescent="0.25">
      <c r="A27" t="str">
        <v>2025-10-17</v>
      </c>
      <c r="B27" t="str">
        <v>36967-BLAI PONS COLL (Culleré)-L:037-N:2-A:A15-POLLO AMARILLO MIXTO</v>
      </c>
      <c r="C27" t="str">
        <v>POLLO AMARILLO MIXTO</v>
      </c>
      <c r="D27">
        <v>21233</v>
      </c>
      <c r="E27" t="str">
        <v>Broiler Amarillo</v>
      </c>
      <c r="F27">
        <v>35</v>
      </c>
      <c r="G27">
        <v>0</v>
      </c>
      <c r="H27" t="str">
        <v>Abierto</v>
      </c>
      <c r="I27">
        <v>2.21</v>
      </c>
      <c r="J27">
        <v>2.2884500000000001</v>
      </c>
      <c r="K27">
        <v>1.921</v>
      </c>
      <c r="L27">
        <v>22000</v>
      </c>
      <c r="M27">
        <v>0</v>
      </c>
      <c r="N27">
        <v>749</v>
      </c>
      <c r="O27">
        <v>749</v>
      </c>
      <c r="P27">
        <v>21233</v>
      </c>
      <c r="Q27">
        <v>46924.93</v>
      </c>
      <c r="R27">
        <v>1.06165</v>
      </c>
      <c r="S27">
        <v>39.104108333333336</v>
      </c>
      <c r="T27">
        <v>39.104108333333336</v>
      </c>
      <c r="U27">
        <v>1.06165</v>
      </c>
      <c r="V27">
        <v>1200</v>
      </c>
      <c r="W27" t="str">
        <v>36967-BLAI PONS COLL (Culleré)</v>
      </c>
    </row>
    <row r="28" spans="1:23" x14ac:dyDescent="0.25">
      <c r="A28" t="str">
        <v>2025-10-17</v>
      </c>
      <c r="B28" t="str">
        <v>36967-BLAI PONS COLL (Culleré)-L:037-N:1-A:A15-POLLO AMARILLO MIXTO</v>
      </c>
      <c r="C28" t="str">
        <v>POLLO AMARILLO MIXTO</v>
      </c>
      <c r="D28">
        <v>21957</v>
      </c>
      <c r="E28" t="str">
        <v>Broiler Amarillo</v>
      </c>
      <c r="F28">
        <v>35</v>
      </c>
      <c r="G28">
        <v>0</v>
      </c>
      <c r="H28" t="str">
        <v>Abierto</v>
      </c>
      <c r="I28">
        <v>2.21</v>
      </c>
      <c r="J28">
        <v>2.2884500000000001</v>
      </c>
      <c r="K28">
        <v>1.921</v>
      </c>
      <c r="L28">
        <v>22000</v>
      </c>
      <c r="M28">
        <v>0</v>
      </c>
      <c r="N28">
        <v>25</v>
      </c>
      <c r="O28">
        <v>25</v>
      </c>
      <c r="P28">
        <v>21957</v>
      </c>
      <c r="Q28">
        <v>48524.97</v>
      </c>
      <c r="R28">
        <v>1.09785</v>
      </c>
      <c r="S28">
        <v>40.437474999999999</v>
      </c>
      <c r="T28">
        <v>40.437474999999999</v>
      </c>
      <c r="U28">
        <v>1.09785</v>
      </c>
      <c r="V28">
        <v>1200</v>
      </c>
      <c r="W28" t="str">
        <v>36967-BLAI PONS COLL (Culleré)</v>
      </c>
    </row>
    <row r="29" spans="1:23" x14ac:dyDescent="0.25">
      <c r="A29" t="str">
        <v>2025-10-17</v>
      </c>
      <c r="B29" t="str">
        <v>36990-SOLER SURIOL SCP-2-L:034-N:3-A:A13-POLLO AMARILLO MACHO</v>
      </c>
      <c r="C29" t="str">
        <v>POLLO AMARILLO MACHO</v>
      </c>
      <c r="D29">
        <v>12914</v>
      </c>
      <c r="E29" t="str">
        <v>Broiler Amarillo</v>
      </c>
      <c r="F29">
        <v>35</v>
      </c>
      <c r="G29">
        <v>0</v>
      </c>
      <c r="H29" t="str">
        <v>Abierto</v>
      </c>
      <c r="I29">
        <v>2.202</v>
      </c>
      <c r="J29">
        <v>2.2465600000000001</v>
      </c>
      <c r="K29">
        <v>2.0449999999999999</v>
      </c>
      <c r="L29">
        <v>13300</v>
      </c>
      <c r="M29">
        <v>0</v>
      </c>
      <c r="N29">
        <v>350</v>
      </c>
      <c r="O29">
        <v>350</v>
      </c>
      <c r="P29">
        <v>25931</v>
      </c>
      <c r="Q29">
        <v>53793.743999999999</v>
      </c>
      <c r="R29">
        <v>0.89263339070567982</v>
      </c>
      <c r="S29">
        <v>36.594383673469387</v>
      </c>
      <c r="T29">
        <v>36.594383673469387</v>
      </c>
      <c r="U29">
        <v>0.89263000000000003</v>
      </c>
      <c r="V29">
        <v>1470</v>
      </c>
      <c r="W29" t="str">
        <v>36990-SOLER SURIOL SCP-2</v>
      </c>
    </row>
    <row r="30" spans="1:23" x14ac:dyDescent="0.25">
      <c r="A30" t="str">
        <v>2025-10-17</v>
      </c>
      <c r="B30" t="str">
        <v>36786-BONFILL SABATE JOAQUIN-L:089-N:2-A:A14-POLLO AMARILLO HEMBRAS</v>
      </c>
      <c r="C30" t="str">
        <v>POLLO AMARILLO HEMBRAS</v>
      </c>
      <c r="D30">
        <v>20819</v>
      </c>
      <c r="E30" t="str">
        <v>Broiler Amarillo</v>
      </c>
      <c r="F30">
        <v>39</v>
      </c>
      <c r="G30">
        <v>0</v>
      </c>
      <c r="H30" t="str">
        <v>Abierto</v>
      </c>
      <c r="I30">
        <v>2.1800000000000002</v>
      </c>
      <c r="J30">
        <v>2.2305999999999999</v>
      </c>
      <c r="K30">
        <v>2.0859999999999999</v>
      </c>
      <c r="L30">
        <v>21000</v>
      </c>
      <c r="M30">
        <v>0</v>
      </c>
      <c r="N30">
        <v>181</v>
      </c>
      <c r="O30">
        <v>181</v>
      </c>
      <c r="P30">
        <v>41682</v>
      </c>
      <c r="Q30">
        <v>96896.167000000001</v>
      </c>
      <c r="R30">
        <v>3.308095238095238</v>
      </c>
      <c r="S30">
        <v>120.51762064676618</v>
      </c>
      <c r="T30">
        <v>120.51762064676618</v>
      </c>
      <c r="U30">
        <v>3.3081</v>
      </c>
      <c r="V30">
        <v>804</v>
      </c>
      <c r="W30" t="str">
        <v>36786-BONFILL SABATE JOAQUIN</v>
      </c>
    </row>
    <row r="31" spans="1:23" x14ac:dyDescent="0.25">
      <c r="A31" t="str">
        <v>2025-10-17</v>
      </c>
      <c r="B31" t="str">
        <v>36786-BONFILL SABATE JOAQUIN-L:089-N:1-A:A14-POLLO AMARILLO HEMBRAS</v>
      </c>
      <c r="C31" t="str">
        <v>POLLO AMARILLO HEMBRAS</v>
      </c>
      <c r="D31">
        <v>6281</v>
      </c>
      <c r="E31" t="str">
        <v>Broiler Amarillo</v>
      </c>
      <c r="F31">
        <v>39</v>
      </c>
      <c r="G31">
        <v>0</v>
      </c>
      <c r="H31" t="str">
        <v>Abierto</v>
      </c>
      <c r="I31">
        <v>2.17</v>
      </c>
      <c r="J31">
        <v>2.2151900000000002</v>
      </c>
      <c r="K31">
        <v>2.0859999999999999</v>
      </c>
      <c r="L31">
        <v>6500</v>
      </c>
      <c r="M31">
        <v>0</v>
      </c>
      <c r="N31">
        <v>219</v>
      </c>
      <c r="O31">
        <v>219</v>
      </c>
      <c r="P31">
        <v>12496</v>
      </c>
      <c r="Q31">
        <v>28881.38</v>
      </c>
      <c r="R31">
        <v>0.29541371158392438</v>
      </c>
      <c r="S31">
        <v>10.696807407407407</v>
      </c>
      <c r="T31">
        <v>10.696807407407407</v>
      </c>
      <c r="U31">
        <v>0.29541000000000001</v>
      </c>
      <c r="V31">
        <v>2700</v>
      </c>
      <c r="W31" t="str">
        <v>36786-BONFILL SABATE JOAQUIN</v>
      </c>
    </row>
    <row r="32" spans="1:23" x14ac:dyDescent="0.25">
      <c r="A32" t="str">
        <v>2025-10-17</v>
      </c>
      <c r="B32" t="str">
        <v>36843-ESPINET SOLE, JOSEP MARIA-L:081-N:1-A:A14-POLLO AMARILLO HEMBRAS</v>
      </c>
      <c r="C32" t="str">
        <v>POLLO AMARILLO HEMBRAS</v>
      </c>
      <c r="D32">
        <v>2694</v>
      </c>
      <c r="E32" t="str">
        <v>Broiler Amarillo</v>
      </c>
      <c r="F32">
        <v>39</v>
      </c>
      <c r="G32">
        <v>0</v>
      </c>
      <c r="H32" t="str">
        <v>Abierto</v>
      </c>
      <c r="I32">
        <v>2.0859999999999999</v>
      </c>
      <c r="J32">
        <v>2.0859999999999999</v>
      </c>
      <c r="K32">
        <v>2.0859999999999999</v>
      </c>
      <c r="L32">
        <v>7000</v>
      </c>
      <c r="M32">
        <v>-4050</v>
      </c>
      <c r="N32">
        <v>234</v>
      </c>
      <c r="O32">
        <v>234</v>
      </c>
      <c r="P32">
        <v>9405</v>
      </c>
      <c r="Q32">
        <v>21752.928</v>
      </c>
      <c r="R32">
        <v>0.69563609467455623</v>
      </c>
      <c r="S32">
        <v>23.904316483516485</v>
      </c>
      <c r="T32">
        <v>23.904316483516485</v>
      </c>
      <c r="U32">
        <v>0.69564000000000004</v>
      </c>
      <c r="V32">
        <v>910</v>
      </c>
      <c r="W32" t="str">
        <v>36843-ESPINET SOLE, JOSEP MARIA</v>
      </c>
    </row>
    <row r="33" spans="1:23" x14ac:dyDescent="0.25">
      <c r="A33" t="str">
        <v>2025-10-17</v>
      </c>
      <c r="B33" t="str">
        <v>36843-ESPINET SOLE, JOSEP MARIA-L:081-N:3-A:A14-POLLO AMARILLO HEMBRAS</v>
      </c>
      <c r="C33" t="str">
        <v>POLLO AMARILLO HEMBRAS</v>
      </c>
      <c r="D33">
        <v>2835</v>
      </c>
      <c r="E33" t="str">
        <v>Broiler Amarillo</v>
      </c>
      <c r="F33">
        <v>39</v>
      </c>
      <c r="G33">
        <v>0</v>
      </c>
      <c r="H33" t="str">
        <v>Abierto</v>
      </c>
      <c r="I33">
        <v>2.0859999999999999</v>
      </c>
      <c r="J33">
        <v>2.0859999999999999</v>
      </c>
      <c r="K33">
        <v>2.0859999999999999</v>
      </c>
      <c r="L33">
        <v>7000</v>
      </c>
      <c r="M33">
        <v>-4050</v>
      </c>
      <c r="N33">
        <v>93</v>
      </c>
      <c r="O33">
        <v>93</v>
      </c>
      <c r="P33">
        <v>9698</v>
      </c>
      <c r="Q33">
        <v>22412.462</v>
      </c>
      <c r="R33">
        <v>0.71736075153487688</v>
      </c>
      <c r="S33">
        <v>24.629079120879123</v>
      </c>
      <c r="T33">
        <v>24.629079120879123</v>
      </c>
      <c r="U33">
        <v>0.71736</v>
      </c>
      <c r="V33">
        <v>910</v>
      </c>
      <c r="W33" t="str">
        <v>36843-ESPINET SOLE, JOSEP MARIA</v>
      </c>
    </row>
    <row r="34" spans="1:23" x14ac:dyDescent="0.25">
      <c r="A34" t="str">
        <v>2025-10-17</v>
      </c>
      <c r="B34" t="str">
        <v>36843-ESPINET SOLE, JOSEP MARIA-L:081-N:2-A:A14-POLLO AMARILLO HEMBRAS</v>
      </c>
      <c r="C34" t="str">
        <v>POLLO AMARILLO HEMBRAS</v>
      </c>
      <c r="D34">
        <v>3343</v>
      </c>
      <c r="E34" t="str">
        <v>Broiler Amarillo</v>
      </c>
      <c r="F34">
        <v>39</v>
      </c>
      <c r="G34">
        <v>0</v>
      </c>
      <c r="H34" t="str">
        <v>Abierto</v>
      </c>
      <c r="I34">
        <v>2.0859999999999999</v>
      </c>
      <c r="J34">
        <v>2.0859999999999999</v>
      </c>
      <c r="K34">
        <v>2.0859999999999999</v>
      </c>
      <c r="L34">
        <v>7500</v>
      </c>
      <c r="M34">
        <v>-4050</v>
      </c>
      <c r="N34">
        <v>74</v>
      </c>
      <c r="O34">
        <v>74</v>
      </c>
      <c r="P34">
        <v>10663</v>
      </c>
      <c r="Q34">
        <v>24570.777999999998</v>
      </c>
      <c r="R34">
        <v>0.74770352710188626</v>
      </c>
      <c r="S34">
        <v>25.594560416666667</v>
      </c>
      <c r="T34">
        <v>25.594560416666667</v>
      </c>
      <c r="U34">
        <v>0.74770000000000003</v>
      </c>
      <c r="V34">
        <v>960</v>
      </c>
      <c r="W34" t="str">
        <v>36843-ESPINET SOLE, JOSEP MARIA</v>
      </c>
    </row>
    <row r="35" spans="1:23" x14ac:dyDescent="0.25">
      <c r="A35" t="str">
        <v>2025-10-17</v>
      </c>
      <c r="B35" t="str">
        <v>36843-ESPINET SOLE, JOSEP MARIA-L:081-N:4-A:A14-POLLO AMARILLO HEMBRAS</v>
      </c>
      <c r="C35" t="str">
        <v>POLLO AMARILLO HEMBRAS</v>
      </c>
      <c r="D35">
        <v>3132</v>
      </c>
      <c r="E35" t="str">
        <v>Broiler Amarillo</v>
      </c>
      <c r="F35">
        <v>39</v>
      </c>
      <c r="G35">
        <v>0</v>
      </c>
      <c r="H35" t="str">
        <v>Abierto</v>
      </c>
      <c r="I35">
        <v>2.0859999999999999</v>
      </c>
      <c r="J35">
        <v>2.0859999999999999</v>
      </c>
      <c r="K35">
        <v>2.0859999999999999</v>
      </c>
      <c r="L35">
        <v>7500</v>
      </c>
      <c r="M35">
        <v>-4050</v>
      </c>
      <c r="N35">
        <v>274</v>
      </c>
      <c r="O35">
        <v>274</v>
      </c>
      <c r="P35">
        <v>10325</v>
      </c>
      <c r="Q35">
        <v>23825.324000000001</v>
      </c>
      <c r="R35">
        <v>0.71951219512195119</v>
      </c>
      <c r="S35">
        <v>24.663896480331264</v>
      </c>
      <c r="T35">
        <v>24.663896480331264</v>
      </c>
      <c r="U35">
        <v>0.71950999999999998</v>
      </c>
      <c r="V35">
        <v>966</v>
      </c>
      <c r="W35" t="str">
        <v>36843-ESPINET SOLE, JOSEP MARIA</v>
      </c>
    </row>
    <row r="36" spans="1:23" x14ac:dyDescent="0.25">
      <c r="A36" t="str">
        <v>2025-10-17</v>
      </c>
      <c r="B36" t="str">
        <v>36029-CAMÍ DE FLIX - MATEU JOVE LLUIS-2-L:029-N:1-A:A14-POLLO AMARILLO HEMBRAS</v>
      </c>
      <c r="C36" t="str">
        <v>POLLO AMARILLO HEMBRAS</v>
      </c>
      <c r="D36">
        <v>1384</v>
      </c>
      <c r="E36" t="str">
        <v>Broiler Amarillo</v>
      </c>
      <c r="F36">
        <v>38</v>
      </c>
      <c r="G36">
        <v>0</v>
      </c>
      <c r="H36" t="str">
        <v>Abierto</v>
      </c>
      <c r="I36">
        <v>2.0150000000000001</v>
      </c>
      <c r="J36">
        <v>2.0150000000000001</v>
      </c>
      <c r="K36">
        <v>2.0150000000000001</v>
      </c>
      <c r="L36">
        <v>8800</v>
      </c>
      <c r="M36">
        <v>-7200</v>
      </c>
      <c r="N36">
        <v>198</v>
      </c>
      <c r="O36">
        <v>198</v>
      </c>
      <c r="P36">
        <v>10159</v>
      </c>
      <c r="Q36">
        <v>26095.16</v>
      </c>
      <c r="R36">
        <v>0.56438888888888894</v>
      </c>
      <c r="S36">
        <v>24.852533333333334</v>
      </c>
      <c r="T36">
        <v>24.852533333333334</v>
      </c>
      <c r="U36">
        <v>0.56438999999999995</v>
      </c>
      <c r="V36">
        <v>1050</v>
      </c>
      <c r="W36" t="str">
        <v>36029-CAMÍ DE FLIX - MATEU JOVE LLUIS-2</v>
      </c>
    </row>
    <row r="37" spans="1:23" x14ac:dyDescent="0.25">
      <c r="A37" t="str">
        <v>2025-10-17</v>
      </c>
      <c r="B37" t="str">
        <v>36990-SOLER SURIOL SCP-2-L:034-N:3-A:A14-POLLO AMARILLO HEMBRAS</v>
      </c>
      <c r="C37" t="str">
        <v>POLLO AMARILLO HEMBRAS</v>
      </c>
      <c r="D37">
        <v>13017</v>
      </c>
      <c r="E37" t="str">
        <v>Broiler Amarillo</v>
      </c>
      <c r="F37">
        <v>35</v>
      </c>
      <c r="G37">
        <v>0</v>
      </c>
      <c r="H37" t="str">
        <v>Abierto</v>
      </c>
      <c r="I37">
        <v>1.948</v>
      </c>
      <c r="J37">
        <v>1.98691</v>
      </c>
      <c r="K37">
        <v>1.7969999999999999</v>
      </c>
      <c r="L37">
        <v>13400</v>
      </c>
      <c r="M37">
        <v>0</v>
      </c>
      <c r="N37">
        <v>365</v>
      </c>
      <c r="O37">
        <v>365</v>
      </c>
      <c r="P37">
        <v>25931</v>
      </c>
      <c r="Q37">
        <v>53793.743999999999</v>
      </c>
      <c r="R37">
        <v>0.89263339070567982</v>
      </c>
      <c r="S37">
        <v>36.594383673469387</v>
      </c>
      <c r="T37">
        <v>36.594383673469387</v>
      </c>
      <c r="U37">
        <v>0.89263000000000003</v>
      </c>
      <c r="V37">
        <v>1470</v>
      </c>
      <c r="W37" t="str">
        <v>36990-SOLER SURIOL SCP-2</v>
      </c>
    </row>
    <row r="38" spans="1:23" x14ac:dyDescent="0.25">
      <c r="A38" t="str">
        <v>2025-10-17</v>
      </c>
      <c r="B38" t="str">
        <v>36990-SOLER SURIOL SCP-2-L:034-N:2-A:A14-POLLO AMARILLO HEMBRAS</v>
      </c>
      <c r="C38" t="str">
        <v>POLLO AMARILLO HEMBRAS</v>
      </c>
      <c r="D38">
        <v>12821</v>
      </c>
      <c r="E38" t="str">
        <v>Broiler Amarillo</v>
      </c>
      <c r="F38">
        <v>35</v>
      </c>
      <c r="G38">
        <v>0</v>
      </c>
      <c r="H38" t="str">
        <v>Abierto</v>
      </c>
      <c r="I38">
        <v>1.9079999999999999</v>
      </c>
      <c r="J38">
        <v>1.93659</v>
      </c>
      <c r="K38">
        <v>1.7969999999999999</v>
      </c>
      <c r="L38">
        <v>13300</v>
      </c>
      <c r="M38">
        <v>0</v>
      </c>
      <c r="N38">
        <v>455</v>
      </c>
      <c r="O38">
        <v>455</v>
      </c>
      <c r="P38">
        <v>25721</v>
      </c>
      <c r="Q38">
        <v>53126.267999999996</v>
      </c>
      <c r="R38">
        <v>0.88540447504302922</v>
      </c>
      <c r="S38">
        <v>36.140318367346936</v>
      </c>
      <c r="T38">
        <v>36.140318367346936</v>
      </c>
      <c r="U38">
        <v>0.88539999999999996</v>
      </c>
      <c r="V38">
        <v>1470</v>
      </c>
      <c r="W38" t="str">
        <v>36990-SOLER SURIOL SCP-2</v>
      </c>
    </row>
    <row r="39" spans="1:23" x14ac:dyDescent="0.25">
      <c r="A39" t="str">
        <v>2025-10-17</v>
      </c>
      <c r="B39" t="str">
        <v>36736-RIBELLES SEGURA SCP-L:117-N:2-A:A13-POLLO AMARILLO MACHO</v>
      </c>
      <c r="C39" t="str">
        <v>POLLO AMARILLO MACHO</v>
      </c>
      <c r="D39">
        <v>10127</v>
      </c>
      <c r="E39" t="str">
        <v>Broiler Amarillo</v>
      </c>
      <c r="F39">
        <v>31</v>
      </c>
      <c r="G39">
        <v>0</v>
      </c>
      <c r="H39" t="str">
        <v>Abierto</v>
      </c>
      <c r="I39">
        <v>1.899</v>
      </c>
      <c r="J39">
        <v>2.07321</v>
      </c>
      <c r="K39">
        <v>1.6819999999999999</v>
      </c>
      <c r="L39">
        <v>10500</v>
      </c>
      <c r="M39">
        <v>0</v>
      </c>
      <c r="N39">
        <v>343</v>
      </c>
      <c r="O39">
        <v>343</v>
      </c>
      <c r="P39">
        <v>20155</v>
      </c>
      <c r="Q39">
        <v>35606.896999999997</v>
      </c>
      <c r="R39">
        <v>0.89577777777777778</v>
      </c>
      <c r="S39">
        <v>28.14774466403162</v>
      </c>
      <c r="T39">
        <v>28.14774466403162</v>
      </c>
      <c r="U39">
        <v>0.89578000000000002</v>
      </c>
      <c r="V39">
        <v>1265</v>
      </c>
      <c r="W39" t="str">
        <v>36736-RIBELLES SEGURA SCP</v>
      </c>
    </row>
    <row r="40" spans="1:23" x14ac:dyDescent="0.25">
      <c r="A40" t="str">
        <v>2025-10-17</v>
      </c>
      <c r="B40" t="str">
        <v>36990-SOLER SURIOL SCP-2-L:034-N:1-A:A14-POLLO AMARILLO HEMBRAS</v>
      </c>
      <c r="C40" t="str">
        <v>POLLO AMARILLO HEMBRAS</v>
      </c>
      <c r="D40">
        <v>6471</v>
      </c>
      <c r="E40" t="str">
        <v>Broiler Amarillo</v>
      </c>
      <c r="F40">
        <v>35</v>
      </c>
      <c r="G40">
        <v>0</v>
      </c>
      <c r="H40" t="str">
        <v>Abierto</v>
      </c>
      <c r="I40">
        <v>1.8979999999999999</v>
      </c>
      <c r="J40">
        <v>1.92401</v>
      </c>
      <c r="K40">
        <v>1.7969999999999999</v>
      </c>
      <c r="L40">
        <v>6700</v>
      </c>
      <c r="M40">
        <v>0</v>
      </c>
      <c r="N40">
        <v>217</v>
      </c>
      <c r="O40">
        <v>217</v>
      </c>
      <c r="P40">
        <v>12930</v>
      </c>
      <c r="Q40">
        <v>26633.856</v>
      </c>
      <c r="R40">
        <v>0.93424855491329484</v>
      </c>
      <c r="S40">
        <v>38.048365714285715</v>
      </c>
      <c r="T40">
        <v>38.048365714285715</v>
      </c>
      <c r="U40">
        <v>0.93425000000000002</v>
      </c>
      <c r="V40">
        <v>700</v>
      </c>
      <c r="W40" t="str">
        <v>36990-SOLER SURIOL SCP-2</v>
      </c>
    </row>
    <row r="41" spans="1:23" x14ac:dyDescent="0.25">
      <c r="A41" t="str">
        <v>2025-10-17</v>
      </c>
      <c r="B41" t="str">
        <v>36736-RIBELLES SEGURA SCP-L:117-N:1-A:A13-POLLO AMARILLO MACHO</v>
      </c>
      <c r="C41" t="str">
        <v>POLLO AMARILLO MACHO</v>
      </c>
      <c r="D41">
        <v>7998</v>
      </c>
      <c r="E41" t="str">
        <v>Broiler Amarillo</v>
      </c>
      <c r="F41">
        <v>31</v>
      </c>
      <c r="G41">
        <v>0</v>
      </c>
      <c r="H41" t="str">
        <v>Abierto</v>
      </c>
      <c r="I41">
        <v>1.849</v>
      </c>
      <c r="J41">
        <v>1.98306</v>
      </c>
      <c r="K41">
        <v>1.6819999999999999</v>
      </c>
      <c r="L41">
        <v>8300</v>
      </c>
      <c r="M41">
        <v>0</v>
      </c>
      <c r="N41">
        <v>272</v>
      </c>
      <c r="O41">
        <v>272</v>
      </c>
      <c r="P41">
        <v>20169</v>
      </c>
      <c r="Q41">
        <v>34663.544999999998</v>
      </c>
      <c r="R41">
        <v>0.89639999999999997</v>
      </c>
      <c r="S41">
        <v>27.40201185770751</v>
      </c>
      <c r="T41">
        <v>27.40201185770751</v>
      </c>
      <c r="U41">
        <v>0.89639999999999997</v>
      </c>
      <c r="V41">
        <v>1265</v>
      </c>
      <c r="W41" t="str">
        <v>36736-RIBELLES SEGURA SCP</v>
      </c>
    </row>
    <row r="42" spans="1:23" x14ac:dyDescent="0.25">
      <c r="A42" t="str">
        <v>2025-10-17</v>
      </c>
      <c r="B42" t="str">
        <v>36991-PESSARRODONA AVIRAM SL-L:034-N:1-A:A13-POLLO AMARILLO MACHO</v>
      </c>
      <c r="C42" t="str">
        <v>POLLO AMARILLO MACHO</v>
      </c>
      <c r="D42">
        <v>11273</v>
      </c>
      <c r="E42" t="str">
        <v>Broiler Amarillo</v>
      </c>
      <c r="F42">
        <v>31</v>
      </c>
      <c r="G42">
        <v>0</v>
      </c>
      <c r="H42" t="str">
        <v>Abierto</v>
      </c>
      <c r="I42">
        <v>1.8340000000000001</v>
      </c>
      <c r="J42">
        <v>1.98001</v>
      </c>
      <c r="K42">
        <v>1.6819999999999999</v>
      </c>
      <c r="L42">
        <v>11700</v>
      </c>
      <c r="M42">
        <v>0</v>
      </c>
      <c r="N42">
        <v>372</v>
      </c>
      <c r="O42">
        <v>372</v>
      </c>
      <c r="P42">
        <v>22671</v>
      </c>
      <c r="Q42">
        <v>38877.288</v>
      </c>
      <c r="R42">
        <v>1.0246779661016949</v>
      </c>
      <c r="S42">
        <v>27.769491428571428</v>
      </c>
      <c r="T42">
        <v>27.769491428571428</v>
      </c>
      <c r="U42">
        <v>1.02468</v>
      </c>
      <c r="V42">
        <v>1400</v>
      </c>
      <c r="W42" t="str">
        <v>36991-PESSARRODONA AVIRAM SL</v>
      </c>
    </row>
    <row r="43" spans="1:23" x14ac:dyDescent="0.25">
      <c r="A43" t="str">
        <v>2025-10-17</v>
      </c>
      <c r="B43" t="str">
        <v>36991-PESSARRODONA AVIRAM SL-L:034-N:2-A:A13-POLLO AMARILLO MACHO</v>
      </c>
      <c r="C43" t="str">
        <v>POLLO AMARILLO MACHO</v>
      </c>
      <c r="D43">
        <v>21780</v>
      </c>
      <c r="E43" t="str">
        <v>Broiler Amarillo</v>
      </c>
      <c r="F43">
        <v>31</v>
      </c>
      <c r="G43">
        <v>0</v>
      </c>
      <c r="H43" t="str">
        <v>Abierto</v>
      </c>
      <c r="I43">
        <v>1.8240000000000001</v>
      </c>
      <c r="J43">
        <v>1.9603600000000001</v>
      </c>
      <c r="K43">
        <v>1.6819999999999999</v>
      </c>
      <c r="L43">
        <v>22600</v>
      </c>
      <c r="M43">
        <v>0</v>
      </c>
      <c r="N43">
        <v>732</v>
      </c>
      <c r="O43">
        <v>732</v>
      </c>
      <c r="P43">
        <v>45056</v>
      </c>
      <c r="Q43">
        <v>76432.971999999994</v>
      </c>
      <c r="R43">
        <v>0.98991541250137316</v>
      </c>
      <c r="S43">
        <v>26.539226388888888</v>
      </c>
      <c r="T43">
        <v>26.539226388888888</v>
      </c>
      <c r="U43">
        <v>0.98992000000000002</v>
      </c>
      <c r="V43">
        <v>2880</v>
      </c>
      <c r="W43" t="str">
        <v>36991-PESSARRODONA AVIRAM SL</v>
      </c>
    </row>
    <row r="44" spans="1:23" x14ac:dyDescent="0.25">
      <c r="A44" t="str">
        <v>2025-10-17</v>
      </c>
      <c r="B44" t="str">
        <v>36387-AGROPECUARIA SAUS-L:090-N:4-A:A13-POLLO AMARILLO MACHO</v>
      </c>
      <c r="C44" t="str">
        <v>POLLO AMARILLO MACHO</v>
      </c>
      <c r="D44">
        <v>8992</v>
      </c>
      <c r="E44" t="str">
        <v>Broiler Amarillo</v>
      </c>
      <c r="F44">
        <v>32</v>
      </c>
      <c r="G44">
        <v>0</v>
      </c>
      <c r="H44" t="str">
        <v>Abierto</v>
      </c>
      <c r="I44">
        <v>1.823</v>
      </c>
      <c r="J44">
        <v>1.83568</v>
      </c>
      <c r="K44">
        <v>1.772</v>
      </c>
      <c r="L44">
        <v>9200</v>
      </c>
      <c r="M44">
        <v>0</v>
      </c>
      <c r="N44">
        <v>200</v>
      </c>
      <c r="O44">
        <v>298</v>
      </c>
      <c r="P44">
        <v>17869</v>
      </c>
      <c r="Q44">
        <v>30968.45</v>
      </c>
      <c r="R44">
        <v>0.97166938553561721</v>
      </c>
      <c r="S44">
        <v>24.57813492063492</v>
      </c>
      <c r="T44">
        <v>24.57813492063492</v>
      </c>
      <c r="U44">
        <v>0.97167000000000003</v>
      </c>
      <c r="V44">
        <v>1260</v>
      </c>
      <c r="W44" t="str">
        <v>36387-AGROPECUARIA SAUS</v>
      </c>
    </row>
    <row r="45" spans="1:23" x14ac:dyDescent="0.25">
      <c r="A45" t="str">
        <v>2025-10-17</v>
      </c>
      <c r="B45" t="str">
        <v>36016-SANFELIU IBAÑEZ EUGENI-L:030-N:2-A:A15-POLLO AMARILLO MIXTO</v>
      </c>
      <c r="C45" t="str">
        <v>POLLO AMARILLO MIXTO</v>
      </c>
      <c r="D45">
        <v>28978</v>
      </c>
      <c r="E45" t="str">
        <v>Broiler Amarillo</v>
      </c>
      <c r="F45">
        <v>32</v>
      </c>
      <c r="G45">
        <v>0</v>
      </c>
      <c r="H45" t="str">
        <v>Abierto</v>
      </c>
      <c r="I45">
        <v>1.823</v>
      </c>
      <c r="J45">
        <v>1.9508399999999999</v>
      </c>
      <c r="K45">
        <v>1.6739999999999999</v>
      </c>
      <c r="L45">
        <v>30000</v>
      </c>
      <c r="M45">
        <v>0</v>
      </c>
      <c r="N45">
        <v>989</v>
      </c>
      <c r="O45">
        <v>989</v>
      </c>
      <c r="P45">
        <v>28978</v>
      </c>
      <c r="Q45">
        <v>52826.894</v>
      </c>
      <c r="R45">
        <v>1.0537454545454545</v>
      </c>
      <c r="S45">
        <v>33.016808750000003</v>
      </c>
      <c r="T45">
        <v>33.016808750000003</v>
      </c>
      <c r="U45">
        <v>1.05375</v>
      </c>
      <c r="V45">
        <v>1600</v>
      </c>
      <c r="W45" t="str">
        <v>36016-SANFELIU IBAÑEZ EUGENI</v>
      </c>
    </row>
    <row r="46" spans="1:23" x14ac:dyDescent="0.25">
      <c r="A46" t="str">
        <v>2025-10-17</v>
      </c>
      <c r="B46" t="str">
        <v>36387-AGROPECUARIA SAUS-L:090-N:3-A:A13-POLLO AMARILLO MACHO</v>
      </c>
      <c r="C46" t="str">
        <v>POLLO AMARILLO MACHO</v>
      </c>
      <c r="D46">
        <v>8845</v>
      </c>
      <c r="E46" t="str">
        <v>Broiler Amarillo</v>
      </c>
      <c r="F46">
        <v>32</v>
      </c>
      <c r="G46">
        <v>0</v>
      </c>
      <c r="H46" t="str">
        <v>Abierto</v>
      </c>
      <c r="I46">
        <v>1.8029999999999999</v>
      </c>
      <c r="J46">
        <v>1.8106899999999999</v>
      </c>
      <c r="K46">
        <v>1.772</v>
      </c>
      <c r="L46">
        <v>9100</v>
      </c>
      <c r="M46">
        <v>0</v>
      </c>
      <c r="N46">
        <v>250</v>
      </c>
      <c r="O46">
        <v>294</v>
      </c>
      <c r="P46">
        <v>17705</v>
      </c>
      <c r="Q46">
        <v>30229.855</v>
      </c>
      <c r="R46">
        <v>0.96275149537792282</v>
      </c>
      <c r="S46">
        <v>23.991948412698413</v>
      </c>
      <c r="T46">
        <v>23.991948412698413</v>
      </c>
      <c r="U46">
        <v>0.96274999999999999</v>
      </c>
      <c r="V46">
        <v>1260</v>
      </c>
      <c r="W46" t="str">
        <v>36387-AGROPECUARIA SAUS</v>
      </c>
    </row>
    <row r="47" spans="1:23" x14ac:dyDescent="0.25">
      <c r="A47" t="str">
        <v>2025-10-17</v>
      </c>
      <c r="B47" t="str">
        <v>36967-BLAI PONS COLL (Culleré)-L:037-N:3-A:A14-POLLO AMARILLO HEMBRAS</v>
      </c>
      <c r="C47" t="str">
        <v>POLLO AMARILLO HEMBRAS</v>
      </c>
      <c r="D47">
        <v>15086</v>
      </c>
      <c r="E47" t="str">
        <v>Broiler Amarillo</v>
      </c>
      <c r="F47">
        <v>35</v>
      </c>
      <c r="G47">
        <v>0</v>
      </c>
      <c r="H47" t="str">
        <v>Abierto</v>
      </c>
      <c r="I47">
        <v>1.7969999999999999</v>
      </c>
      <c r="J47">
        <v>1.7969999999999999</v>
      </c>
      <c r="K47">
        <v>1.7969999999999999</v>
      </c>
      <c r="L47">
        <v>15400</v>
      </c>
      <c r="M47">
        <v>0</v>
      </c>
      <c r="N47">
        <v>314</v>
      </c>
      <c r="O47">
        <v>314</v>
      </c>
      <c r="P47">
        <v>30149</v>
      </c>
      <c r="Q47">
        <v>63140.237999999998</v>
      </c>
      <c r="R47">
        <v>0.94215625000000003</v>
      </c>
      <c r="S47">
        <v>35.077910000000003</v>
      </c>
      <c r="T47">
        <v>35.077910000000003</v>
      </c>
      <c r="U47">
        <v>0.94216</v>
      </c>
      <c r="V47">
        <v>1800</v>
      </c>
      <c r="W47" t="str">
        <v>36967-BLAI PONS COLL (Culleré)</v>
      </c>
    </row>
    <row r="48" spans="1:23" x14ac:dyDescent="0.25">
      <c r="A48" t="str">
        <v>2025-10-17</v>
      </c>
      <c r="B48" t="str">
        <v>36016-SANFELIU IBAÑEZ EUGENI-L:030-N:1-A:A15-POLLO AMARILLO MIXTO</v>
      </c>
      <c r="C48" t="str">
        <v>POLLO AMARILLO MIXTO</v>
      </c>
      <c r="D48">
        <v>28978</v>
      </c>
      <c r="E48" t="str">
        <v>Broiler Amarillo</v>
      </c>
      <c r="F48">
        <v>32</v>
      </c>
      <c r="G48">
        <v>0</v>
      </c>
      <c r="H48" t="str">
        <v>Abierto</v>
      </c>
      <c r="I48">
        <v>1.7729999999999999</v>
      </c>
      <c r="J48">
        <v>1.8579300000000001</v>
      </c>
      <c r="K48">
        <v>1.6739999999999999</v>
      </c>
      <c r="L48">
        <v>30000</v>
      </c>
      <c r="M48">
        <v>0</v>
      </c>
      <c r="N48">
        <v>989</v>
      </c>
      <c r="O48">
        <v>989</v>
      </c>
      <c r="P48">
        <v>28978</v>
      </c>
      <c r="Q48">
        <v>51377.993999999999</v>
      </c>
      <c r="R48">
        <v>1.0537454545454545</v>
      </c>
      <c r="S48">
        <v>31.714811111111111</v>
      </c>
      <c r="T48">
        <v>31.714811111111111</v>
      </c>
      <c r="U48">
        <v>1.05375</v>
      </c>
      <c r="V48">
        <v>1620</v>
      </c>
      <c r="W48" t="str">
        <v>36016-SANFELIU IBAÑEZ EUGENI</v>
      </c>
    </row>
    <row r="49" spans="1:23" x14ac:dyDescent="0.25">
      <c r="A49" t="str">
        <v>2025-10-17</v>
      </c>
      <c r="B49" t="str">
        <v>36387-AGROPECUARIA SAUS-L:090-N:1-A:A15-POLLO AMARILLO MIXTO</v>
      </c>
      <c r="C49" t="str">
        <v>POLLO AMARILLO MIXTO</v>
      </c>
      <c r="D49">
        <v>18710</v>
      </c>
      <c r="E49" t="str">
        <v>Broiler Amarillo</v>
      </c>
      <c r="F49">
        <v>32</v>
      </c>
      <c r="G49">
        <v>0</v>
      </c>
      <c r="H49" t="str">
        <v>Abierto</v>
      </c>
      <c r="I49">
        <v>1.7230000000000001</v>
      </c>
      <c r="J49">
        <v>1.73472</v>
      </c>
      <c r="K49">
        <v>1.6739999999999999</v>
      </c>
      <c r="L49">
        <v>19440</v>
      </c>
      <c r="M49">
        <v>0</v>
      </c>
      <c r="N49">
        <v>720</v>
      </c>
      <c r="O49">
        <v>0</v>
      </c>
      <c r="P49">
        <v>18710</v>
      </c>
      <c r="Q49">
        <v>32237.33</v>
      </c>
      <c r="R49">
        <v>0.97906855049712194</v>
      </c>
      <c r="S49">
        <v>24.608648854961832</v>
      </c>
      <c r="T49">
        <v>24.608648854961832</v>
      </c>
      <c r="U49">
        <v>0.97907</v>
      </c>
      <c r="V49">
        <v>1310</v>
      </c>
      <c r="W49" t="str">
        <v>36387-AGROPECUARIA SAUS</v>
      </c>
    </row>
    <row r="50" spans="1:23" x14ac:dyDescent="0.25">
      <c r="A50" t="str">
        <v>2025-10-17</v>
      </c>
      <c r="B50" t="str">
        <v>36387-AGROPECUARIA SAUS-L:090-N:2-A:A15-POLLO AMARILLO MIXTO</v>
      </c>
      <c r="C50" t="str">
        <v>POLLO AMARILLO MIXTO</v>
      </c>
      <c r="D50">
        <v>18085</v>
      </c>
      <c r="E50" t="str">
        <v>Broiler Amarillo</v>
      </c>
      <c r="F50">
        <v>32</v>
      </c>
      <c r="G50">
        <v>0</v>
      </c>
      <c r="H50" t="str">
        <v>Abierto</v>
      </c>
      <c r="I50">
        <v>1.663</v>
      </c>
      <c r="J50">
        <v>1.66038</v>
      </c>
      <c r="K50">
        <v>1.6739999999999999</v>
      </c>
      <c r="L50">
        <v>19440</v>
      </c>
      <c r="M50">
        <v>0</v>
      </c>
      <c r="N50">
        <v>1350</v>
      </c>
      <c r="O50">
        <v>96</v>
      </c>
      <c r="P50">
        <v>18085</v>
      </c>
      <c r="Q50">
        <v>30075.355</v>
      </c>
      <c r="R50">
        <v>0.94636316064887493</v>
      </c>
      <c r="S50">
        <v>22.958286259541985</v>
      </c>
      <c r="T50">
        <v>22.958286259541985</v>
      </c>
      <c r="U50">
        <v>0.94635999999999998</v>
      </c>
      <c r="V50">
        <v>1310</v>
      </c>
      <c r="W50" t="str">
        <v>36387-AGROPECUARIA SAUS</v>
      </c>
    </row>
    <row r="51" spans="1:23" x14ac:dyDescent="0.25">
      <c r="A51" t="str">
        <v>2025-10-17</v>
      </c>
      <c r="B51" t="str">
        <v>36526-FARRUS FARRAN ANTONIO-L:148-N:1-A:A15-POLLO AMARILLO MIXTO</v>
      </c>
      <c r="C51" t="str">
        <v>POLLO AMARILLO MIXTO</v>
      </c>
      <c r="D51">
        <v>11951</v>
      </c>
      <c r="E51" t="str">
        <v>Broiler Amarillo</v>
      </c>
      <c r="F51">
        <v>30</v>
      </c>
      <c r="G51">
        <v>0</v>
      </c>
      <c r="H51" t="str">
        <v>Abierto</v>
      </c>
      <c r="I51">
        <v>1.66</v>
      </c>
      <c r="J51">
        <v>2.5532900000000001</v>
      </c>
      <c r="K51">
        <v>1.5109999999999999</v>
      </c>
      <c r="L51">
        <v>12500</v>
      </c>
      <c r="M51">
        <v>0</v>
      </c>
      <c r="N51">
        <v>395</v>
      </c>
      <c r="O51">
        <v>395</v>
      </c>
      <c r="P51">
        <v>11951</v>
      </c>
      <c r="Q51">
        <v>19838.66</v>
      </c>
      <c r="R51">
        <v>0.8852592592592593</v>
      </c>
      <c r="S51">
        <v>23.617452380952383</v>
      </c>
      <c r="T51">
        <v>23.617452380952383</v>
      </c>
      <c r="U51">
        <v>0.88526000000000005</v>
      </c>
      <c r="V51">
        <v>840</v>
      </c>
      <c r="W51" t="str">
        <v>36526-FARRUS FARRAN ANTONIO</v>
      </c>
    </row>
    <row r="52" spans="1:23" x14ac:dyDescent="0.25">
      <c r="A52" t="str">
        <v>2025-10-17</v>
      </c>
      <c r="B52" t="str">
        <v>36526-FARRUS FARRAN ANTONIO-L:148-N:2-A:A15-POLLO AMARILLO MIXTO</v>
      </c>
      <c r="C52" t="str">
        <v>POLLO AMARILLO MIXTO</v>
      </c>
      <c r="D52">
        <v>11973</v>
      </c>
      <c r="E52" t="str">
        <v>Broiler Amarillo</v>
      </c>
      <c r="F52">
        <v>30</v>
      </c>
      <c r="G52">
        <v>0</v>
      </c>
      <c r="H52" t="str">
        <v>Abierto</v>
      </c>
      <c r="I52">
        <v>1.66</v>
      </c>
      <c r="J52">
        <v>2.5532900000000001</v>
      </c>
      <c r="K52">
        <v>1.5109999999999999</v>
      </c>
      <c r="L52">
        <v>12500</v>
      </c>
      <c r="M52">
        <v>0</v>
      </c>
      <c r="N52">
        <v>395</v>
      </c>
      <c r="O52">
        <v>395</v>
      </c>
      <c r="P52">
        <v>11973</v>
      </c>
      <c r="Q52">
        <v>19875.18</v>
      </c>
      <c r="R52">
        <v>0.88688888888888884</v>
      </c>
      <c r="S52">
        <v>23.66092857142857</v>
      </c>
      <c r="T52">
        <v>23.66092857142857</v>
      </c>
      <c r="U52">
        <v>0.88688999999999996</v>
      </c>
      <c r="V52">
        <v>840</v>
      </c>
      <c r="W52" t="str">
        <v>36526-FARRUS FARRAN ANTONIO</v>
      </c>
    </row>
    <row r="53" spans="1:23" x14ac:dyDescent="0.25">
      <c r="A53" t="str">
        <v>2025-10-17</v>
      </c>
      <c r="B53" t="str">
        <v>36387-AGROPECUARIA SAUS-L:090-N:4-A:A14-POLLO AMARILLO HEMBRAS</v>
      </c>
      <c r="C53" t="str">
        <v>POLLO AMARILLO HEMBRAS</v>
      </c>
      <c r="D53">
        <v>8877</v>
      </c>
      <c r="E53" t="str">
        <v>Broiler Amarillo</v>
      </c>
      <c r="F53">
        <v>32</v>
      </c>
      <c r="G53">
        <v>0</v>
      </c>
      <c r="H53" t="str">
        <v>Abierto</v>
      </c>
      <c r="I53">
        <v>1.6419999999999999</v>
      </c>
      <c r="J53">
        <v>1.657</v>
      </c>
      <c r="K53">
        <v>1.5760000000000001</v>
      </c>
      <c r="L53">
        <v>9000</v>
      </c>
      <c r="M53">
        <v>0</v>
      </c>
      <c r="N53">
        <v>120</v>
      </c>
      <c r="O53">
        <v>291</v>
      </c>
      <c r="P53">
        <v>17869</v>
      </c>
      <c r="Q53">
        <v>30968.45</v>
      </c>
      <c r="R53">
        <v>0.97166938553561721</v>
      </c>
      <c r="S53">
        <v>24.57813492063492</v>
      </c>
      <c r="T53">
        <v>24.57813492063492</v>
      </c>
      <c r="U53">
        <v>0.97167000000000003</v>
      </c>
      <c r="V53">
        <v>1260</v>
      </c>
      <c r="W53" t="str">
        <v>36387-AGROPECUARIA SAUS</v>
      </c>
    </row>
    <row r="54" spans="1:23" x14ac:dyDescent="0.25">
      <c r="A54" t="str">
        <v>2025-10-17</v>
      </c>
      <c r="B54" t="str">
        <v>36736-RIBELLES SEGURA SCP-L:117-N:1-A:A14-POLLO AMARILLO HEMBRAS</v>
      </c>
      <c r="C54" t="str">
        <v>POLLO AMARILLO HEMBRAS</v>
      </c>
      <c r="D54">
        <v>12171</v>
      </c>
      <c r="E54" t="str">
        <v>Broiler Amarillo</v>
      </c>
      <c r="F54">
        <v>31</v>
      </c>
      <c r="G54">
        <v>0</v>
      </c>
      <c r="H54" t="str">
        <v>Abierto</v>
      </c>
      <c r="I54">
        <v>1.633</v>
      </c>
      <c r="J54">
        <v>1.7283999999999999</v>
      </c>
      <c r="K54">
        <v>1.502</v>
      </c>
      <c r="L54">
        <v>12600</v>
      </c>
      <c r="M54">
        <v>0</v>
      </c>
      <c r="N54">
        <v>399</v>
      </c>
      <c r="O54">
        <v>399</v>
      </c>
      <c r="P54">
        <v>20169</v>
      </c>
      <c r="Q54">
        <v>34663.544999999998</v>
      </c>
      <c r="R54">
        <v>0.89639999999999997</v>
      </c>
      <c r="S54">
        <v>27.40201185770751</v>
      </c>
      <c r="T54">
        <v>27.40201185770751</v>
      </c>
      <c r="U54">
        <v>0.89639999999999997</v>
      </c>
      <c r="V54">
        <v>1265</v>
      </c>
      <c r="W54" t="str">
        <v>36736-RIBELLES SEGURA SCP</v>
      </c>
    </row>
    <row r="55" spans="1:23" x14ac:dyDescent="0.25">
      <c r="A55" t="str">
        <v>2025-10-17</v>
      </c>
      <c r="B55" t="str">
        <v>36736-RIBELLES SEGURA SCP-L:117-N:2-A:A14-POLLO AMARILLO HEMBRAS</v>
      </c>
      <c r="C55" t="str">
        <v>POLLO AMARILLO HEMBRAS</v>
      </c>
      <c r="D55">
        <v>10028</v>
      </c>
      <c r="E55" t="str">
        <v>Broiler Amarillo</v>
      </c>
      <c r="F55">
        <v>31</v>
      </c>
      <c r="G55">
        <v>0</v>
      </c>
      <c r="H55" t="str">
        <v>Abierto</v>
      </c>
      <c r="I55">
        <v>1.633</v>
      </c>
      <c r="J55">
        <v>1.7283999999999999</v>
      </c>
      <c r="K55">
        <v>1.502</v>
      </c>
      <c r="L55">
        <v>10400</v>
      </c>
      <c r="M55">
        <v>0</v>
      </c>
      <c r="N55">
        <v>342</v>
      </c>
      <c r="O55">
        <v>342</v>
      </c>
      <c r="P55">
        <v>20155</v>
      </c>
      <c r="Q55">
        <v>35606.896999999997</v>
      </c>
      <c r="R55">
        <v>0.89577777777777778</v>
      </c>
      <c r="S55">
        <v>28.14774466403162</v>
      </c>
      <c r="T55">
        <v>28.14774466403162</v>
      </c>
      <c r="U55">
        <v>0.89578000000000002</v>
      </c>
      <c r="V55">
        <v>1265</v>
      </c>
      <c r="W55" t="str">
        <v>36736-RIBELLES SEGURA SCP</v>
      </c>
    </row>
    <row r="56" spans="1:23" x14ac:dyDescent="0.25">
      <c r="A56" t="str">
        <v>2025-10-17</v>
      </c>
      <c r="B56" t="str">
        <v>36387-AGROPECUARIA SAUS-L:090-N:3-A:A14-POLLO AMARILLO HEMBRAS</v>
      </c>
      <c r="C56" t="str">
        <v>POLLO AMARILLO HEMBRAS</v>
      </c>
      <c r="D56">
        <v>8860</v>
      </c>
      <c r="E56" t="str">
        <v>Broiler Amarillo</v>
      </c>
      <c r="F56">
        <v>32</v>
      </c>
      <c r="G56">
        <v>0</v>
      </c>
      <c r="H56" t="str">
        <v>Abierto</v>
      </c>
      <c r="I56">
        <v>1.6120000000000001</v>
      </c>
      <c r="J56">
        <v>1.6201700000000001</v>
      </c>
      <c r="K56">
        <v>1.5760000000000001</v>
      </c>
      <c r="L56">
        <v>9000</v>
      </c>
      <c r="M56">
        <v>0</v>
      </c>
      <c r="N56">
        <v>136</v>
      </c>
      <c r="O56">
        <v>291</v>
      </c>
      <c r="P56">
        <v>17705</v>
      </c>
      <c r="Q56">
        <v>30229.855</v>
      </c>
      <c r="R56">
        <v>0.96275149537792282</v>
      </c>
      <c r="S56">
        <v>23.991948412698413</v>
      </c>
      <c r="T56">
        <v>23.991948412698413</v>
      </c>
      <c r="U56">
        <v>0.96274999999999999</v>
      </c>
      <c r="V56">
        <v>1260</v>
      </c>
      <c r="W56" t="str">
        <v>36387-AGROPECUARIA SAUS</v>
      </c>
    </row>
    <row r="57" spans="1:23" x14ac:dyDescent="0.25">
      <c r="A57" t="str">
        <v>2025-10-17</v>
      </c>
      <c r="B57" t="str">
        <v>36991-PESSARRODONA AVIRAM SL-L:034-N:1-A:A14-POLLO AMARILLO HEMBRAS</v>
      </c>
      <c r="C57" t="str">
        <v>POLLO AMARILLO HEMBRAS</v>
      </c>
      <c r="D57">
        <v>11398</v>
      </c>
      <c r="E57" t="str">
        <v>Broiler Amarillo</v>
      </c>
      <c r="F57">
        <v>31</v>
      </c>
      <c r="G57">
        <v>0</v>
      </c>
      <c r="H57" t="str">
        <v>Abierto</v>
      </c>
      <c r="I57">
        <v>1.597</v>
      </c>
      <c r="J57">
        <v>1.6792400000000001</v>
      </c>
      <c r="K57">
        <v>1.502</v>
      </c>
      <c r="L57">
        <v>11800</v>
      </c>
      <c r="M57">
        <v>0</v>
      </c>
      <c r="N57">
        <v>380</v>
      </c>
      <c r="O57">
        <v>380</v>
      </c>
      <c r="P57">
        <v>22671</v>
      </c>
      <c r="Q57">
        <v>38877.288</v>
      </c>
      <c r="R57">
        <v>1.0246779661016949</v>
      </c>
      <c r="S57">
        <v>27.769491428571428</v>
      </c>
      <c r="T57">
        <v>27.769491428571428</v>
      </c>
      <c r="U57">
        <v>1.02468</v>
      </c>
      <c r="V57">
        <v>1400</v>
      </c>
      <c r="W57" t="str">
        <v>36991-PESSARRODONA AVIRAM SL</v>
      </c>
    </row>
    <row r="58" spans="1:23" x14ac:dyDescent="0.25">
      <c r="A58" t="str">
        <v>2025-10-17</v>
      </c>
      <c r="B58" t="str">
        <v>36527-GEMMARTI-L:050-N:2-A:A15-POLLO AMARILLO MIXTO</v>
      </c>
      <c r="C58" t="str">
        <v>POLLO AMARILLO MIXTO</v>
      </c>
      <c r="D58">
        <v>8897</v>
      </c>
      <c r="E58" t="str">
        <v>Broiler Amarillo</v>
      </c>
      <c r="F58">
        <v>29</v>
      </c>
      <c r="G58">
        <v>0</v>
      </c>
      <c r="H58" t="str">
        <v>Abierto</v>
      </c>
      <c r="I58">
        <v>1.585</v>
      </c>
      <c r="J58">
        <v>2.4512900000000002</v>
      </c>
      <c r="K58">
        <v>1.431</v>
      </c>
      <c r="L58">
        <v>9270</v>
      </c>
      <c r="M58">
        <v>0</v>
      </c>
      <c r="N58">
        <v>289</v>
      </c>
      <c r="O58">
        <v>289</v>
      </c>
      <c r="P58">
        <v>8897</v>
      </c>
      <c r="Q58">
        <v>14101.745000000001</v>
      </c>
      <c r="R58">
        <v>0.84733333333333338</v>
      </c>
      <c r="S58">
        <v>21.694992307692306</v>
      </c>
      <c r="T58">
        <v>21.694992307692306</v>
      </c>
      <c r="U58">
        <v>0.84733000000000003</v>
      </c>
      <c r="V58">
        <v>650</v>
      </c>
      <c r="W58" t="str">
        <v>36527-GEMMARTI</v>
      </c>
    </row>
    <row r="59" spans="1:23" x14ac:dyDescent="0.25">
      <c r="A59" t="str">
        <v>2025-10-17</v>
      </c>
      <c r="B59" t="str">
        <v>36527-GEMMARTI-L:050-N:1-A:A15-POLLO AMARILLO MIXTO</v>
      </c>
      <c r="C59" t="str">
        <v>POLLO AMARILLO MIXTO</v>
      </c>
      <c r="D59">
        <v>9016</v>
      </c>
      <c r="E59" t="str">
        <v>Broiler Amarillo</v>
      </c>
      <c r="F59">
        <v>29</v>
      </c>
      <c r="G59">
        <v>0</v>
      </c>
      <c r="H59" t="str">
        <v>Abierto</v>
      </c>
      <c r="I59">
        <v>1.585</v>
      </c>
      <c r="J59">
        <v>2.4512900000000002</v>
      </c>
      <c r="K59">
        <v>1.431</v>
      </c>
      <c r="L59">
        <v>9270</v>
      </c>
      <c r="M59">
        <v>0</v>
      </c>
      <c r="N59">
        <v>86</v>
      </c>
      <c r="O59">
        <v>86</v>
      </c>
      <c r="P59">
        <v>9016</v>
      </c>
      <c r="Q59">
        <v>14290.36</v>
      </c>
      <c r="R59">
        <v>0.85866666666666669</v>
      </c>
      <c r="S59">
        <v>21.98516923076923</v>
      </c>
      <c r="T59">
        <v>21.98516923076923</v>
      </c>
      <c r="U59">
        <v>0.85867000000000004</v>
      </c>
      <c r="V59">
        <v>650</v>
      </c>
      <c r="W59" t="str">
        <v>36527-GEMMARTI</v>
      </c>
    </row>
    <row r="60" spans="1:23" x14ac:dyDescent="0.25">
      <c r="A60" t="str">
        <v>2025-10-17</v>
      </c>
      <c r="B60" t="str">
        <v>36991-PESSARRODONA AVIRAM SL-L:034-N:3-A:A13-POLLO AMARILLO MACHO</v>
      </c>
      <c r="C60" t="str">
        <v>POLLO AMARILLO MACHO</v>
      </c>
      <c r="D60">
        <v>18619</v>
      </c>
      <c r="E60" t="str">
        <v>Broiler Amarillo</v>
      </c>
      <c r="F60">
        <v>28</v>
      </c>
      <c r="G60">
        <v>0</v>
      </c>
      <c r="H60" t="str">
        <v>Abierto</v>
      </c>
      <c r="I60">
        <v>1.577</v>
      </c>
      <c r="J60">
        <v>2.7225000000000001</v>
      </c>
      <c r="K60">
        <v>1.419</v>
      </c>
      <c r="L60">
        <v>19000</v>
      </c>
      <c r="M60">
        <v>0</v>
      </c>
      <c r="N60">
        <v>381</v>
      </c>
      <c r="O60">
        <v>381</v>
      </c>
      <c r="P60">
        <v>37159</v>
      </c>
      <c r="Q60">
        <v>55688.963000000003</v>
      </c>
      <c r="R60">
        <v>0.9797247416156929</v>
      </c>
      <c r="S60">
        <v>23.203734583333333</v>
      </c>
      <c r="T60">
        <v>23.203734583333333</v>
      </c>
      <c r="U60">
        <v>0.97972000000000004</v>
      </c>
      <c r="V60">
        <v>2400</v>
      </c>
      <c r="W60" t="str">
        <v>36991-PESSARRODONA AVIRAM SL</v>
      </c>
    </row>
    <row r="61" spans="1:23" x14ac:dyDescent="0.25">
      <c r="A61" t="str">
        <v>2025-10-17</v>
      </c>
      <c r="B61" t="str">
        <v>36991-PESSARRODONA AVIRAM SL-L:034-N:2-A:A14-POLLO AMARILLO HEMBRAS</v>
      </c>
      <c r="C61" t="str">
        <v>POLLO AMARILLO HEMBRAS</v>
      </c>
      <c r="D61">
        <v>23276</v>
      </c>
      <c r="E61" t="str">
        <v>Broiler Amarillo</v>
      </c>
      <c r="F61">
        <v>31</v>
      </c>
      <c r="G61">
        <v>0</v>
      </c>
      <c r="H61" t="str">
        <v>Abierto</v>
      </c>
      <c r="I61">
        <v>1.577</v>
      </c>
      <c r="J61">
        <v>1.64195</v>
      </c>
      <c r="K61">
        <v>1.502</v>
      </c>
      <c r="L61">
        <v>24000</v>
      </c>
      <c r="M61">
        <v>0</v>
      </c>
      <c r="N61">
        <v>669</v>
      </c>
      <c r="O61">
        <v>669</v>
      </c>
      <c r="P61">
        <v>45056</v>
      </c>
      <c r="Q61">
        <v>76432.971999999994</v>
      </c>
      <c r="R61">
        <v>0.98991541250137316</v>
      </c>
      <c r="S61">
        <v>26.539226388888888</v>
      </c>
      <c r="T61">
        <v>26.539226388888888</v>
      </c>
      <c r="U61">
        <v>0.98992000000000002</v>
      </c>
      <c r="V61">
        <v>2880</v>
      </c>
      <c r="W61" t="str">
        <v>36991-PESSARRODONA AVIRAM SL</v>
      </c>
    </row>
    <row r="62" spans="1:23" x14ac:dyDescent="0.25">
      <c r="A62" t="str">
        <v>2025-10-17</v>
      </c>
      <c r="B62" t="str">
        <v>36991-PESSARRODONA AVIRAM SL-L:034-N:3-A:A14-POLLO AMARILLO HEMBRAS</v>
      </c>
      <c r="C62" t="str">
        <v>POLLO AMARILLO HEMBRAS</v>
      </c>
      <c r="D62">
        <v>18540</v>
      </c>
      <c r="E62" t="str">
        <v>Broiler Amarillo</v>
      </c>
      <c r="F62">
        <v>28</v>
      </c>
      <c r="G62">
        <v>0</v>
      </c>
      <c r="H62" t="str">
        <v>Abierto</v>
      </c>
      <c r="I62">
        <v>1.42</v>
      </c>
      <c r="J62">
        <v>2.3051699999999999</v>
      </c>
      <c r="K62">
        <v>1.284</v>
      </c>
      <c r="L62">
        <v>19000</v>
      </c>
      <c r="M62">
        <v>0</v>
      </c>
      <c r="N62">
        <v>460</v>
      </c>
      <c r="O62">
        <v>460</v>
      </c>
      <c r="P62">
        <v>37159</v>
      </c>
      <c r="Q62">
        <v>55688.963000000003</v>
      </c>
      <c r="R62">
        <v>0.9797247416156929</v>
      </c>
      <c r="S62">
        <v>23.203734583333333</v>
      </c>
      <c r="T62">
        <v>23.203734583333333</v>
      </c>
      <c r="U62">
        <v>0.97972000000000004</v>
      </c>
      <c r="V62">
        <v>2400</v>
      </c>
      <c r="W62" t="str">
        <v>36991-PESSARRODONA AVIRAM SL</v>
      </c>
    </row>
    <row r="63" spans="1:23" x14ac:dyDescent="0.25">
      <c r="A63" t="str">
        <v>2025-10-17</v>
      </c>
      <c r="B63" t="str">
        <v>36946-TRIBO MUÑOZ CRISTINA - 2-L:040-N:1-A:A13-POLLO AMARILLO MACHO</v>
      </c>
      <c r="C63" t="str">
        <v>POLLO AMARILLO MACHO</v>
      </c>
      <c r="D63">
        <v>4327</v>
      </c>
      <c r="E63" t="str">
        <v>Broiler Amarillo</v>
      </c>
      <c r="F63">
        <v>25</v>
      </c>
      <c r="G63">
        <v>0</v>
      </c>
      <c r="H63" t="str">
        <v>Abierto</v>
      </c>
      <c r="I63">
        <v>1.1970000000000001</v>
      </c>
      <c r="J63">
        <v>1.30704</v>
      </c>
      <c r="K63">
        <v>1.167</v>
      </c>
      <c r="L63">
        <v>4500</v>
      </c>
      <c r="M63">
        <v>0</v>
      </c>
      <c r="N63">
        <v>141</v>
      </c>
      <c r="O63">
        <v>141</v>
      </c>
      <c r="P63">
        <v>8686</v>
      </c>
      <c r="Q63">
        <v>9852.2669999999998</v>
      </c>
      <c r="R63">
        <v>1.0218823529411765</v>
      </c>
      <c r="S63">
        <v>16.420445000000001</v>
      </c>
      <c r="T63">
        <v>16.420445000000001</v>
      </c>
      <c r="U63">
        <v>1.0218799999999999</v>
      </c>
      <c r="V63">
        <v>600</v>
      </c>
      <c r="W63" t="str">
        <v>36946-TRIBO MUÑOZ CRISTINA - 2</v>
      </c>
    </row>
    <row r="64" spans="1:23" x14ac:dyDescent="0.25">
      <c r="A64" t="str">
        <v>2025-10-17</v>
      </c>
      <c r="B64" t="str">
        <v>36946-TRIBO MUÑOZ CRISTINA - 2-L:040-N:3-A:A13-POLLO AMARILLO MACHO</v>
      </c>
      <c r="C64" t="str">
        <v>POLLO AMARILLO MACHO</v>
      </c>
      <c r="D64">
        <v>6762</v>
      </c>
      <c r="E64" t="str">
        <v>Broiler Amarillo</v>
      </c>
      <c r="F64">
        <v>25</v>
      </c>
      <c r="G64">
        <v>0</v>
      </c>
      <c r="H64" t="str">
        <v>Abierto</v>
      </c>
      <c r="I64">
        <v>1.1870000000000001</v>
      </c>
      <c r="J64">
        <v>1.2603599999999999</v>
      </c>
      <c r="K64">
        <v>1.167</v>
      </c>
      <c r="L64">
        <v>7000</v>
      </c>
      <c r="M64">
        <v>0</v>
      </c>
      <c r="N64">
        <v>206</v>
      </c>
      <c r="O64">
        <v>206</v>
      </c>
      <c r="P64">
        <v>13524</v>
      </c>
      <c r="Q64">
        <v>15363.263999999999</v>
      </c>
      <c r="R64">
        <v>1.0403076923076924</v>
      </c>
      <c r="S64">
        <v>17.070293333333332</v>
      </c>
      <c r="T64">
        <v>17.070293333333332</v>
      </c>
      <c r="U64">
        <v>1.0403100000000001</v>
      </c>
      <c r="V64">
        <v>900</v>
      </c>
      <c r="W64" t="str">
        <v>36946-TRIBO MUÑOZ CRISTINA - 2</v>
      </c>
    </row>
    <row r="65" spans="1:23" x14ac:dyDescent="0.25">
      <c r="A65" t="str">
        <v>2025-10-17</v>
      </c>
      <c r="B65" t="str">
        <v>36946-TRIBO MUÑOZ CRISTINA - 2-L:040-N:2-A:A13-POLLO AMARILLO MACHO</v>
      </c>
      <c r="C65" t="str">
        <v>POLLO AMARILLO MACHO</v>
      </c>
      <c r="D65">
        <v>4359</v>
      </c>
      <c r="E65" t="str">
        <v>Broiler Amarillo</v>
      </c>
      <c r="F65">
        <v>25</v>
      </c>
      <c r="G65">
        <v>0</v>
      </c>
      <c r="H65" t="str">
        <v>Abierto</v>
      </c>
      <c r="I65">
        <v>1.167</v>
      </c>
      <c r="J65">
        <v>1.167</v>
      </c>
      <c r="K65">
        <v>1.167</v>
      </c>
      <c r="L65">
        <v>4500</v>
      </c>
      <c r="M65">
        <v>0</v>
      </c>
      <c r="N65">
        <v>141</v>
      </c>
      <c r="O65">
        <v>141</v>
      </c>
      <c r="P65">
        <v>8670</v>
      </c>
      <c r="Q65">
        <v>9807.4979999999996</v>
      </c>
      <c r="R65">
        <v>1.02</v>
      </c>
      <c r="S65">
        <v>16.345829999999999</v>
      </c>
      <c r="T65">
        <v>16.345829999999999</v>
      </c>
      <c r="U65">
        <v>1.02</v>
      </c>
      <c r="V65">
        <v>600</v>
      </c>
      <c r="W65" t="str">
        <v>36946-TRIBO MUÑOZ CRISTINA - 2</v>
      </c>
    </row>
    <row r="66" spans="1:23" x14ac:dyDescent="0.25">
      <c r="A66" t="str">
        <v>2025-10-17</v>
      </c>
      <c r="B66" t="str">
        <v>36946-TRIBO MUÑOZ CRISTINA - 2-L:040-N:2-A:A14-POLLO AMARILLO HEMBRAS</v>
      </c>
      <c r="C66" t="str">
        <v>POLLO AMARILLO HEMBRAS</v>
      </c>
      <c r="D66">
        <v>4311</v>
      </c>
      <c r="E66" t="str">
        <v>Broiler Amarillo</v>
      </c>
      <c r="F66">
        <v>25</v>
      </c>
      <c r="G66">
        <v>0</v>
      </c>
      <c r="H66" t="str">
        <v>Abierto</v>
      </c>
      <c r="I66">
        <v>1.095</v>
      </c>
      <c r="J66">
        <v>1.1718</v>
      </c>
      <c r="K66">
        <v>1.0720000000000001</v>
      </c>
      <c r="L66">
        <v>4500</v>
      </c>
      <c r="M66">
        <v>0</v>
      </c>
      <c r="N66">
        <v>141</v>
      </c>
      <c r="O66">
        <v>141</v>
      </c>
      <c r="P66">
        <v>8670</v>
      </c>
      <c r="Q66">
        <v>9807.4979999999996</v>
      </c>
      <c r="R66">
        <v>1.02</v>
      </c>
      <c r="S66">
        <v>16.345829999999999</v>
      </c>
      <c r="T66">
        <v>16.345829999999999</v>
      </c>
      <c r="U66">
        <v>1.02</v>
      </c>
      <c r="V66">
        <v>600</v>
      </c>
      <c r="W66" t="str">
        <v>36946-TRIBO MUÑOZ CRISTINA - 2</v>
      </c>
    </row>
    <row r="67" spans="1:23" x14ac:dyDescent="0.25">
      <c r="A67" t="str">
        <v>2025-10-17</v>
      </c>
      <c r="B67" t="str">
        <v>36946-TRIBO MUÑOZ CRISTINA - 2-L:040-N:3-A:A14-POLLO AMARILLO HEMBRAS</v>
      </c>
      <c r="C67" t="str">
        <v>POLLO AMARILLO HEMBRAS</v>
      </c>
      <c r="D67">
        <v>6762</v>
      </c>
      <c r="E67" t="str">
        <v>Broiler Amarillo</v>
      </c>
      <c r="F67">
        <v>25</v>
      </c>
      <c r="G67">
        <v>0</v>
      </c>
      <c r="H67" t="str">
        <v>Abierto</v>
      </c>
      <c r="I67">
        <v>1.085</v>
      </c>
      <c r="J67">
        <v>1.12839</v>
      </c>
      <c r="K67">
        <v>1.0720000000000001</v>
      </c>
      <c r="L67">
        <v>7000</v>
      </c>
      <c r="M67">
        <v>0</v>
      </c>
      <c r="N67">
        <v>206</v>
      </c>
      <c r="O67">
        <v>206</v>
      </c>
      <c r="P67">
        <v>13524</v>
      </c>
      <c r="Q67">
        <v>15363.263999999999</v>
      </c>
      <c r="R67">
        <v>1.0403076923076924</v>
      </c>
      <c r="S67">
        <v>17.070293333333332</v>
      </c>
      <c r="T67">
        <v>17.070293333333332</v>
      </c>
      <c r="U67">
        <v>1.0403100000000001</v>
      </c>
      <c r="V67">
        <v>900</v>
      </c>
      <c r="W67" t="str">
        <v>36946-TRIBO MUÑOZ CRISTINA - 2</v>
      </c>
    </row>
    <row r="68" spans="1:23" x14ac:dyDescent="0.25">
      <c r="A68" t="str">
        <v>2025-10-17</v>
      </c>
      <c r="B68" t="str">
        <v>36946-TRIBO MUÑOZ CRISTINA - 2-L:040-N:1-A:A14-POLLO AMARILLO HEMBRAS</v>
      </c>
      <c r="C68" t="str">
        <v>POLLO AMARILLO HEMBRAS</v>
      </c>
      <c r="D68">
        <v>4359</v>
      </c>
      <c r="E68" t="str">
        <v>Broiler Amarillo</v>
      </c>
      <c r="F68">
        <v>25</v>
      </c>
      <c r="G68">
        <v>0</v>
      </c>
      <c r="H68" t="str">
        <v>Abierto</v>
      </c>
      <c r="I68">
        <v>1.0720000000000001</v>
      </c>
      <c r="J68">
        <v>1.0720000000000001</v>
      </c>
      <c r="K68">
        <v>1.0720000000000001</v>
      </c>
      <c r="L68">
        <v>4500</v>
      </c>
      <c r="M68">
        <v>0</v>
      </c>
      <c r="N68">
        <v>141</v>
      </c>
      <c r="O68">
        <v>141</v>
      </c>
      <c r="P68">
        <v>8686</v>
      </c>
      <c r="Q68">
        <v>9852.2669999999998</v>
      </c>
      <c r="R68">
        <v>1.0218823529411765</v>
      </c>
      <c r="S68">
        <v>16.420445000000001</v>
      </c>
      <c r="T68">
        <v>16.420445000000001</v>
      </c>
      <c r="U68">
        <v>1.0218799999999999</v>
      </c>
      <c r="V68">
        <v>600</v>
      </c>
      <c r="W68" t="str">
        <v>36946-TRIBO MUÑOZ CRISTINA - 2</v>
      </c>
    </row>
    <row r="69" spans="1:23" x14ac:dyDescent="0.25">
      <c r="A69" t="str">
        <v>2025-10-17</v>
      </c>
      <c r="B69" t="str">
        <v>36308-CAL CASO SCP-L:147-N:2-A:A13-POLLO AMARILLO MACHO</v>
      </c>
      <c r="C69" t="str">
        <v>POLLO AMARILLO MACHO</v>
      </c>
      <c r="D69">
        <v>5692</v>
      </c>
      <c r="E69" t="str">
        <v>Broiler Amarillo</v>
      </c>
      <c r="F69">
        <v>22</v>
      </c>
      <c r="G69">
        <v>0</v>
      </c>
      <c r="H69" t="str">
        <v>Abierto</v>
      </c>
      <c r="I69">
        <v>0.98299999999999998</v>
      </c>
      <c r="J69">
        <v>1.1195999999999999</v>
      </c>
      <c r="K69">
        <v>0.93300000000000005</v>
      </c>
      <c r="L69">
        <v>5900</v>
      </c>
      <c r="M69">
        <v>0</v>
      </c>
      <c r="N69">
        <v>169</v>
      </c>
      <c r="O69">
        <v>169</v>
      </c>
      <c r="P69">
        <v>11423</v>
      </c>
      <c r="Q69">
        <v>10575.475</v>
      </c>
      <c r="R69">
        <v>0.91383999999999999</v>
      </c>
      <c r="S69">
        <v>14.27189608636977</v>
      </c>
      <c r="T69">
        <v>14.27189608636977</v>
      </c>
      <c r="U69">
        <v>0.91383999999999999</v>
      </c>
      <c r="V69">
        <v>741</v>
      </c>
      <c r="W69" t="str">
        <v>36308-CAL CASO SCP</v>
      </c>
    </row>
    <row r="70" spans="1:23" x14ac:dyDescent="0.25">
      <c r="A70" t="str">
        <v>2025-10-17</v>
      </c>
      <c r="B70" t="str">
        <v>36863-GABANDE LOPEZ EVA - 2 (VERNET)-L:075-N:2-A:A13-POLLO AMARILLO MACHO</v>
      </c>
      <c r="C70" t="str">
        <v>POLLO AMARILLO MACHO</v>
      </c>
      <c r="D70">
        <v>5692</v>
      </c>
      <c r="E70" t="str">
        <v>Broiler Amarillo</v>
      </c>
      <c r="F70">
        <v>22</v>
      </c>
      <c r="G70">
        <v>0</v>
      </c>
      <c r="H70" t="str">
        <v>Abierto</v>
      </c>
      <c r="I70">
        <v>0.98299999999999998</v>
      </c>
      <c r="J70">
        <v>1.1195999999999999</v>
      </c>
      <c r="K70">
        <v>0.93300000000000005</v>
      </c>
      <c r="L70">
        <v>5900</v>
      </c>
      <c r="M70">
        <v>0</v>
      </c>
      <c r="N70">
        <v>169</v>
      </c>
      <c r="O70">
        <v>169</v>
      </c>
      <c r="P70">
        <v>11423</v>
      </c>
      <c r="Q70">
        <v>10575.475</v>
      </c>
      <c r="R70">
        <v>0.9721702127659575</v>
      </c>
      <c r="S70">
        <v>13.558301282051282</v>
      </c>
      <c r="T70">
        <v>13.558301282051282</v>
      </c>
      <c r="U70">
        <v>0.97216999999999998</v>
      </c>
      <c r="V70">
        <v>780</v>
      </c>
      <c r="W70" t="str">
        <v>36863-GABANDE LOPEZ EVA - 2 (VERNET)</v>
      </c>
    </row>
    <row r="71" spans="1:23" x14ac:dyDescent="0.25">
      <c r="A71" t="str">
        <v>2025-10-17</v>
      </c>
      <c r="B71" t="str">
        <v>36308-CAL CASO SCP-L:147-N:1-A:A13-POLLO AMARILLO MACHO</v>
      </c>
      <c r="C71" t="str">
        <v>POLLO AMARILLO MACHO</v>
      </c>
      <c r="D71">
        <v>5812</v>
      </c>
      <c r="E71" t="str">
        <v>Broiler Amarillo</v>
      </c>
      <c r="F71">
        <v>22</v>
      </c>
      <c r="G71">
        <v>0</v>
      </c>
      <c r="H71" t="str">
        <v>Abierto</v>
      </c>
      <c r="I71">
        <v>0.98299999999999998</v>
      </c>
      <c r="J71">
        <v>1.1195999999999999</v>
      </c>
      <c r="K71">
        <v>0.93300000000000005</v>
      </c>
      <c r="L71">
        <v>5900</v>
      </c>
      <c r="M71">
        <v>0</v>
      </c>
      <c r="N71">
        <v>49</v>
      </c>
      <c r="O71">
        <v>49</v>
      </c>
      <c r="P71">
        <v>11465</v>
      </c>
      <c r="Q71">
        <v>10625.653</v>
      </c>
      <c r="R71">
        <v>0.91720000000000002</v>
      </c>
      <c r="S71">
        <v>14.339612685560054</v>
      </c>
      <c r="T71">
        <v>14.339612685560054</v>
      </c>
      <c r="U71">
        <v>0.91720000000000002</v>
      </c>
      <c r="V71">
        <v>741</v>
      </c>
      <c r="W71" t="str">
        <v>36308-CAL CASO SCP</v>
      </c>
    </row>
    <row r="72" spans="1:23" x14ac:dyDescent="0.25">
      <c r="A72" t="str">
        <v>2025-10-17</v>
      </c>
      <c r="B72" t="str">
        <v>36811-FORCADES PEREZ JOSEP MARIA-L:076-N:5-A:A13-POLLO AMARILLO MACHO</v>
      </c>
      <c r="C72" t="str">
        <v>POLLO AMARILLO MACHO</v>
      </c>
      <c r="D72">
        <v>12560</v>
      </c>
      <c r="E72" t="str">
        <v>Broiler Amarillo</v>
      </c>
      <c r="F72">
        <v>22</v>
      </c>
      <c r="G72">
        <v>0</v>
      </c>
      <c r="H72" t="str">
        <v>Abierto</v>
      </c>
      <c r="I72">
        <v>0.97299999999999998</v>
      </c>
      <c r="J72">
        <v>1.0822799999999999</v>
      </c>
      <c r="K72">
        <v>0.93300000000000005</v>
      </c>
      <c r="L72">
        <v>13100</v>
      </c>
      <c r="M72">
        <v>0</v>
      </c>
      <c r="N72">
        <v>384</v>
      </c>
      <c r="O72">
        <v>384</v>
      </c>
      <c r="P72">
        <v>25376</v>
      </c>
      <c r="Q72">
        <v>23357.984</v>
      </c>
      <c r="R72">
        <v>1.0150399999999999</v>
      </c>
      <c r="S72">
        <v>16.042571428571428</v>
      </c>
      <c r="T72">
        <v>16.042571428571428</v>
      </c>
      <c r="U72">
        <v>1.0150399999999999</v>
      </c>
      <c r="V72">
        <v>1456</v>
      </c>
      <c r="W72" t="str">
        <v>36811-FORCADES PEREZ JOSEP MARIA</v>
      </c>
    </row>
    <row r="73" spans="1:23" x14ac:dyDescent="0.25">
      <c r="A73" t="str">
        <v>2025-10-17</v>
      </c>
      <c r="B73" t="str">
        <v>36811-FORCADES PEREZ JOSEP MARIA-L:076-N:1-A:A13-POLLO AMARILLO MACHO</v>
      </c>
      <c r="C73" t="str">
        <v>POLLO AMARILLO MACHO</v>
      </c>
      <c r="D73">
        <v>7453</v>
      </c>
      <c r="E73" t="str">
        <v>Broiler Amarillo</v>
      </c>
      <c r="F73">
        <v>22</v>
      </c>
      <c r="G73">
        <v>0</v>
      </c>
      <c r="H73" t="str">
        <v>Abierto</v>
      </c>
      <c r="I73">
        <v>0.96799999999999997</v>
      </c>
      <c r="J73">
        <v>1.06362</v>
      </c>
      <c r="K73">
        <v>0.93300000000000005</v>
      </c>
      <c r="L73">
        <v>7800</v>
      </c>
      <c r="M73">
        <v>0</v>
      </c>
      <c r="N73">
        <v>230</v>
      </c>
      <c r="O73">
        <v>230</v>
      </c>
      <c r="P73">
        <v>15123</v>
      </c>
      <c r="Q73">
        <v>13879.734</v>
      </c>
      <c r="R73">
        <v>1.0082</v>
      </c>
      <c r="S73">
        <v>16.233607017543861</v>
      </c>
      <c r="T73">
        <v>16.233607017543861</v>
      </c>
      <c r="U73">
        <v>1.0082</v>
      </c>
      <c r="V73">
        <v>855</v>
      </c>
      <c r="W73" t="str">
        <v>36811-FORCADES PEREZ JOSEP MARIA</v>
      </c>
    </row>
    <row r="74" spans="1:23" x14ac:dyDescent="0.25">
      <c r="A74" t="str">
        <v>2025-10-17</v>
      </c>
      <c r="B74" t="str">
        <v>36811-FORCADES PEREZ JOSEP MARIA-L:076-N:3-A:A15-POLLO AMARILLO MIXTO</v>
      </c>
      <c r="C74" t="str">
        <v>POLLO AMARILLO MIXTO</v>
      </c>
      <c r="D74">
        <v>8275</v>
      </c>
      <c r="E74" t="str">
        <v>Broiler Amarillo</v>
      </c>
      <c r="F74">
        <v>22</v>
      </c>
      <c r="G74">
        <v>0</v>
      </c>
      <c r="H74" t="str">
        <v>Abierto</v>
      </c>
      <c r="I74">
        <v>0.93500000000000005</v>
      </c>
      <c r="J74">
        <v>1.02451</v>
      </c>
      <c r="K74">
        <v>0.90100000000000002</v>
      </c>
      <c r="L74">
        <v>8550</v>
      </c>
      <c r="M74">
        <v>0</v>
      </c>
      <c r="N74">
        <v>249</v>
      </c>
      <c r="O74">
        <v>249</v>
      </c>
      <c r="P74">
        <v>8275</v>
      </c>
      <c r="Q74">
        <v>7737.125</v>
      </c>
      <c r="R74">
        <v>0.9194444444444444</v>
      </c>
      <c r="S74">
        <v>16.967379385964911</v>
      </c>
      <c r="T74">
        <v>16.967379385964911</v>
      </c>
      <c r="U74">
        <v>0.91944000000000004</v>
      </c>
      <c r="V74">
        <v>456</v>
      </c>
      <c r="W74" t="str">
        <v>36811-FORCADES PEREZ JOSEP MARIA</v>
      </c>
    </row>
    <row r="75" spans="1:23" x14ac:dyDescent="0.25">
      <c r="A75" t="str">
        <v>2025-10-17</v>
      </c>
      <c r="B75" t="str">
        <v>36811-FORCADES PEREZ JOSEP MARIA-L:076-N:4-A:A15-POLLO AMARILLO MIXTO</v>
      </c>
      <c r="C75" t="str">
        <v>POLLO AMARILLO MIXTO</v>
      </c>
      <c r="D75">
        <v>8223</v>
      </c>
      <c r="E75" t="str">
        <v>Broiler Amarillo</v>
      </c>
      <c r="F75">
        <v>22</v>
      </c>
      <c r="G75">
        <v>0</v>
      </c>
      <c r="H75" t="str">
        <v>Abierto</v>
      </c>
      <c r="I75">
        <v>0.93500000000000005</v>
      </c>
      <c r="J75">
        <v>1.02451</v>
      </c>
      <c r="K75">
        <v>0.90100000000000002</v>
      </c>
      <c r="L75">
        <v>8550</v>
      </c>
      <c r="M75">
        <v>0</v>
      </c>
      <c r="N75">
        <v>249</v>
      </c>
      <c r="O75">
        <v>249</v>
      </c>
      <c r="P75">
        <v>8223</v>
      </c>
      <c r="Q75">
        <v>7688.5050000000001</v>
      </c>
      <c r="R75">
        <v>0.91366666666666663</v>
      </c>
      <c r="S75">
        <v>16.860756578947367</v>
      </c>
      <c r="T75">
        <v>16.860756578947367</v>
      </c>
      <c r="U75">
        <v>0.91366999999999998</v>
      </c>
      <c r="V75">
        <v>456</v>
      </c>
      <c r="W75" t="str">
        <v>36811-FORCADES PEREZ JOSEP MARIA</v>
      </c>
    </row>
    <row r="76" spans="1:23" x14ac:dyDescent="0.25">
      <c r="A76" t="str">
        <v>2025-10-17</v>
      </c>
      <c r="B76" t="str">
        <v>36811-FORCADES PEREZ JOSEP MARIA-L:076-N:2-A:A13-POLLO AMARILLO MACHO</v>
      </c>
      <c r="C76" t="str">
        <v>POLLO AMARILLO MACHO</v>
      </c>
      <c r="D76">
        <v>7698</v>
      </c>
      <c r="E76" t="str">
        <v>Broiler Amarillo</v>
      </c>
      <c r="F76">
        <v>22</v>
      </c>
      <c r="G76">
        <v>0</v>
      </c>
      <c r="H76" t="str">
        <v>Abierto</v>
      </c>
      <c r="I76">
        <v>0.93300000000000005</v>
      </c>
      <c r="J76">
        <v>0.93300000000000005</v>
      </c>
      <c r="K76">
        <v>0.93300000000000005</v>
      </c>
      <c r="L76">
        <v>7800</v>
      </c>
      <c r="M76">
        <v>0</v>
      </c>
      <c r="N76">
        <v>102</v>
      </c>
      <c r="O76">
        <v>102</v>
      </c>
      <c r="P76">
        <v>15246</v>
      </c>
      <c r="Q76">
        <v>13960.338</v>
      </c>
      <c r="R76">
        <v>1.0164</v>
      </c>
      <c r="S76">
        <v>16.327880701754385</v>
      </c>
      <c r="T76">
        <v>16.327880701754385</v>
      </c>
      <c r="U76">
        <v>1.0164</v>
      </c>
      <c r="V76">
        <v>855</v>
      </c>
      <c r="W76" t="str">
        <v>36811-FORCADES PEREZ JOSEP MARIA</v>
      </c>
    </row>
    <row r="77" spans="1:23" x14ac:dyDescent="0.25">
      <c r="A77" t="str">
        <v>2025-10-17</v>
      </c>
      <c r="B77" t="str">
        <v>36034-ALCOLEA MARTI, EFREN-L:028-N:2-A:A13-POLLO AMARILLO MACHO</v>
      </c>
      <c r="C77" t="str">
        <v>POLLO AMARILLO MACHO</v>
      </c>
      <c r="D77">
        <v>18381</v>
      </c>
      <c r="E77" t="str">
        <v>Broiler Amarillo</v>
      </c>
      <c r="F77">
        <v>21</v>
      </c>
      <c r="G77">
        <v>0</v>
      </c>
      <c r="H77" t="str">
        <v>Abierto</v>
      </c>
      <c r="I77">
        <v>0.91600000000000004</v>
      </c>
      <c r="J77">
        <v>1.05705</v>
      </c>
      <c r="K77">
        <v>0.85799999999999998</v>
      </c>
      <c r="L77">
        <v>18800</v>
      </c>
      <c r="M77">
        <v>0</v>
      </c>
      <c r="N77">
        <v>359</v>
      </c>
      <c r="O77">
        <v>359</v>
      </c>
      <c r="P77">
        <v>37023</v>
      </c>
      <c r="Q77">
        <v>32980.968000000001</v>
      </c>
      <c r="R77">
        <v>0.92557500000000004</v>
      </c>
      <c r="S77">
        <v>16.36772605459057</v>
      </c>
      <c r="T77">
        <v>16.36772605459057</v>
      </c>
      <c r="U77">
        <v>0.92557999999999996</v>
      </c>
      <c r="V77">
        <v>2015</v>
      </c>
      <c r="W77" t="str">
        <v>36034-ALCOLEA MARTI, EFREN</v>
      </c>
    </row>
    <row r="78" spans="1:23" x14ac:dyDescent="0.25">
      <c r="A78" t="str">
        <v>2025-10-17</v>
      </c>
      <c r="B78" t="str">
        <v>36789-GABANDE LOPEZ EVA-1 (ALENTORN)-L:085-N:1-A:A13-POLLO AMARILLO MACHO</v>
      </c>
      <c r="C78" t="str">
        <v>POLLO AMARILLO MACHO</v>
      </c>
      <c r="D78">
        <v>4134</v>
      </c>
      <c r="E78" t="str">
        <v>Broiler Amarillo</v>
      </c>
      <c r="F78">
        <v>21</v>
      </c>
      <c r="G78">
        <v>0</v>
      </c>
      <c r="H78" t="str">
        <v>Abierto</v>
      </c>
      <c r="I78">
        <v>0.90800000000000003</v>
      </c>
      <c r="J78">
        <v>1.0296000000000001</v>
      </c>
      <c r="K78">
        <v>0.85799999999999998</v>
      </c>
      <c r="L78">
        <v>4300</v>
      </c>
      <c r="M78">
        <v>0</v>
      </c>
      <c r="N78">
        <v>130</v>
      </c>
      <c r="O78">
        <v>130</v>
      </c>
      <c r="P78">
        <v>8404</v>
      </c>
      <c r="Q78">
        <v>7191.0219999999999</v>
      </c>
      <c r="R78">
        <v>1.0505</v>
      </c>
      <c r="S78">
        <v>13.516958646616541</v>
      </c>
      <c r="T78">
        <v>13.516958646616541</v>
      </c>
      <c r="U78">
        <v>1.0505</v>
      </c>
      <c r="V78">
        <v>532</v>
      </c>
      <c r="W78" t="str">
        <v>36789-GABANDE LOPEZ EVA-1 (ALENTORN)</v>
      </c>
    </row>
    <row r="79" spans="1:23" x14ac:dyDescent="0.25">
      <c r="A79" t="str">
        <v>2025-10-17</v>
      </c>
      <c r="B79" t="str">
        <v>36863-GABANDE LOPEZ EVA - 2 (VERNET)-L:075-N:1-A:A13-POLLO AMARILLO MACHO</v>
      </c>
      <c r="C79" t="str">
        <v>POLLO AMARILLO MACHO</v>
      </c>
      <c r="D79">
        <v>5698</v>
      </c>
      <c r="E79" t="str">
        <v>Broiler Amarillo</v>
      </c>
      <c r="F79">
        <v>22</v>
      </c>
      <c r="G79">
        <v>0</v>
      </c>
      <c r="H79" t="str">
        <v>Abierto</v>
      </c>
      <c r="I79">
        <v>0.90400000000000003</v>
      </c>
      <c r="J79">
        <v>0.85077999999999998</v>
      </c>
      <c r="K79">
        <v>0.93300000000000005</v>
      </c>
      <c r="L79">
        <v>5900</v>
      </c>
      <c r="M79">
        <v>0</v>
      </c>
      <c r="N79">
        <v>169</v>
      </c>
      <c r="O79">
        <v>169</v>
      </c>
      <c r="P79">
        <v>11429</v>
      </c>
      <c r="Q79">
        <v>10131.231</v>
      </c>
      <c r="R79">
        <v>0.97268085106382973</v>
      </c>
      <c r="S79">
        <v>12.988757692307692</v>
      </c>
      <c r="T79">
        <v>12.988757692307692</v>
      </c>
      <c r="U79">
        <v>0.97267999999999999</v>
      </c>
      <c r="V79">
        <v>780</v>
      </c>
      <c r="W79" t="str">
        <v>36863-GABANDE LOPEZ EVA - 2 (VERNET)</v>
      </c>
    </row>
    <row r="80" spans="1:23" x14ac:dyDescent="0.25">
      <c r="A80" t="str">
        <v>2025-10-17</v>
      </c>
      <c r="B80" t="str">
        <v>36978-CORAL SANTACANA SLU-L:036-N:1-A:A13-POLLO AMARILLO MACHO</v>
      </c>
      <c r="C80" t="str">
        <v>POLLO AMARILLO MACHO</v>
      </c>
      <c r="D80">
        <v>6414</v>
      </c>
      <c r="E80" t="str">
        <v>Broiler Amarillo</v>
      </c>
      <c r="F80">
        <v>21</v>
      </c>
      <c r="G80">
        <v>0</v>
      </c>
      <c r="H80" t="str">
        <v>Abierto</v>
      </c>
      <c r="I80">
        <v>0.90100000000000002</v>
      </c>
      <c r="J80">
        <v>1.0280499999999999</v>
      </c>
      <c r="K80">
        <v>0.85799999999999998</v>
      </c>
      <c r="L80">
        <v>6600</v>
      </c>
      <c r="M80">
        <v>0</v>
      </c>
      <c r="N80">
        <v>186</v>
      </c>
      <c r="O80">
        <v>186</v>
      </c>
      <c r="P80">
        <v>13019</v>
      </c>
      <c r="Q80">
        <v>11327.214</v>
      </c>
      <c r="R80">
        <v>1.0390263367916999</v>
      </c>
      <c r="S80">
        <v>16.181734285714285</v>
      </c>
      <c r="T80">
        <v>16.181734285714285</v>
      </c>
      <c r="U80">
        <v>1.0390299999999999</v>
      </c>
      <c r="V80">
        <v>700</v>
      </c>
      <c r="W80" t="str">
        <v>36978-CORAL SANTACANA SLU</v>
      </c>
    </row>
    <row r="81" spans="1:23" x14ac:dyDescent="0.25">
      <c r="A81" t="str">
        <v>2025-10-17</v>
      </c>
      <c r="B81" t="str">
        <v>36789-GABANDE LOPEZ EVA-1 (ALENTORN)-L:085-N:2-A:A13-POLLO AMARILLO MACHO</v>
      </c>
      <c r="C81" t="str">
        <v>POLLO AMARILLO MACHO</v>
      </c>
      <c r="D81">
        <v>4233</v>
      </c>
      <c r="E81" t="str">
        <v>Broiler Amarillo</v>
      </c>
      <c r="F81">
        <v>21</v>
      </c>
      <c r="G81">
        <v>0</v>
      </c>
      <c r="H81" t="str">
        <v>Abierto</v>
      </c>
      <c r="I81">
        <v>0.89800000000000002</v>
      </c>
      <c r="J81">
        <v>0.99528000000000005</v>
      </c>
      <c r="K81">
        <v>0.85799999999999998</v>
      </c>
      <c r="L81">
        <v>4300</v>
      </c>
      <c r="M81">
        <v>0</v>
      </c>
      <c r="N81">
        <v>31</v>
      </c>
      <c r="O81">
        <v>31</v>
      </c>
      <c r="P81">
        <v>8655</v>
      </c>
      <c r="Q81">
        <v>7360.9440000000004</v>
      </c>
      <c r="R81">
        <v>1.0818749999999999</v>
      </c>
      <c r="S81">
        <v>13.83636090225564</v>
      </c>
      <c r="T81">
        <v>13.83636090225564</v>
      </c>
      <c r="U81">
        <v>1.08188</v>
      </c>
      <c r="V81">
        <v>532</v>
      </c>
      <c r="W81" t="str">
        <v>36789-GABANDE LOPEZ EVA-1 (ALENTORN)</v>
      </c>
    </row>
    <row r="82" spans="1:23" x14ac:dyDescent="0.25">
      <c r="A82" t="str">
        <v>2025-10-17</v>
      </c>
      <c r="B82" t="str">
        <v>36811-FORCADES PEREZ JOSEP MARIA-L:076-N:2-A:A14-POLLO AMARILLO HEMBRAS</v>
      </c>
      <c r="C82" t="str">
        <v>POLLO AMARILLO HEMBRAS</v>
      </c>
      <c r="D82">
        <v>7548</v>
      </c>
      <c r="E82" t="str">
        <v>Broiler Amarillo</v>
      </c>
      <c r="F82">
        <v>22</v>
      </c>
      <c r="G82">
        <v>0</v>
      </c>
      <c r="H82" t="str">
        <v>Abierto</v>
      </c>
      <c r="I82">
        <v>0.89800000000000002</v>
      </c>
      <c r="J82">
        <v>0.97102999999999995</v>
      </c>
      <c r="K82">
        <v>0.86899999999999999</v>
      </c>
      <c r="L82">
        <v>7800</v>
      </c>
      <c r="M82">
        <v>0</v>
      </c>
      <c r="N82">
        <v>135</v>
      </c>
      <c r="O82">
        <v>135</v>
      </c>
      <c r="P82">
        <v>15246</v>
      </c>
      <c r="Q82">
        <v>13960.338</v>
      </c>
      <c r="R82">
        <v>1.0164</v>
      </c>
      <c r="S82">
        <v>16.327880701754385</v>
      </c>
      <c r="T82">
        <v>16.327880701754385</v>
      </c>
      <c r="U82">
        <v>1.0164</v>
      </c>
      <c r="V82">
        <v>855</v>
      </c>
      <c r="W82" t="str">
        <v>36811-FORCADES PEREZ JOSEP MARIA</v>
      </c>
    </row>
    <row r="83" spans="1:23" x14ac:dyDescent="0.25">
      <c r="A83" t="str">
        <v>2025-10-17</v>
      </c>
      <c r="B83" t="str">
        <v>36978-CORAL SANTACANA SLU-L:036-N:3-A:A13-POLLO AMARILLO MACHO</v>
      </c>
      <c r="C83" t="str">
        <v>POLLO AMARILLO MACHO</v>
      </c>
      <c r="D83">
        <v>10391</v>
      </c>
      <c r="E83" t="str">
        <v>Broiler Amarillo</v>
      </c>
      <c r="F83">
        <v>21</v>
      </c>
      <c r="G83">
        <v>0</v>
      </c>
      <c r="H83" t="str">
        <v>Abierto</v>
      </c>
      <c r="I83">
        <v>0.88600000000000001</v>
      </c>
      <c r="J83">
        <v>0.96870000000000001</v>
      </c>
      <c r="K83">
        <v>0.85799999999999998</v>
      </c>
      <c r="L83">
        <v>10700</v>
      </c>
      <c r="M83">
        <v>0</v>
      </c>
      <c r="N83">
        <v>309</v>
      </c>
      <c r="O83">
        <v>309</v>
      </c>
      <c r="P83">
        <v>20978</v>
      </c>
      <c r="Q83">
        <v>17728.960999999999</v>
      </c>
      <c r="R83">
        <v>1.0139197680038665</v>
      </c>
      <c r="S83">
        <v>15.336471453287198</v>
      </c>
      <c r="T83">
        <v>15.336471453287198</v>
      </c>
      <c r="U83">
        <v>1.0139199999999999</v>
      </c>
      <c r="V83">
        <v>1156</v>
      </c>
      <c r="W83" t="str">
        <v>36978-CORAL SANTACANA SLU</v>
      </c>
    </row>
    <row r="84" spans="1:23" x14ac:dyDescent="0.25">
      <c r="A84" t="str">
        <v>2025-10-17</v>
      </c>
      <c r="B84" t="str">
        <v>36308-CAL CASO SCP-L:147-N:2-A:A14-POLLO AMARILLO HEMBRAS</v>
      </c>
      <c r="C84" t="str">
        <v>POLLO AMARILLO HEMBRAS</v>
      </c>
      <c r="D84">
        <v>5731</v>
      </c>
      <c r="E84" t="str">
        <v>Broiler Amarillo</v>
      </c>
      <c r="F84">
        <v>22</v>
      </c>
      <c r="G84">
        <v>0</v>
      </c>
      <c r="H84" t="str">
        <v>Abierto</v>
      </c>
      <c r="I84">
        <v>0.86899999999999999</v>
      </c>
      <c r="J84">
        <v>0.86899999999999999</v>
      </c>
      <c r="K84">
        <v>0.86899999999999999</v>
      </c>
      <c r="L84">
        <v>5900</v>
      </c>
      <c r="M84">
        <v>0</v>
      </c>
      <c r="N84">
        <v>169</v>
      </c>
      <c r="O84">
        <v>169</v>
      </c>
      <c r="P84">
        <v>11423</v>
      </c>
      <c r="Q84">
        <v>10575.475</v>
      </c>
      <c r="R84">
        <v>0.91383999999999999</v>
      </c>
      <c r="S84">
        <v>14.27189608636977</v>
      </c>
      <c r="T84">
        <v>14.27189608636977</v>
      </c>
      <c r="U84">
        <v>0.91383999999999999</v>
      </c>
      <c r="V84">
        <v>741</v>
      </c>
      <c r="W84" t="str">
        <v>36308-CAL CASO SCP</v>
      </c>
    </row>
    <row r="85" spans="1:23" x14ac:dyDescent="0.25">
      <c r="A85" t="str">
        <v>2025-10-17</v>
      </c>
      <c r="B85" t="str">
        <v>36863-GABANDE LOPEZ EVA - 2 (VERNET)-L:075-N:1-A:A14-POLLO AMARILLO HEMBRAS</v>
      </c>
      <c r="C85" t="str">
        <v>POLLO AMARILLO HEMBRAS</v>
      </c>
      <c r="D85">
        <v>5731</v>
      </c>
      <c r="E85" t="str">
        <v>Broiler Amarillo</v>
      </c>
      <c r="F85">
        <v>22</v>
      </c>
      <c r="G85">
        <v>0</v>
      </c>
      <c r="H85" t="str">
        <v>Abierto</v>
      </c>
      <c r="I85">
        <v>0.86899999999999999</v>
      </c>
      <c r="J85">
        <v>0.86899999999999999</v>
      </c>
      <c r="K85">
        <v>0.86899999999999999</v>
      </c>
      <c r="L85">
        <v>5900</v>
      </c>
      <c r="M85">
        <v>0</v>
      </c>
      <c r="N85">
        <v>169</v>
      </c>
      <c r="O85">
        <v>169</v>
      </c>
      <c r="P85">
        <v>11429</v>
      </c>
      <c r="Q85">
        <v>10131.231</v>
      </c>
      <c r="R85">
        <v>0.97268085106382973</v>
      </c>
      <c r="S85">
        <v>12.988757692307692</v>
      </c>
      <c r="T85">
        <v>12.988757692307692</v>
      </c>
      <c r="U85">
        <v>0.97267999999999999</v>
      </c>
      <c r="V85">
        <v>780</v>
      </c>
      <c r="W85" t="str">
        <v>36863-GABANDE LOPEZ EVA - 2 (VERNET)</v>
      </c>
    </row>
    <row r="86" spans="1:23" x14ac:dyDescent="0.25">
      <c r="A86" t="str">
        <v>2025-10-17</v>
      </c>
      <c r="B86" t="str">
        <v>36811-FORCADES PEREZ JOSEP MARIA-L:076-N:1-A:A14-POLLO AMARILLO HEMBRAS</v>
      </c>
      <c r="C86" t="str">
        <v>POLLO AMARILLO HEMBRAS</v>
      </c>
      <c r="D86">
        <v>7670</v>
      </c>
      <c r="E86" t="str">
        <v>Broiler Amarillo</v>
      </c>
      <c r="F86">
        <v>22</v>
      </c>
      <c r="G86">
        <v>0</v>
      </c>
      <c r="H86" t="str">
        <v>Abierto</v>
      </c>
      <c r="I86">
        <v>0.86899999999999999</v>
      </c>
      <c r="J86">
        <v>0.86899999999999999</v>
      </c>
      <c r="K86">
        <v>0.86899999999999999</v>
      </c>
      <c r="L86">
        <v>7900</v>
      </c>
      <c r="M86">
        <v>0</v>
      </c>
      <c r="N86">
        <v>230</v>
      </c>
      <c r="O86">
        <v>230</v>
      </c>
      <c r="P86">
        <v>15123</v>
      </c>
      <c r="Q86">
        <v>13879.734</v>
      </c>
      <c r="R86">
        <v>1.0082</v>
      </c>
      <c r="S86">
        <v>16.233607017543861</v>
      </c>
      <c r="T86">
        <v>16.233607017543861</v>
      </c>
      <c r="U86">
        <v>1.0082</v>
      </c>
      <c r="V86">
        <v>855</v>
      </c>
      <c r="W86" t="str">
        <v>36811-FORCADES PEREZ JOSEP MARIA</v>
      </c>
    </row>
    <row r="87" spans="1:23" x14ac:dyDescent="0.25">
      <c r="A87" t="str">
        <v>2025-10-17</v>
      </c>
      <c r="B87" t="str">
        <v>36811-FORCADES PEREZ JOSEP MARIA-L:076-N:5-A:A14-POLLO AMARILLO HEMBRAS</v>
      </c>
      <c r="C87" t="str">
        <v>POLLO AMARILLO HEMBRAS</v>
      </c>
      <c r="D87">
        <v>12816</v>
      </c>
      <c r="E87" t="str">
        <v>Broiler Amarillo</v>
      </c>
      <c r="F87">
        <v>22</v>
      </c>
      <c r="G87">
        <v>0</v>
      </c>
      <c r="H87" t="str">
        <v>Abierto</v>
      </c>
      <c r="I87">
        <v>0.86899999999999999</v>
      </c>
      <c r="J87">
        <v>0.86899999999999999</v>
      </c>
      <c r="K87">
        <v>0.86899999999999999</v>
      </c>
      <c r="L87">
        <v>13200</v>
      </c>
      <c r="M87">
        <v>0</v>
      </c>
      <c r="N87">
        <v>384</v>
      </c>
      <c r="O87">
        <v>384</v>
      </c>
      <c r="P87">
        <v>25376</v>
      </c>
      <c r="Q87">
        <v>23357.984</v>
      </c>
      <c r="R87">
        <v>1.0150399999999999</v>
      </c>
      <c r="S87">
        <v>16.042571428571428</v>
      </c>
      <c r="T87">
        <v>16.042571428571428</v>
      </c>
      <c r="U87">
        <v>1.0150399999999999</v>
      </c>
      <c r="V87">
        <v>1456</v>
      </c>
      <c r="W87" t="str">
        <v>36811-FORCADES PEREZ JOSEP MARIA</v>
      </c>
    </row>
    <row r="88" spans="1:23" x14ac:dyDescent="0.25">
      <c r="A88" t="str">
        <v>2025-10-17</v>
      </c>
      <c r="B88" t="str">
        <v>36308-CAL CASO SCP-L:147-N:1-A:A14-POLLO AMARILLO HEMBRAS</v>
      </c>
      <c r="C88" t="str">
        <v>POLLO AMARILLO HEMBRAS</v>
      </c>
      <c r="D88">
        <v>5653</v>
      </c>
      <c r="E88" t="str">
        <v>Broiler Amarillo</v>
      </c>
      <c r="F88">
        <v>22</v>
      </c>
      <c r="G88">
        <v>0</v>
      </c>
      <c r="H88" t="str">
        <v>Abierto</v>
      </c>
      <c r="I88">
        <v>0.86899999999999999</v>
      </c>
      <c r="J88">
        <v>0.86899999999999999</v>
      </c>
      <c r="K88">
        <v>0.86899999999999999</v>
      </c>
      <c r="L88">
        <v>5800</v>
      </c>
      <c r="M88">
        <v>0</v>
      </c>
      <c r="N88">
        <v>147</v>
      </c>
      <c r="O88">
        <v>147</v>
      </c>
      <c r="P88">
        <v>11465</v>
      </c>
      <c r="Q88">
        <v>10625.653</v>
      </c>
      <c r="R88">
        <v>0.91720000000000002</v>
      </c>
      <c r="S88">
        <v>14.339612685560054</v>
      </c>
      <c r="T88">
        <v>14.339612685560054</v>
      </c>
      <c r="U88">
        <v>0.91720000000000002</v>
      </c>
      <c r="V88">
        <v>741</v>
      </c>
      <c r="W88" t="str">
        <v>36308-CAL CASO SCP</v>
      </c>
    </row>
    <row r="89" spans="1:23" x14ac:dyDescent="0.25">
      <c r="A89" t="str">
        <v>2025-10-17</v>
      </c>
      <c r="B89" t="str">
        <v>36863-GABANDE LOPEZ EVA - 2 (VERNET)-L:075-N:2-A:A14-POLLO AMARILLO HEMBRAS</v>
      </c>
      <c r="C89" t="str">
        <v>POLLO AMARILLO HEMBRAS</v>
      </c>
      <c r="D89">
        <v>5731</v>
      </c>
      <c r="E89" t="str">
        <v>Broiler Amarillo</v>
      </c>
      <c r="F89">
        <v>22</v>
      </c>
      <c r="G89">
        <v>0</v>
      </c>
      <c r="H89" t="str">
        <v>Abierto</v>
      </c>
      <c r="I89">
        <v>0.86899999999999999</v>
      </c>
      <c r="J89">
        <v>0.86899999999999999</v>
      </c>
      <c r="K89">
        <v>0.86899999999999999</v>
      </c>
      <c r="L89">
        <v>5900</v>
      </c>
      <c r="M89">
        <v>0</v>
      </c>
      <c r="N89">
        <v>169</v>
      </c>
      <c r="O89">
        <v>169</v>
      </c>
      <c r="P89">
        <v>11423</v>
      </c>
      <c r="Q89">
        <v>10575.475</v>
      </c>
      <c r="R89">
        <v>0.9721702127659575</v>
      </c>
      <c r="S89">
        <v>13.558301282051282</v>
      </c>
      <c r="T89">
        <v>13.558301282051282</v>
      </c>
      <c r="U89">
        <v>0.97216999999999998</v>
      </c>
      <c r="V89">
        <v>780</v>
      </c>
      <c r="W89" t="str">
        <v>36863-GABANDE LOPEZ EVA - 2 (VERNET)</v>
      </c>
    </row>
    <row r="90" spans="1:23" x14ac:dyDescent="0.25">
      <c r="A90" t="str">
        <v>2025-10-17</v>
      </c>
      <c r="B90" t="str">
        <v>36034-ALCOLEA MARTI, EFREN-L:028-N:2-A:A14-POLLO AMARILLO HEMBRAS</v>
      </c>
      <c r="C90" t="str">
        <v>POLLO AMARILLO HEMBRAS</v>
      </c>
      <c r="D90">
        <v>18642</v>
      </c>
      <c r="E90" t="str">
        <v>Broiler Amarillo</v>
      </c>
      <c r="F90">
        <v>21</v>
      </c>
      <c r="G90">
        <v>0</v>
      </c>
      <c r="H90" t="str">
        <v>Abierto</v>
      </c>
      <c r="I90">
        <v>0.86599999999999999</v>
      </c>
      <c r="J90">
        <v>1.00383</v>
      </c>
      <c r="K90">
        <v>0.80500000000000005</v>
      </c>
      <c r="L90">
        <v>18900</v>
      </c>
      <c r="M90">
        <v>0</v>
      </c>
      <c r="N90">
        <v>198</v>
      </c>
      <c r="O90">
        <v>198</v>
      </c>
      <c r="P90">
        <v>37023</v>
      </c>
      <c r="Q90">
        <v>32980.968000000001</v>
      </c>
      <c r="R90">
        <v>0.92557500000000004</v>
      </c>
      <c r="S90">
        <v>16.36772605459057</v>
      </c>
      <c r="T90">
        <v>16.36772605459057</v>
      </c>
      <c r="U90">
        <v>0.92557999999999996</v>
      </c>
      <c r="V90">
        <v>2015</v>
      </c>
      <c r="W90" t="str">
        <v>36034-ALCOLEA MARTI, EFREN</v>
      </c>
    </row>
    <row r="91" spans="1:23" x14ac:dyDescent="0.25">
      <c r="A91" t="str">
        <v>2025-10-17</v>
      </c>
      <c r="B91" t="str">
        <v>36731-BLASI INGLA JAUME-L:121-N:1-A:A13-POLLO AMARILLO MACHO</v>
      </c>
      <c r="C91" t="str">
        <v>POLLO AMARILLO MACHO</v>
      </c>
      <c r="D91">
        <v>11368</v>
      </c>
      <c r="E91" t="str">
        <v>Broiler Amarillo</v>
      </c>
      <c r="F91">
        <v>21</v>
      </c>
      <c r="G91">
        <v>0</v>
      </c>
      <c r="H91" t="str">
        <v>Abierto</v>
      </c>
      <c r="I91">
        <v>0.85799999999999998</v>
      </c>
      <c r="J91">
        <v>0.85799999999999998</v>
      </c>
      <c r="K91">
        <v>0.85799999999999998</v>
      </c>
      <c r="L91">
        <v>11700</v>
      </c>
      <c r="M91">
        <v>0</v>
      </c>
      <c r="N91">
        <v>332</v>
      </c>
      <c r="O91">
        <v>332</v>
      </c>
      <c r="P91">
        <v>22928</v>
      </c>
      <c r="Q91">
        <v>19059.544000000002</v>
      </c>
      <c r="R91">
        <v>0.91712000000000005</v>
      </c>
      <c r="S91">
        <v>13.347019607843137</v>
      </c>
      <c r="T91">
        <v>13.347019607843137</v>
      </c>
      <c r="U91">
        <v>0.91712000000000005</v>
      </c>
      <c r="V91">
        <v>1428</v>
      </c>
      <c r="W91" t="str">
        <v>36731-BLASI INGLA JAUME</v>
      </c>
    </row>
    <row r="92" spans="1:23" x14ac:dyDescent="0.25">
      <c r="A92" t="str">
        <v>2025-10-17</v>
      </c>
      <c r="B92" t="str">
        <v>36978-CORAL SANTACANA SLU-L:036-N:2-A:A13-POLLO AMARILLO MACHO</v>
      </c>
      <c r="C92" t="str">
        <v>POLLO AMARILLO MACHO</v>
      </c>
      <c r="D92">
        <v>8354</v>
      </c>
      <c r="E92" t="str">
        <v>Broiler Amarillo</v>
      </c>
      <c r="F92">
        <v>21</v>
      </c>
      <c r="G92">
        <v>0</v>
      </c>
      <c r="H92" t="str">
        <v>Abierto</v>
      </c>
      <c r="I92">
        <v>0.85799999999999998</v>
      </c>
      <c r="J92">
        <v>0.85799999999999998</v>
      </c>
      <c r="K92">
        <v>0.85799999999999998</v>
      </c>
      <c r="L92">
        <v>8600</v>
      </c>
      <c r="M92">
        <v>0</v>
      </c>
      <c r="N92">
        <v>246</v>
      </c>
      <c r="O92">
        <v>246</v>
      </c>
      <c r="P92">
        <v>17001</v>
      </c>
      <c r="Q92">
        <v>14431.212</v>
      </c>
      <c r="R92">
        <v>1.0283692233244617</v>
      </c>
      <c r="S92">
        <v>15.618194805194806</v>
      </c>
      <c r="T92">
        <v>15.618194805194806</v>
      </c>
      <c r="U92">
        <v>1.02837</v>
      </c>
      <c r="V92">
        <v>924</v>
      </c>
      <c r="W92" t="str">
        <v>36978-CORAL SANTACANA SLU</v>
      </c>
    </row>
    <row r="93" spans="1:23" x14ac:dyDescent="0.25">
      <c r="A93" t="str">
        <v>2025-10-17</v>
      </c>
      <c r="B93" t="str">
        <v>36978-CORAL SANTACANA SLU-L:036-N:2-A:A14-POLLO AMARILLO HEMBRAS</v>
      </c>
      <c r="C93" t="str">
        <v>POLLO AMARILLO HEMBRAS</v>
      </c>
      <c r="D93">
        <v>8647</v>
      </c>
      <c r="E93" t="str">
        <v>Broiler Amarillo</v>
      </c>
      <c r="F93">
        <v>21</v>
      </c>
      <c r="G93">
        <v>0</v>
      </c>
      <c r="H93" t="str">
        <v>Abierto</v>
      </c>
      <c r="I93">
        <v>0.84</v>
      </c>
      <c r="J93">
        <v>0.93606</v>
      </c>
      <c r="K93">
        <v>0.80500000000000005</v>
      </c>
      <c r="L93">
        <v>8900</v>
      </c>
      <c r="M93">
        <v>0</v>
      </c>
      <c r="N93">
        <v>253</v>
      </c>
      <c r="O93">
        <v>253</v>
      </c>
      <c r="P93">
        <v>17001</v>
      </c>
      <c r="Q93">
        <v>14431.212</v>
      </c>
      <c r="R93">
        <v>1.0283692233244617</v>
      </c>
      <c r="S93">
        <v>15.618194805194806</v>
      </c>
      <c r="T93">
        <v>15.618194805194806</v>
      </c>
      <c r="U93">
        <v>1.02837</v>
      </c>
      <c r="V93">
        <v>924</v>
      </c>
      <c r="W93" t="str">
        <v>36978-CORAL SANTACANA SLU</v>
      </c>
    </row>
    <row r="94" spans="1:23" x14ac:dyDescent="0.25">
      <c r="A94" t="str">
        <v>2025-10-17</v>
      </c>
      <c r="B94" t="str">
        <v>36978-CORAL SANTACANA SLU-L:036-N:1-A:A14-POLLO AMARILLO HEMBRAS</v>
      </c>
      <c r="C94" t="str">
        <v>POLLO AMARILLO HEMBRAS</v>
      </c>
      <c r="D94">
        <v>6605</v>
      </c>
      <c r="E94" t="str">
        <v>Broiler Amarillo</v>
      </c>
      <c r="F94">
        <v>21</v>
      </c>
      <c r="G94">
        <v>0</v>
      </c>
      <c r="H94" t="str">
        <v>Abierto</v>
      </c>
      <c r="I94">
        <v>0.84</v>
      </c>
      <c r="J94">
        <v>0.93606</v>
      </c>
      <c r="K94">
        <v>0.80500000000000005</v>
      </c>
      <c r="L94">
        <v>6800</v>
      </c>
      <c r="M94">
        <v>0</v>
      </c>
      <c r="N94">
        <v>195</v>
      </c>
      <c r="O94">
        <v>195</v>
      </c>
      <c r="P94">
        <v>13019</v>
      </c>
      <c r="Q94">
        <v>11327.214</v>
      </c>
      <c r="R94">
        <v>1.0390263367916999</v>
      </c>
      <c r="S94">
        <v>16.181734285714285</v>
      </c>
      <c r="T94">
        <v>16.181734285714285</v>
      </c>
      <c r="U94">
        <v>1.0390299999999999</v>
      </c>
      <c r="V94">
        <v>700</v>
      </c>
      <c r="W94" t="str">
        <v>36978-CORAL SANTACANA SLU</v>
      </c>
    </row>
    <row r="95" spans="1:23" x14ac:dyDescent="0.25">
      <c r="A95" t="str">
        <v>2025-10-17</v>
      </c>
      <c r="B95" t="str">
        <v>36789-GABANDE LOPEZ EVA-1 (ALENTORN)-L:085-N:1-A:A14-POLLO AMARILLO HEMBRAS</v>
      </c>
      <c r="C95" t="str">
        <v>POLLO AMARILLO HEMBRAS</v>
      </c>
      <c r="D95">
        <v>4270</v>
      </c>
      <c r="E95" t="str">
        <v>Broiler Amarillo</v>
      </c>
      <c r="F95">
        <v>21</v>
      </c>
      <c r="G95">
        <v>0</v>
      </c>
      <c r="H95" t="str">
        <v>Abierto</v>
      </c>
      <c r="I95">
        <v>0.80500000000000005</v>
      </c>
      <c r="J95">
        <v>0.80500000000000005</v>
      </c>
      <c r="K95">
        <v>0.80500000000000005</v>
      </c>
      <c r="L95">
        <v>4400</v>
      </c>
      <c r="M95">
        <v>0</v>
      </c>
      <c r="N95">
        <v>130</v>
      </c>
      <c r="O95">
        <v>130</v>
      </c>
      <c r="P95">
        <v>8404</v>
      </c>
      <c r="Q95">
        <v>7191.0219999999999</v>
      </c>
      <c r="R95">
        <v>1.0505</v>
      </c>
      <c r="S95">
        <v>13.516958646616541</v>
      </c>
      <c r="T95">
        <v>13.516958646616541</v>
      </c>
      <c r="U95">
        <v>1.0505</v>
      </c>
      <c r="V95">
        <v>532</v>
      </c>
      <c r="W95" t="str">
        <v>36789-GABANDE LOPEZ EVA-1 (ALENTORN)</v>
      </c>
    </row>
    <row r="96" spans="1:23" x14ac:dyDescent="0.25">
      <c r="A96" t="str">
        <v>2025-10-17</v>
      </c>
      <c r="B96" t="str">
        <v>36789-GABANDE LOPEZ EVA-1 (ALENTORN)-L:085-N:2-A:A14-POLLO AMARILLO HEMBRAS</v>
      </c>
      <c r="C96" t="str">
        <v>POLLO AMARILLO HEMBRAS</v>
      </c>
      <c r="D96">
        <v>4422</v>
      </c>
      <c r="E96" t="str">
        <v>Broiler Amarillo</v>
      </c>
      <c r="F96">
        <v>21</v>
      </c>
      <c r="G96">
        <v>0</v>
      </c>
      <c r="H96" t="str">
        <v>Abierto</v>
      </c>
      <c r="I96">
        <v>0.80500000000000005</v>
      </c>
      <c r="J96">
        <v>0.80500000000000005</v>
      </c>
      <c r="K96">
        <v>0.80500000000000005</v>
      </c>
      <c r="L96">
        <v>4500</v>
      </c>
      <c r="M96">
        <v>0</v>
      </c>
      <c r="N96">
        <v>78</v>
      </c>
      <c r="O96">
        <v>78</v>
      </c>
      <c r="P96">
        <v>8655</v>
      </c>
      <c r="Q96">
        <v>7360.9440000000004</v>
      </c>
      <c r="R96">
        <v>1.0818749999999999</v>
      </c>
      <c r="S96">
        <v>13.83636090225564</v>
      </c>
      <c r="T96">
        <v>13.83636090225564</v>
      </c>
      <c r="U96">
        <v>1.08188</v>
      </c>
      <c r="V96">
        <v>532</v>
      </c>
      <c r="W96" t="str">
        <v>36789-GABANDE LOPEZ EVA-1 (ALENTORN)</v>
      </c>
    </row>
    <row r="97" spans="1:23" x14ac:dyDescent="0.25">
      <c r="A97" t="str">
        <v>2025-10-17</v>
      </c>
      <c r="B97" t="str">
        <v>36731-BLASI INGLA JAUME-L:121-N:1-A:A14-POLLO AMARILLO HEMBRAS</v>
      </c>
      <c r="C97" t="str">
        <v>POLLO AMARILLO HEMBRAS</v>
      </c>
      <c r="D97">
        <v>11560</v>
      </c>
      <c r="E97" t="str">
        <v>Broiler Amarillo</v>
      </c>
      <c r="F97">
        <v>21</v>
      </c>
      <c r="G97">
        <v>0</v>
      </c>
      <c r="H97" t="str">
        <v>Abierto</v>
      </c>
      <c r="I97">
        <v>0.80500000000000005</v>
      </c>
      <c r="J97">
        <v>0.80500000000000005</v>
      </c>
      <c r="K97">
        <v>0.80500000000000005</v>
      </c>
      <c r="L97">
        <v>11900</v>
      </c>
      <c r="M97">
        <v>0</v>
      </c>
      <c r="N97">
        <v>340</v>
      </c>
      <c r="O97">
        <v>340</v>
      </c>
      <c r="P97">
        <v>22928</v>
      </c>
      <c r="Q97">
        <v>19059.544000000002</v>
      </c>
      <c r="R97">
        <v>0.91712000000000005</v>
      </c>
      <c r="S97">
        <v>13.347019607843137</v>
      </c>
      <c r="T97">
        <v>13.347019607843137</v>
      </c>
      <c r="U97">
        <v>0.91712000000000005</v>
      </c>
      <c r="V97">
        <v>1428</v>
      </c>
      <c r="W97" t="str">
        <v>36731-BLASI INGLA JAUME</v>
      </c>
    </row>
    <row r="98" spans="1:23" x14ac:dyDescent="0.25">
      <c r="A98" t="str">
        <v>2025-10-17</v>
      </c>
      <c r="B98" t="str">
        <v>36978-CORAL SANTACANA SLU-L:036-N:3-A:A14-POLLO AMARILLO HEMBRAS</v>
      </c>
      <c r="C98" t="str">
        <v>POLLO AMARILLO HEMBRAS</v>
      </c>
      <c r="D98">
        <v>10587</v>
      </c>
      <c r="E98" t="str">
        <v>Broiler Amarillo</v>
      </c>
      <c r="F98">
        <v>21</v>
      </c>
      <c r="G98">
        <v>0</v>
      </c>
      <c r="H98" t="str">
        <v>Abierto</v>
      </c>
      <c r="I98">
        <v>0.80500000000000005</v>
      </c>
      <c r="J98">
        <v>0.80500000000000005</v>
      </c>
      <c r="K98">
        <v>0.80500000000000005</v>
      </c>
      <c r="L98">
        <v>10900</v>
      </c>
      <c r="M98">
        <v>0</v>
      </c>
      <c r="N98">
        <v>313</v>
      </c>
      <c r="O98">
        <v>313</v>
      </c>
      <c r="P98">
        <v>20978</v>
      </c>
      <c r="Q98">
        <v>17728.960999999999</v>
      </c>
      <c r="R98">
        <v>1.0139197680038665</v>
      </c>
      <c r="S98">
        <v>15.336471453287198</v>
      </c>
      <c r="T98">
        <v>15.336471453287198</v>
      </c>
      <c r="U98">
        <v>1.0139199999999999</v>
      </c>
      <c r="V98">
        <v>1156</v>
      </c>
      <c r="W98" t="str">
        <v>36978-CORAL SANTACANA SLU</v>
      </c>
    </row>
    <row r="99" spans="1:23" x14ac:dyDescent="0.25">
      <c r="A99" t="str">
        <v>2025-10-17</v>
      </c>
      <c r="B99" t="str">
        <v>36588-PELEGRI SCP (Ns 6,7)-L:063-N:6-A:A13-POLLO AMARILLO MACHO</v>
      </c>
      <c r="C99" t="str">
        <v>POLLO AMARILLO MACHO</v>
      </c>
      <c r="D99">
        <v>13259</v>
      </c>
      <c r="E99" t="str">
        <v>Broiler Amarillo</v>
      </c>
      <c r="F99">
        <v>18</v>
      </c>
      <c r="G99">
        <v>0</v>
      </c>
      <c r="H99" t="str">
        <v>Abierto</v>
      </c>
      <c r="I99">
        <v>0.73699999999999999</v>
      </c>
      <c r="J99">
        <v>0.90417000000000003</v>
      </c>
      <c r="K99">
        <v>0.65400000000000003</v>
      </c>
      <c r="L99">
        <v>13500</v>
      </c>
      <c r="M99">
        <v>0</v>
      </c>
      <c r="N99">
        <v>211</v>
      </c>
      <c r="O99">
        <v>211</v>
      </c>
      <c r="P99">
        <v>26497</v>
      </c>
      <c r="Q99">
        <v>18005.919000000002</v>
      </c>
      <c r="R99">
        <v>0.98137037037037034</v>
      </c>
      <c r="S99">
        <v>12.003945999999999</v>
      </c>
      <c r="T99">
        <v>12.003945999999999</v>
      </c>
      <c r="U99">
        <v>0.98136999999999996</v>
      </c>
      <c r="V99">
        <v>1500</v>
      </c>
      <c r="W99" t="str">
        <v>36588-PELEGRI SCP (Ns 6,7)</v>
      </c>
    </row>
    <row r="100" spans="1:23" x14ac:dyDescent="0.25">
      <c r="A100" t="str">
        <v>2025-10-17</v>
      </c>
      <c r="B100" t="str">
        <v>36588-PELEGRI SCP (Ns 6,7)-L:063-N:7-A:A13-POLLO AMARILLO MACHO</v>
      </c>
      <c r="C100" t="str">
        <v>POLLO AMARILLO MACHO</v>
      </c>
      <c r="D100">
        <v>13094</v>
      </c>
      <c r="E100" t="str">
        <v>Broiler Amarillo</v>
      </c>
      <c r="F100">
        <v>18</v>
      </c>
      <c r="G100">
        <v>0</v>
      </c>
      <c r="H100" t="str">
        <v>Abierto</v>
      </c>
      <c r="I100">
        <v>0.73699999999999999</v>
      </c>
      <c r="J100">
        <v>0.90417000000000003</v>
      </c>
      <c r="K100">
        <v>0.65400000000000003</v>
      </c>
      <c r="L100">
        <v>13500</v>
      </c>
      <c r="M100">
        <v>0</v>
      </c>
      <c r="N100">
        <v>376</v>
      </c>
      <c r="O100">
        <v>376</v>
      </c>
      <c r="P100">
        <v>26218</v>
      </c>
      <c r="Q100">
        <v>17813.405999999999</v>
      </c>
      <c r="R100">
        <v>0.97103703703703703</v>
      </c>
      <c r="S100">
        <v>11.875603999999999</v>
      </c>
      <c r="T100">
        <v>11.875603999999999</v>
      </c>
      <c r="U100">
        <v>0.97104000000000001</v>
      </c>
      <c r="V100">
        <v>1500</v>
      </c>
      <c r="W100" t="str">
        <v>36588-PELEGRI SCP (Ns 6,7)</v>
      </c>
    </row>
    <row r="101" spans="1:23" x14ac:dyDescent="0.25">
      <c r="A101" t="str">
        <v>2025-10-17</v>
      </c>
      <c r="B101" t="str">
        <v>36589-PELEGRI-L:144-N:1-A:A13-POLLO AMARILLO MACHO</v>
      </c>
      <c r="C101" t="str">
        <v>POLLO AMARILLO MACHO</v>
      </c>
      <c r="D101">
        <v>7289</v>
      </c>
      <c r="E101" t="str">
        <v>Broiler Amarillo</v>
      </c>
      <c r="F101">
        <v>18</v>
      </c>
      <c r="G101">
        <v>0</v>
      </c>
      <c r="H101" t="str">
        <v>Abierto</v>
      </c>
      <c r="I101">
        <v>0.65400000000000003</v>
      </c>
      <c r="J101">
        <v>0.65400000000000003</v>
      </c>
      <c r="K101">
        <v>0.65400000000000003</v>
      </c>
      <c r="L101">
        <v>7500</v>
      </c>
      <c r="M101">
        <v>0</v>
      </c>
      <c r="N101">
        <v>211</v>
      </c>
      <c r="O101">
        <v>211</v>
      </c>
      <c r="P101">
        <v>14578</v>
      </c>
      <c r="Q101">
        <v>9300.7639999999992</v>
      </c>
      <c r="R101">
        <v>0.93809523809523809</v>
      </c>
      <c r="S101">
        <v>10.334182222222223</v>
      </c>
      <c r="T101">
        <v>10.334182222222223</v>
      </c>
      <c r="U101">
        <v>0.93810000000000004</v>
      </c>
      <c r="V101">
        <v>900</v>
      </c>
      <c r="W101" t="str">
        <v>36589-PELEGRI</v>
      </c>
    </row>
    <row r="102" spans="1:23" x14ac:dyDescent="0.25">
      <c r="A102" t="str">
        <v>2025-10-17</v>
      </c>
      <c r="B102" t="str">
        <v>36589-PELEGRI-L:144-N:4-A:A13-POLLO AMARILLO MACHO</v>
      </c>
      <c r="C102" t="str">
        <v>POLLO AMARILLO MACHO</v>
      </c>
      <c r="D102">
        <v>5057</v>
      </c>
      <c r="E102" t="str">
        <v>Broiler Amarillo</v>
      </c>
      <c r="F102">
        <v>18</v>
      </c>
      <c r="G102">
        <v>0</v>
      </c>
      <c r="H102" t="str">
        <v>Abierto</v>
      </c>
      <c r="I102">
        <v>0.65400000000000003</v>
      </c>
      <c r="J102">
        <v>0.65400000000000003</v>
      </c>
      <c r="K102">
        <v>0.65400000000000003</v>
      </c>
      <c r="L102">
        <v>5200</v>
      </c>
      <c r="M102">
        <v>0</v>
      </c>
      <c r="N102">
        <v>143</v>
      </c>
      <c r="O102">
        <v>143</v>
      </c>
      <c r="P102">
        <v>10211</v>
      </c>
      <c r="Q102">
        <v>6513.0659999999998</v>
      </c>
      <c r="R102">
        <v>0.91251117068811438</v>
      </c>
      <c r="S102">
        <v>10.051027777777778</v>
      </c>
      <c r="T102">
        <v>10.051027777777778</v>
      </c>
      <c r="U102">
        <v>0.91251000000000004</v>
      </c>
      <c r="V102">
        <v>648</v>
      </c>
      <c r="W102" t="str">
        <v>36589-PELEGRI</v>
      </c>
    </row>
    <row r="103" spans="1:23" x14ac:dyDescent="0.25">
      <c r="A103" t="str">
        <v>2025-10-17</v>
      </c>
      <c r="B103" t="str">
        <v>36589-PELEGRI-L:144-N:5-A:A13-POLLO AMARILLO MACHO</v>
      </c>
      <c r="C103" t="str">
        <v>POLLO AMARILLO MACHO</v>
      </c>
      <c r="D103">
        <v>6323</v>
      </c>
      <c r="E103" t="str">
        <v>Broiler Amarillo</v>
      </c>
      <c r="F103">
        <v>18</v>
      </c>
      <c r="G103">
        <v>0</v>
      </c>
      <c r="H103" t="str">
        <v>Abierto</v>
      </c>
      <c r="I103">
        <v>0.65400000000000003</v>
      </c>
      <c r="J103">
        <v>0.65400000000000003</v>
      </c>
      <c r="K103">
        <v>0.65400000000000003</v>
      </c>
      <c r="L103">
        <v>6500</v>
      </c>
      <c r="M103">
        <v>0</v>
      </c>
      <c r="N103">
        <v>177</v>
      </c>
      <c r="O103">
        <v>177</v>
      </c>
      <c r="P103">
        <v>12646</v>
      </c>
      <c r="Q103">
        <v>8068.1480000000001</v>
      </c>
      <c r="R103">
        <v>0.93397341211225993</v>
      </c>
      <c r="S103">
        <v>10.291005102040817</v>
      </c>
      <c r="T103">
        <v>10.291005102040817</v>
      </c>
      <c r="U103">
        <v>0.93396999999999997</v>
      </c>
      <c r="V103">
        <v>784</v>
      </c>
      <c r="W103" t="str">
        <v>36589-PELEGRI</v>
      </c>
    </row>
    <row r="104" spans="1:23" x14ac:dyDescent="0.25">
      <c r="A104" t="str">
        <v>2025-10-17</v>
      </c>
      <c r="B104" t="str">
        <v>36589-PELEGRI-L:144-N:3-A:A13-POLLO AMARILLO MACHO</v>
      </c>
      <c r="C104" t="str">
        <v>POLLO AMARILLO MACHO</v>
      </c>
      <c r="D104">
        <v>5154</v>
      </c>
      <c r="E104" t="str">
        <v>Broiler Amarillo</v>
      </c>
      <c r="F104">
        <v>18</v>
      </c>
      <c r="G104">
        <v>0</v>
      </c>
      <c r="H104" t="str">
        <v>Abierto</v>
      </c>
      <c r="I104">
        <v>0.65400000000000003</v>
      </c>
      <c r="J104">
        <v>0.65400000000000003</v>
      </c>
      <c r="K104">
        <v>0.65400000000000003</v>
      </c>
      <c r="L104">
        <v>5300</v>
      </c>
      <c r="M104">
        <v>0</v>
      </c>
      <c r="N104">
        <v>146</v>
      </c>
      <c r="O104">
        <v>146</v>
      </c>
      <c r="P104">
        <v>10211</v>
      </c>
      <c r="Q104">
        <v>6516.17</v>
      </c>
      <c r="R104">
        <v>0.91251117068811438</v>
      </c>
      <c r="S104">
        <v>10.055817901234567</v>
      </c>
      <c r="T104">
        <v>10.055817901234567</v>
      </c>
      <c r="U104">
        <v>0.91251000000000004</v>
      </c>
      <c r="V104">
        <v>648</v>
      </c>
      <c r="W104" t="str">
        <v>36589-PELEGRI</v>
      </c>
    </row>
    <row r="105" spans="1:23" x14ac:dyDescent="0.25">
      <c r="A105" t="str">
        <v>2025-10-17</v>
      </c>
      <c r="B105" t="str">
        <v>36589-PELEGRI-L:144-N:2-A:A13-POLLO AMARILLO MACHO</v>
      </c>
      <c r="C105" t="str">
        <v>POLLO AMARILLO MACHO</v>
      </c>
      <c r="D105">
        <v>7289</v>
      </c>
      <c r="E105" t="str">
        <v>Broiler Amarillo</v>
      </c>
      <c r="F105">
        <v>18</v>
      </c>
      <c r="G105">
        <v>0</v>
      </c>
      <c r="H105" t="str">
        <v>Abierto</v>
      </c>
      <c r="I105">
        <v>0.65400000000000003</v>
      </c>
      <c r="J105">
        <v>0.65400000000000003</v>
      </c>
      <c r="K105">
        <v>0.65400000000000003</v>
      </c>
      <c r="L105">
        <v>7500</v>
      </c>
      <c r="M105">
        <v>0</v>
      </c>
      <c r="N105">
        <v>211</v>
      </c>
      <c r="O105">
        <v>211</v>
      </c>
      <c r="P105">
        <v>14578</v>
      </c>
      <c r="Q105">
        <v>9300.7639999999992</v>
      </c>
      <c r="R105">
        <v>0.93809523809523809</v>
      </c>
      <c r="S105">
        <v>10.334182222222223</v>
      </c>
      <c r="T105">
        <v>10.334182222222223</v>
      </c>
      <c r="U105">
        <v>0.93810000000000004</v>
      </c>
      <c r="V105">
        <v>900</v>
      </c>
      <c r="W105" t="str">
        <v>36589-PELEGRI</v>
      </c>
    </row>
    <row r="106" spans="1:23" x14ac:dyDescent="0.25">
      <c r="A106" t="str">
        <v>2025-10-17</v>
      </c>
      <c r="B106" t="str">
        <v>36588-PELEGRI SCP (Ns 6,7)-L:063-N:7-A:A14-POLLO AMARILLO HEMBRAS</v>
      </c>
      <c r="C106" t="str">
        <v>POLLO AMARILLO HEMBRAS</v>
      </c>
      <c r="D106">
        <v>13124</v>
      </c>
      <c r="E106" t="str">
        <v>Broiler Amarillo</v>
      </c>
      <c r="F106">
        <v>18</v>
      </c>
      <c r="G106">
        <v>0</v>
      </c>
      <c r="H106" t="str">
        <v>Abierto</v>
      </c>
      <c r="I106">
        <v>0.622</v>
      </c>
      <c r="J106">
        <v>0.622</v>
      </c>
      <c r="K106">
        <v>0.622</v>
      </c>
      <c r="L106">
        <v>13500</v>
      </c>
      <c r="M106">
        <v>0</v>
      </c>
      <c r="N106">
        <v>376</v>
      </c>
      <c r="O106">
        <v>376</v>
      </c>
      <c r="P106">
        <v>26218</v>
      </c>
      <c r="Q106">
        <v>17813.405999999999</v>
      </c>
      <c r="R106">
        <v>0.97103703703703703</v>
      </c>
      <c r="S106">
        <v>11.875603999999999</v>
      </c>
      <c r="T106">
        <v>11.875603999999999</v>
      </c>
      <c r="U106">
        <v>0.97104000000000001</v>
      </c>
      <c r="V106">
        <v>1500</v>
      </c>
      <c r="W106" t="str">
        <v>36588-PELEGRI SCP (Ns 6,7)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README</vt:lpstr>
      <vt:lpstr>USAGE</vt:lpstr>
      <vt:lpstr>USAGE_JSON</vt:lpstr>
      <vt:lpstr>USAGE_JSON_2</vt:lpstr>
      <vt:lpstr>USAGE_JSON_3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2025-10-17T09:26:05Z</dcterms:modified>
</cp:coreProperties>
</file>